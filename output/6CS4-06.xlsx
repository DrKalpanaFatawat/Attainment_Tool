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8" activeTab="10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0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4" fillId="0" borderId="27" pivotButton="0" quotePrefix="0" xfId="0"/>
    <xf numFmtId="0" fontId="4" fillId="0" borderId="28" pivotButton="0" quotePrefix="0" xfId="0"/>
    <xf numFmtId="0" fontId="4" fillId="0" borderId="30" pivotButton="0" quotePrefix="0" xfId="0"/>
    <xf numFmtId="0" fontId="3" fillId="2" borderId="12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7" min="1" max="1"/>
    <col width="8" customWidth="1" style="97" min="2" max="16"/>
    <col width="7.69921875" customWidth="1" style="97" min="17" max="26"/>
  </cols>
  <sheetData>
    <row r="1" ht="19.5" customHeight="1" s="97">
      <c r="A1" s="15" t="inlineStr">
        <is>
          <t>DEPARTMENT OF COMPUTER SCIENCE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5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7">
      <c r="A2" s="15" t="inlineStr">
        <is>
          <t>CO to PO &amp; PSO Mapping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7">
      <c r="A3" s="15" t="inlineStr">
        <is>
          <t>II Year III Semester</t>
        </is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5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7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125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7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7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7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7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7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7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7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7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7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5" t="n"/>
      <c r="N13" s="33" t="n"/>
      <c r="O13" s="124" t="n"/>
      <c r="P13" s="125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7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7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7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7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7"/>
  <sheetViews>
    <sheetView topLeftCell="A177" workbookViewId="0">
      <selection activeCell="D186" sqref="D186"/>
    </sheetView>
  </sheetViews>
  <sheetFormatPr baseColWidth="8" defaultColWidth="12.59765625" defaultRowHeight="15" customHeight="1"/>
  <cols>
    <col width="5.69921875" customWidth="1" style="97" min="1" max="1"/>
    <col width="17.5" customWidth="1" style="97" min="2" max="2"/>
    <col width="29.5" customWidth="1" style="97" min="3" max="3"/>
    <col width="14.19921875" customWidth="1" style="97" min="4" max="5"/>
    <col width="13.19921875" customWidth="1" style="97" min="6" max="6"/>
    <col width="13.3984375" customWidth="1" style="97" min="7" max="7"/>
    <col width="13.19921875" customWidth="1" style="97" min="8" max="8"/>
    <col width="7.69921875" customWidth="1" style="97" min="9" max="26"/>
  </cols>
  <sheetData>
    <row r="1" ht="19.5" customHeight="1" s="97">
      <c r="A1" s="15">
        <f>'CO-PO Mapping'!A1:P1</f>
        <v/>
      </c>
      <c r="B1" s="124" t="n"/>
      <c r="C1" s="124" t="n"/>
      <c r="D1" s="124" t="n"/>
      <c r="E1" s="124" t="n"/>
      <c r="F1" s="124" t="n"/>
      <c r="G1" s="124" t="n"/>
      <c r="H1" s="125" t="n"/>
    </row>
    <row r="2" ht="19.5" customHeight="1" s="97">
      <c r="A2" s="15" t="inlineStr">
        <is>
          <t>End Term and Sessional Assessment Sheet</t>
        </is>
      </c>
      <c r="B2" s="124" t="n"/>
      <c r="C2" s="124" t="n"/>
      <c r="D2" s="124" t="n"/>
      <c r="E2" s="124" t="n"/>
      <c r="F2" s="124" t="n"/>
      <c r="G2" s="124" t="n"/>
      <c r="H2" s="125" t="n"/>
    </row>
    <row r="3" ht="19.5" customHeight="1" s="97">
      <c r="A3" s="15">
        <f>'CO-PO Mapping'!A3:P3</f>
        <v/>
      </c>
      <c r="B3" s="124" t="n"/>
      <c r="C3" s="124" t="n"/>
      <c r="D3" s="124" t="n"/>
      <c r="E3" s="124" t="n"/>
      <c r="F3" s="124" t="n"/>
      <c r="G3" s="124" t="n"/>
      <c r="H3" s="125" t="n"/>
    </row>
    <row r="4" ht="19.5" customHeight="1" s="97">
      <c r="A4" s="15">
        <f>'CO-PO Mapping'!A4:P4</f>
        <v/>
      </c>
      <c r="B4" s="124" t="n"/>
      <c r="C4" s="124" t="n"/>
      <c r="D4" s="124" t="n"/>
      <c r="E4" s="124" t="n"/>
      <c r="F4" s="124" t="n"/>
      <c r="G4" s="124" t="n"/>
      <c r="H4" s="125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7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5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7">
      <c r="A6" s="126" t="n"/>
      <c r="B6" s="126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7">
      <c r="A7" s="88" t="inlineStr">
        <is>
          <t>Set Target Level</t>
        </is>
      </c>
      <c r="B7" s="127" t="n"/>
      <c r="C7" s="128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7">
      <c r="A8" s="20" t="n">
        <v>1</v>
      </c>
      <c r="B8" s="81" t="inlineStr">
        <is>
          <t>23ETCCS001</t>
        </is>
      </c>
      <c r="C8" s="76" t="inlineStr">
        <is>
          <t>AAKANSHA SILAWAT</t>
        </is>
      </c>
      <c r="D8" s="80" t="n">
        <v>59</v>
      </c>
      <c r="E8" s="80" t="n">
        <v>28</v>
      </c>
      <c r="F8" s="80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7">
      <c r="A9" s="20" t="n">
        <v>2</v>
      </c>
      <c r="B9" s="75" t="inlineStr">
        <is>
          <t>23ETCCS002</t>
        </is>
      </c>
      <c r="C9" s="76" t="inlineStr">
        <is>
          <t>ABHINAV MISHRA</t>
        </is>
      </c>
      <c r="D9" s="80" t="n">
        <v>57</v>
      </c>
      <c r="E9" s="80" t="n">
        <v>26</v>
      </c>
      <c r="F9" s="80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7">
      <c r="A10" s="20" t="n">
        <v>3</v>
      </c>
      <c r="B10" s="75" t="inlineStr">
        <is>
          <t>23ETCCS003</t>
        </is>
      </c>
      <c r="C10" s="76" t="inlineStr">
        <is>
          <t>ACHAL JAIN</t>
        </is>
      </c>
      <c r="D10" s="80" t="n">
        <v>56</v>
      </c>
      <c r="E10" s="80" t="n">
        <v>23</v>
      </c>
      <c r="F10" s="80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7">
      <c r="A11" s="20" t="n">
        <v>4</v>
      </c>
      <c r="B11" s="75" t="inlineStr">
        <is>
          <t>23ETCCS004</t>
        </is>
      </c>
      <c r="C11" s="76" t="inlineStr">
        <is>
          <t>ADITYA SISODIYA</t>
        </is>
      </c>
      <c r="D11" s="80" t="n">
        <v>46</v>
      </c>
      <c r="E11" s="80" t="n">
        <v>29</v>
      </c>
      <c r="F11" s="80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7">
      <c r="A12" s="20" t="n">
        <v>5</v>
      </c>
      <c r="B12" s="75" t="inlineStr">
        <is>
          <t>23ETCCS005</t>
        </is>
      </c>
      <c r="C12" s="76" t="inlineStr">
        <is>
          <t>AKSHAT JAIN</t>
        </is>
      </c>
      <c r="D12" s="80" t="n">
        <v>51</v>
      </c>
      <c r="E12" s="80" t="n">
        <v>23</v>
      </c>
      <c r="F12" s="80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7">
      <c r="A13" s="20" t="n">
        <v>6</v>
      </c>
      <c r="B13" s="75" t="inlineStr">
        <is>
          <t>23ETCCS006</t>
        </is>
      </c>
      <c r="C13" s="76" t="inlineStr">
        <is>
          <t>AKSHAY SUTHAR</t>
        </is>
      </c>
      <c r="D13" s="80" t="n">
        <v>59</v>
      </c>
      <c r="E13" s="80" t="n">
        <v>26</v>
      </c>
      <c r="F13" s="80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7">
      <c r="A14" s="20" t="n">
        <v>7</v>
      </c>
      <c r="B14" s="75" t="inlineStr">
        <is>
          <t>23ETCCS007</t>
        </is>
      </c>
      <c r="C14" s="76" t="inlineStr">
        <is>
          <t>ANANT SINGH JADON</t>
        </is>
      </c>
      <c r="D14" s="80" t="n">
        <v>37</v>
      </c>
      <c r="E14" s="80" t="n">
        <v>27</v>
      </c>
      <c r="F14" s="80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7">
      <c r="A15" s="20" t="n">
        <v>8</v>
      </c>
      <c r="B15" s="78" t="inlineStr">
        <is>
          <t>23ETCCS008</t>
        </is>
      </c>
      <c r="C15" s="77" t="inlineStr">
        <is>
          <t>ANISHKA RANAWAT</t>
        </is>
      </c>
      <c r="D15" s="80" t="n">
        <v>59</v>
      </c>
      <c r="E15" s="80" t="n">
        <v>30</v>
      </c>
      <c r="F15" s="80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7">
      <c r="A16" s="20" t="n">
        <v>9</v>
      </c>
      <c r="B16" s="75" t="inlineStr">
        <is>
          <t>23ETCCS009</t>
        </is>
      </c>
      <c r="C16" s="76" t="inlineStr">
        <is>
          <t>ANJEL NATHAN</t>
        </is>
      </c>
      <c r="D16" s="80" t="n">
        <v>53</v>
      </c>
      <c r="E16" s="80" t="n">
        <v>26</v>
      </c>
      <c r="F16" s="80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7">
      <c r="A17" s="20" t="n">
        <v>10</v>
      </c>
      <c r="B17" s="75" t="inlineStr">
        <is>
          <t>23ETCCS010</t>
        </is>
      </c>
      <c r="C17" s="76" t="inlineStr">
        <is>
          <t>AQSA MAKRANI</t>
        </is>
      </c>
      <c r="D17" s="80" t="n">
        <v>56</v>
      </c>
      <c r="E17" s="80" t="n">
        <v>29</v>
      </c>
      <c r="F17" s="80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7">
      <c r="A18" s="20" t="n">
        <v>11</v>
      </c>
      <c r="B18" s="75" t="inlineStr">
        <is>
          <t>23ETCCS011</t>
        </is>
      </c>
      <c r="C18" s="76" t="inlineStr">
        <is>
          <t>ARIHANT KOTHARI</t>
        </is>
      </c>
      <c r="D18" s="80" t="n">
        <v>59</v>
      </c>
      <c r="E18" s="80" t="n">
        <v>30</v>
      </c>
      <c r="F18" s="80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7">
      <c r="A19" s="20" t="n">
        <v>12</v>
      </c>
      <c r="B19" s="75" t="inlineStr">
        <is>
          <t>23ETCCS012</t>
        </is>
      </c>
      <c r="C19" s="76" t="inlineStr">
        <is>
          <t>ARYAN KUMAR SHRIVASTAVA</t>
        </is>
      </c>
      <c r="D19" s="80" t="n">
        <v>53</v>
      </c>
      <c r="E19" s="80" t="n">
        <v>28</v>
      </c>
      <c r="F19" s="80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7">
      <c r="A20" s="20" t="n">
        <v>13</v>
      </c>
      <c r="B20" s="75" t="inlineStr">
        <is>
          <t>23ETCCS013</t>
        </is>
      </c>
      <c r="C20" s="76" t="inlineStr">
        <is>
          <t>ARYAN SHARMA</t>
        </is>
      </c>
      <c r="D20" s="80" t="n">
        <v>26</v>
      </c>
      <c r="E20" s="80" t="n">
        <v>25</v>
      </c>
      <c r="F20" s="80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7">
      <c r="A21" s="20" t="n">
        <v>14</v>
      </c>
      <c r="B21" s="75" t="inlineStr">
        <is>
          <t>23ETCCS014</t>
        </is>
      </c>
      <c r="C21" s="76" t="inlineStr">
        <is>
          <t>ASHOK SUTHAR</t>
        </is>
      </c>
      <c r="D21" s="80" t="n">
        <v>45</v>
      </c>
      <c r="E21" s="80" t="n">
        <v>27</v>
      </c>
      <c r="F21" s="80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7">
      <c r="A22" s="20" t="n">
        <v>15</v>
      </c>
      <c r="B22" s="75" t="inlineStr">
        <is>
          <t>23ETCCS015</t>
        </is>
      </c>
      <c r="C22" s="76" t="inlineStr">
        <is>
          <t>ASHWIN RAJ SINGH CHOUHAN</t>
        </is>
      </c>
      <c r="D22" s="80" t="n">
        <v>32</v>
      </c>
      <c r="E22" s="80" t="n">
        <v>23</v>
      </c>
      <c r="F22" s="80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7">
      <c r="A23" s="20" t="n">
        <v>16</v>
      </c>
      <c r="B23" s="75" t="inlineStr">
        <is>
          <t>23ETCCS016</t>
        </is>
      </c>
      <c r="C23" s="76" t="inlineStr">
        <is>
          <t>BHARAT PRAJAPAT</t>
        </is>
      </c>
      <c r="D23" s="80" t="n">
        <v>52</v>
      </c>
      <c r="E23" s="80" t="n">
        <v>30</v>
      </c>
      <c r="F23" s="80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7">
      <c r="A24" s="20" t="n">
        <v>17</v>
      </c>
      <c r="B24" s="75" t="inlineStr">
        <is>
          <t>23ETCCS017</t>
        </is>
      </c>
      <c r="C24" s="76" t="inlineStr">
        <is>
          <t>BHAVESH GURJAR</t>
        </is>
      </c>
      <c r="D24" s="80" t="n">
        <v>40</v>
      </c>
      <c r="E24" s="80" t="n">
        <v>27</v>
      </c>
      <c r="F24" s="80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7">
      <c r="A25" s="20" t="n">
        <v>18</v>
      </c>
      <c r="B25" s="75" t="inlineStr">
        <is>
          <t>23ETCCS018</t>
        </is>
      </c>
      <c r="C25" s="76" t="inlineStr">
        <is>
          <t>BHAVESH SUTHAR</t>
        </is>
      </c>
      <c r="D25" s="80" t="n">
        <v>63</v>
      </c>
      <c r="E25" s="80" t="n">
        <v>25</v>
      </c>
      <c r="F25" s="80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7">
      <c r="A26" s="20" t="n">
        <v>19</v>
      </c>
      <c r="B26" s="75" t="inlineStr">
        <is>
          <t>23ETCCS019</t>
        </is>
      </c>
      <c r="C26" s="76" t="inlineStr">
        <is>
          <t>BHAVISHYA PALIWAL</t>
        </is>
      </c>
      <c r="D26" s="80" t="n">
        <v>53</v>
      </c>
      <c r="E26" s="80" t="n">
        <v>30</v>
      </c>
      <c r="F26" s="80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7">
      <c r="A27" s="20" t="n">
        <v>20</v>
      </c>
      <c r="B27" s="75" t="inlineStr">
        <is>
          <t>23ETCCS020</t>
        </is>
      </c>
      <c r="C27" s="76" t="inlineStr">
        <is>
          <t>BHAVY BAID</t>
        </is>
      </c>
      <c r="D27" s="80" t="n">
        <v>50</v>
      </c>
      <c r="E27" s="80" t="n">
        <v>29</v>
      </c>
      <c r="F27" s="80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7">
      <c r="A28" s="20" t="n">
        <v>21</v>
      </c>
      <c r="B28" s="75" t="inlineStr">
        <is>
          <t>23ETCCS021</t>
        </is>
      </c>
      <c r="C28" s="76" t="inlineStr">
        <is>
          <t>BHAVY SARVA</t>
        </is>
      </c>
      <c r="D28" s="80" t="n">
        <v>38</v>
      </c>
      <c r="E28" s="80" t="n">
        <v>27</v>
      </c>
      <c r="F28" s="80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7">
      <c r="A29" s="20" t="n">
        <v>22</v>
      </c>
      <c r="B29" s="75" t="inlineStr">
        <is>
          <t>23ETCCS022</t>
        </is>
      </c>
      <c r="C29" s="76" t="inlineStr">
        <is>
          <t>BHAVYARAJ SHRIMALI</t>
        </is>
      </c>
      <c r="D29" s="80" t="n">
        <v>52</v>
      </c>
      <c r="E29" s="80" t="n">
        <v>25</v>
      </c>
      <c r="F29" s="80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7">
      <c r="A30" s="20" t="n">
        <v>23</v>
      </c>
      <c r="B30" s="75" t="inlineStr">
        <is>
          <t>23ETCCS023</t>
        </is>
      </c>
      <c r="C30" s="76" t="inlineStr">
        <is>
          <t>BHUMI PALIWAL</t>
        </is>
      </c>
      <c r="D30" s="80" t="n">
        <v>61</v>
      </c>
      <c r="E30" s="80" t="n">
        <v>28</v>
      </c>
      <c r="F30" s="80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7">
      <c r="A31" s="20" t="n">
        <v>24</v>
      </c>
      <c r="B31" s="75" t="inlineStr">
        <is>
          <t>23ETCCS024</t>
        </is>
      </c>
      <c r="C31" s="76" t="inlineStr">
        <is>
          <t>CHINMAY TRIVEDI</t>
        </is>
      </c>
      <c r="D31" s="80" t="n">
        <v>35</v>
      </c>
      <c r="E31" s="80" t="n">
        <v>25</v>
      </c>
      <c r="F31" s="80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7">
      <c r="A32" s="20" t="n">
        <v>25</v>
      </c>
      <c r="B32" s="75" t="inlineStr">
        <is>
          <t>23ETCCS025</t>
        </is>
      </c>
      <c r="C32" s="76" t="inlineStr">
        <is>
          <t>DARAKSHAN KHAN</t>
        </is>
      </c>
      <c r="D32" s="80" t="n">
        <v>47</v>
      </c>
      <c r="E32" s="80" t="n">
        <v>27</v>
      </c>
      <c r="F32" s="80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7">
      <c r="A33" s="20" t="n">
        <v>26</v>
      </c>
      <c r="B33" s="75" t="inlineStr">
        <is>
          <t>23ETCCS026</t>
        </is>
      </c>
      <c r="C33" s="76" t="inlineStr">
        <is>
          <t>DASHRATH JANWA</t>
        </is>
      </c>
      <c r="D33" s="80" t="n">
        <v>37</v>
      </c>
      <c r="E33" s="80" t="n">
        <v>24</v>
      </c>
      <c r="F33" s="80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7">
      <c r="A34" s="20" t="n">
        <v>27</v>
      </c>
      <c r="B34" s="75" t="inlineStr">
        <is>
          <t>23ETCCS027</t>
        </is>
      </c>
      <c r="C34" s="76" t="inlineStr">
        <is>
          <t>DEEPAK SAINI</t>
        </is>
      </c>
      <c r="D34" s="80" t="n">
        <v>59</v>
      </c>
      <c r="E34" s="80" t="n">
        <v>30</v>
      </c>
      <c r="F34" s="80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7">
      <c r="A35" s="20" t="n">
        <v>28</v>
      </c>
      <c r="B35" s="75" t="inlineStr">
        <is>
          <t>23ETCCS028</t>
        </is>
      </c>
      <c r="C35" s="76" t="inlineStr">
        <is>
          <t>DEVENDRA SINGH</t>
        </is>
      </c>
      <c r="D35" s="80" t="n">
        <v>51</v>
      </c>
      <c r="E35" s="80" t="n">
        <v>25</v>
      </c>
      <c r="F35" s="80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7">
      <c r="A36" s="20" t="n">
        <v>29</v>
      </c>
      <c r="B36" s="75" t="inlineStr">
        <is>
          <t>23ETCCS029</t>
        </is>
      </c>
      <c r="C36" s="76" t="inlineStr">
        <is>
          <t>DEVIKA SAJEEV</t>
        </is>
      </c>
      <c r="D36" s="80" t="n">
        <v>59</v>
      </c>
      <c r="E36" s="80" t="n">
        <v>27</v>
      </c>
      <c r="F36" s="80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7">
      <c r="A37" s="20" t="n">
        <v>30</v>
      </c>
      <c r="B37" s="75" t="inlineStr">
        <is>
          <t>23ETCCS030</t>
        </is>
      </c>
      <c r="C37" s="76" t="inlineStr">
        <is>
          <t>DHRUV AMETA</t>
        </is>
      </c>
      <c r="D37" s="80" t="n">
        <v>31</v>
      </c>
      <c r="E37" s="80" t="n">
        <v>26</v>
      </c>
      <c r="F37" s="80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7">
      <c r="A38" s="20" t="n">
        <v>31</v>
      </c>
      <c r="B38" s="75" t="inlineStr">
        <is>
          <t>23ETCCS031</t>
        </is>
      </c>
      <c r="C38" s="76" t="inlineStr">
        <is>
          <t>DIBYOJYOTI BAL</t>
        </is>
      </c>
      <c r="D38" s="80" t="n">
        <v>22</v>
      </c>
      <c r="E38" s="80" t="n">
        <v>29</v>
      </c>
      <c r="F38" s="80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7">
      <c r="A39" s="20" t="n">
        <v>32</v>
      </c>
      <c r="B39" s="75" t="inlineStr">
        <is>
          <t>23ETCCS032</t>
        </is>
      </c>
      <c r="C39" s="76" t="inlineStr">
        <is>
          <t>DIKSHIT SUTHAR</t>
        </is>
      </c>
      <c r="D39" s="80" t="n">
        <v>31</v>
      </c>
      <c r="E39" s="80" t="n">
        <v>25</v>
      </c>
      <c r="F39" s="80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7">
      <c r="A40" s="20" t="n">
        <v>33</v>
      </c>
      <c r="B40" s="75" t="inlineStr">
        <is>
          <t>23ETCCS033</t>
        </is>
      </c>
      <c r="C40" s="76" t="inlineStr">
        <is>
          <t>DISHI GUPTA</t>
        </is>
      </c>
      <c r="D40" s="80" t="n">
        <v>52</v>
      </c>
      <c r="E40" s="80" t="n">
        <v>30</v>
      </c>
      <c r="F40" s="80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7">
      <c r="A41" s="20" t="n">
        <v>34</v>
      </c>
      <c r="B41" s="75" t="inlineStr">
        <is>
          <t>23ETCCS034</t>
        </is>
      </c>
      <c r="C41" s="76" t="inlineStr">
        <is>
          <t>DISHITA JAIN</t>
        </is>
      </c>
      <c r="D41" s="80" t="n">
        <v>44</v>
      </c>
      <c r="E41" s="80" t="n">
        <v>27</v>
      </c>
      <c r="F41" s="80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7">
      <c r="A42" s="20" t="n">
        <v>35</v>
      </c>
      <c r="B42" s="75" t="inlineStr">
        <is>
          <t>23ETCCS035</t>
        </is>
      </c>
      <c r="C42" s="76" t="inlineStr">
        <is>
          <t>DIVYANSH BOLIA</t>
        </is>
      </c>
      <c r="D42" s="80" t="n">
        <v>31</v>
      </c>
      <c r="E42" s="80" t="n">
        <v>23</v>
      </c>
      <c r="F42" s="80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7">
      <c r="A43" s="20" t="n">
        <v>36</v>
      </c>
      <c r="B43" s="75" t="inlineStr">
        <is>
          <t>23ETCCS036</t>
        </is>
      </c>
      <c r="C43" s="76" t="inlineStr">
        <is>
          <t>DIVYANSHU RAJ TAILOR</t>
        </is>
      </c>
      <c r="D43" s="80" t="n">
        <v>42</v>
      </c>
      <c r="E43" s="80" t="n">
        <v>26</v>
      </c>
      <c r="F43" s="80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7">
      <c r="A44" s="20" t="n">
        <v>37</v>
      </c>
      <c r="B44" s="75" t="inlineStr">
        <is>
          <t>23ETCCS037</t>
        </is>
      </c>
      <c r="C44" s="76" t="inlineStr">
        <is>
          <t>GAURAV JOSHI</t>
        </is>
      </c>
      <c r="D44" s="80" t="n">
        <v>45</v>
      </c>
      <c r="E44" s="80" t="n">
        <v>24</v>
      </c>
      <c r="F44" s="80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7">
      <c r="A45" s="20" t="n">
        <v>38</v>
      </c>
      <c r="B45" s="75" t="inlineStr">
        <is>
          <t>23ETCCS038</t>
        </is>
      </c>
      <c r="C45" s="76" t="inlineStr">
        <is>
          <t>GITIKA TRIVEDI</t>
        </is>
      </c>
      <c r="D45" s="80" t="n">
        <v>47</v>
      </c>
      <c r="E45" s="80" t="n">
        <v>26</v>
      </c>
      <c r="F45" s="80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7">
      <c r="A46" s="20" t="n">
        <v>39</v>
      </c>
      <c r="B46" s="75" t="inlineStr">
        <is>
          <t>23ETCCS039</t>
        </is>
      </c>
      <c r="C46" s="76" t="inlineStr">
        <is>
          <t>GOURAV CHANDALIYA</t>
        </is>
      </c>
      <c r="D46" s="80" t="n">
        <v>45</v>
      </c>
      <c r="E46" s="80" t="n">
        <v>28</v>
      </c>
      <c r="F46" s="80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7">
      <c r="A47" s="20" t="n">
        <v>40</v>
      </c>
      <c r="B47" s="75" t="inlineStr">
        <is>
          <t>23ETCCS040</t>
        </is>
      </c>
      <c r="C47" s="76" t="inlineStr">
        <is>
          <t>GOURI SHRIMALI</t>
        </is>
      </c>
      <c r="D47" s="80" t="n">
        <v>48</v>
      </c>
      <c r="E47" s="80" t="n">
        <v>28</v>
      </c>
      <c r="F47" s="80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7">
      <c r="A48" s="20" t="n">
        <v>41</v>
      </c>
      <c r="B48" s="75" t="inlineStr">
        <is>
          <t>23ETCCS041</t>
        </is>
      </c>
      <c r="C48" s="76" t="inlineStr">
        <is>
          <t>GURJAR NIKUNJ GIRDHARLAL</t>
        </is>
      </c>
      <c r="D48" s="80" t="n">
        <v>37</v>
      </c>
      <c r="E48" s="80" t="n">
        <v>29</v>
      </c>
      <c r="F48" s="80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7">
      <c r="A49" s="20" t="n">
        <v>42</v>
      </c>
      <c r="B49" s="75" t="inlineStr">
        <is>
          <t>23ETCCS042</t>
        </is>
      </c>
      <c r="C49" s="76" t="inlineStr">
        <is>
          <t>HARIDRUMAD SINGH JHALA</t>
        </is>
      </c>
      <c r="D49" s="80" t="n">
        <v>34</v>
      </c>
      <c r="E49" s="80" t="n">
        <v>24</v>
      </c>
      <c r="F49" s="80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7">
      <c r="A50" s="20" t="n">
        <v>43</v>
      </c>
      <c r="B50" s="75" t="inlineStr">
        <is>
          <t>23ETCCS043</t>
        </is>
      </c>
      <c r="C50" s="76" t="inlineStr">
        <is>
          <t>HARSH KUMAWAT</t>
        </is>
      </c>
      <c r="D50" s="80" t="n">
        <v>44</v>
      </c>
      <c r="E50" s="80" t="n">
        <v>25</v>
      </c>
      <c r="F50" s="80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7">
      <c r="A51" s="20" t="n">
        <v>44</v>
      </c>
      <c r="B51" s="75" t="inlineStr">
        <is>
          <t>23ETCCS044</t>
        </is>
      </c>
      <c r="C51" s="76" t="inlineStr">
        <is>
          <t>HASMUKH SUTHAR</t>
        </is>
      </c>
      <c r="D51" s="80" t="n">
        <v>39</v>
      </c>
      <c r="E51" s="80" t="n">
        <v>27</v>
      </c>
      <c r="F51" s="80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7">
      <c r="A52" s="20" t="n">
        <v>45</v>
      </c>
      <c r="B52" s="75" t="inlineStr">
        <is>
          <t>23ETCCS045</t>
        </is>
      </c>
      <c r="C52" s="76" t="inlineStr">
        <is>
          <t>HIMANSHI AGARWAL</t>
        </is>
      </c>
      <c r="D52" s="80" t="n">
        <v>53</v>
      </c>
      <c r="E52" s="80" t="n">
        <v>29</v>
      </c>
      <c r="F52" s="80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7">
      <c r="A53" s="20" t="n">
        <v>46</v>
      </c>
      <c r="B53" s="75" t="inlineStr">
        <is>
          <t>23ETCCS046</t>
        </is>
      </c>
      <c r="C53" s="76" t="inlineStr">
        <is>
          <t>HIMESH SHRIMALI</t>
        </is>
      </c>
      <c r="D53" s="80" t="n">
        <v>32</v>
      </c>
      <c r="E53" s="80" t="n">
        <v>26</v>
      </c>
      <c r="F53" s="80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7">
      <c r="A54" s="20" t="n">
        <v>47</v>
      </c>
      <c r="B54" s="75" t="inlineStr">
        <is>
          <t>23ETCCS047</t>
        </is>
      </c>
      <c r="C54" s="76" t="inlineStr">
        <is>
          <t>HIYA KARANPURIA</t>
        </is>
      </c>
      <c r="D54" s="80" t="n">
        <v>32</v>
      </c>
      <c r="E54" s="80" t="n">
        <v>26</v>
      </c>
      <c r="F54" s="80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7">
      <c r="A55" s="20" t="n">
        <v>48</v>
      </c>
      <c r="B55" s="75" t="inlineStr">
        <is>
          <t>23ETCCS048</t>
        </is>
      </c>
      <c r="C55" s="76" t="inlineStr">
        <is>
          <t>ISHWAR SONI</t>
        </is>
      </c>
      <c r="D55" s="80" t="n">
        <v>56</v>
      </c>
      <c r="E55" s="80" t="n">
        <v>25</v>
      </c>
      <c r="F55" s="80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7">
      <c r="A56" s="20" t="n">
        <v>49</v>
      </c>
      <c r="B56" s="75" t="inlineStr">
        <is>
          <t>23ETCCS049</t>
        </is>
      </c>
      <c r="C56" s="76" t="inlineStr">
        <is>
          <t>IVANSHI AGRAWAL</t>
        </is>
      </c>
      <c r="D56" s="80" t="n">
        <v>27</v>
      </c>
      <c r="E56" s="80" t="n">
        <v>25</v>
      </c>
      <c r="F56" s="80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7">
      <c r="A57" s="20" t="n">
        <v>50</v>
      </c>
      <c r="B57" s="75" t="inlineStr">
        <is>
          <t>23ETCCS050</t>
        </is>
      </c>
      <c r="C57" s="76" t="inlineStr">
        <is>
          <t>JAIDEEP SINGH RAO</t>
        </is>
      </c>
      <c r="D57" s="80" t="n">
        <v>58</v>
      </c>
      <c r="E57" s="80" t="n">
        <v>28</v>
      </c>
      <c r="F57" s="80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7">
      <c r="A58" s="20" t="n">
        <v>51</v>
      </c>
      <c r="B58" s="75" t="inlineStr">
        <is>
          <t>23ETCCS051</t>
        </is>
      </c>
      <c r="C58" s="76" t="inlineStr">
        <is>
          <t>JAISHEEL JAIN</t>
        </is>
      </c>
      <c r="D58" s="80" t="n">
        <v>22</v>
      </c>
      <c r="E58" s="80" t="n">
        <v>22</v>
      </c>
      <c r="F58" s="80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7">
      <c r="A59" s="20" t="n">
        <v>52</v>
      </c>
      <c r="B59" s="75" t="inlineStr">
        <is>
          <t>23ETCCS052</t>
        </is>
      </c>
      <c r="C59" s="76" t="inlineStr">
        <is>
          <t>JAY NIGAM</t>
        </is>
      </c>
      <c r="D59" s="80" t="n">
        <v>49</v>
      </c>
      <c r="E59" s="80" t="n">
        <v>27</v>
      </c>
      <c r="F59" s="80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7">
      <c r="A60" s="20" t="n">
        <v>53</v>
      </c>
      <c r="B60" s="75" t="inlineStr">
        <is>
          <t>23ETCCS053</t>
        </is>
      </c>
      <c r="C60" s="76" t="inlineStr">
        <is>
          <t>JAY SHARMA</t>
        </is>
      </c>
      <c r="D60" s="80" t="n">
        <v>56</v>
      </c>
      <c r="E60" s="80" t="n">
        <v>25</v>
      </c>
      <c r="F60" s="80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7">
      <c r="A61" s="20" t="n">
        <v>54</v>
      </c>
      <c r="B61" s="78" t="inlineStr">
        <is>
          <t>23ETCCS054</t>
        </is>
      </c>
      <c r="C61" s="77" t="inlineStr">
        <is>
          <t>JAY SINGHVI</t>
        </is>
      </c>
      <c r="D61" s="80" t="n">
        <v>58</v>
      </c>
      <c r="E61" s="80" t="n">
        <v>29</v>
      </c>
      <c r="F61" s="80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7">
      <c r="A62" s="20" t="n">
        <v>55</v>
      </c>
      <c r="B62" s="75" t="inlineStr">
        <is>
          <t>23ETCCS055</t>
        </is>
      </c>
      <c r="C62" s="76" t="inlineStr">
        <is>
          <t>JAYA SINGH</t>
        </is>
      </c>
      <c r="D62" s="80" t="n">
        <v>47</v>
      </c>
      <c r="E62" s="80" t="n">
        <v>25</v>
      </c>
      <c r="F62" s="80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7">
      <c r="A63" s="20" t="n">
        <v>56</v>
      </c>
      <c r="B63" s="75" t="inlineStr">
        <is>
          <t>23ETCCS056</t>
        </is>
      </c>
      <c r="C63" s="76" t="inlineStr">
        <is>
          <t>JAYAM JAIN</t>
        </is>
      </c>
      <c r="D63" s="80" t="n">
        <v>55</v>
      </c>
      <c r="E63" s="80" t="n">
        <v>28</v>
      </c>
      <c r="F63" s="80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7">
      <c r="A64" s="20" t="n">
        <v>57</v>
      </c>
      <c r="B64" s="75" t="inlineStr">
        <is>
          <t>23ETCCS057</t>
        </is>
      </c>
      <c r="C64" s="76" t="inlineStr">
        <is>
          <t>JAYESH GAYRI</t>
        </is>
      </c>
      <c r="D64" s="80" t="n">
        <v>59</v>
      </c>
      <c r="E64" s="80" t="n">
        <v>27</v>
      </c>
      <c r="F64" s="80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7">
      <c r="A65" s="20" t="n">
        <v>58</v>
      </c>
      <c r="B65" s="75" t="inlineStr">
        <is>
          <t>23ETCCS058</t>
        </is>
      </c>
      <c r="C65" s="76" t="inlineStr">
        <is>
          <t>JAYESH KALYANA</t>
        </is>
      </c>
      <c r="D65" s="80" t="n">
        <v>32</v>
      </c>
      <c r="E65" s="80" t="n">
        <v>26</v>
      </c>
      <c r="F65" s="80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7">
      <c r="A66" s="20" t="n">
        <v>59</v>
      </c>
      <c r="B66" s="75" t="inlineStr">
        <is>
          <t>23ETCCS059</t>
        </is>
      </c>
      <c r="C66" s="76" t="inlineStr">
        <is>
          <t>KANISHK RAJAWAT</t>
        </is>
      </c>
      <c r="D66" s="80" t="n">
        <v>46</v>
      </c>
      <c r="E66" s="80" t="n">
        <v>27</v>
      </c>
      <c r="F66" s="80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7">
      <c r="A67" s="20" t="n">
        <v>60</v>
      </c>
      <c r="B67" s="75" t="inlineStr">
        <is>
          <t>23ETCCS060</t>
        </is>
      </c>
      <c r="C67" s="76" t="inlineStr">
        <is>
          <t>KAVISH PATEL</t>
        </is>
      </c>
      <c r="D67" s="80" t="n">
        <v>31</v>
      </c>
      <c r="E67" s="80" t="n">
        <v>25</v>
      </c>
      <c r="F67" s="80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7">
      <c r="A68" s="20" t="n">
        <v>61</v>
      </c>
      <c r="B68" s="75" t="inlineStr">
        <is>
          <t>23ETCCS061</t>
        </is>
      </c>
      <c r="C68" s="76" t="inlineStr">
        <is>
          <t>KHUSHAL DAK</t>
        </is>
      </c>
      <c r="D68" s="80" t="n">
        <v>51</v>
      </c>
      <c r="E68" s="80" t="n">
        <v>29</v>
      </c>
      <c r="F68" s="80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7">
      <c r="A69" s="20" t="n">
        <v>62</v>
      </c>
      <c r="B69" s="75" t="inlineStr">
        <is>
          <t>23ETCCS062</t>
        </is>
      </c>
      <c r="C69" s="76" t="inlineStr">
        <is>
          <t>KHUSHAL TAMBAR</t>
        </is>
      </c>
      <c r="D69" s="80" t="n">
        <v>55</v>
      </c>
      <c r="E69" s="80" t="n">
        <v>27</v>
      </c>
      <c r="F69" s="80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7">
      <c r="A70" s="20" t="n">
        <v>63</v>
      </c>
      <c r="B70" s="75" t="inlineStr">
        <is>
          <t>23ETCCS063</t>
        </is>
      </c>
      <c r="C70" s="76" t="inlineStr">
        <is>
          <t>KHUSHBU BISHT</t>
        </is>
      </c>
      <c r="D70" s="80" t="n">
        <v>56</v>
      </c>
      <c r="E70" s="80" t="n">
        <v>28</v>
      </c>
      <c r="F70" s="80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7">
      <c r="A71" s="20" t="n">
        <v>64</v>
      </c>
      <c r="B71" s="75" t="inlineStr">
        <is>
          <t>23ETCCS064</t>
        </is>
      </c>
      <c r="C71" s="76" t="inlineStr">
        <is>
          <t>KHUSHI JAIN</t>
        </is>
      </c>
      <c r="D71" s="80" t="n">
        <v>55</v>
      </c>
      <c r="E71" s="80" t="n">
        <v>29</v>
      </c>
      <c r="F71" s="80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7">
      <c r="A72" s="20" t="n">
        <v>65</v>
      </c>
      <c r="B72" s="75" t="inlineStr">
        <is>
          <t>23ETCCS065</t>
        </is>
      </c>
      <c r="C72" s="76" t="inlineStr">
        <is>
          <t>KOMAL SHARMA</t>
        </is>
      </c>
      <c r="D72" s="80" t="n">
        <v>59</v>
      </c>
      <c r="E72" s="80" t="n">
        <v>30</v>
      </c>
      <c r="F72" s="80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7">
      <c r="A73" s="20" t="n">
        <v>66</v>
      </c>
      <c r="B73" s="75" t="inlineStr">
        <is>
          <t>23ETCCS066</t>
        </is>
      </c>
      <c r="C73" s="76" t="inlineStr">
        <is>
          <t>KRATIK SHARMA</t>
        </is>
      </c>
      <c r="D73" s="80" t="n">
        <v>52</v>
      </c>
      <c r="E73" s="80" t="n">
        <v>28</v>
      </c>
      <c r="F73" s="80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7">
      <c r="A74" s="20" t="n">
        <v>67</v>
      </c>
      <c r="B74" s="75" t="inlineStr">
        <is>
          <t>23ETCCS067</t>
        </is>
      </c>
      <c r="C74" s="76" t="inlineStr">
        <is>
          <t>KRISHNA DOSHI</t>
        </is>
      </c>
      <c r="D74" s="80" t="n">
        <v>49</v>
      </c>
      <c r="E74" s="80" t="n">
        <v>30</v>
      </c>
      <c r="F74" s="80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7">
      <c r="A75" s="20" t="n">
        <v>68</v>
      </c>
      <c r="B75" s="75" t="inlineStr">
        <is>
          <t>23ETCCS068</t>
        </is>
      </c>
      <c r="C75" s="76" t="inlineStr">
        <is>
          <t>KUASHAL KUMAWAT</t>
        </is>
      </c>
      <c r="D75" s="80" t="n">
        <v>55</v>
      </c>
      <c r="E75" s="80" t="n">
        <v>27</v>
      </c>
      <c r="F75" s="80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7">
      <c r="A76" s="20" t="n">
        <v>69</v>
      </c>
      <c r="B76" s="75" t="inlineStr">
        <is>
          <t>23ETCCS069</t>
        </is>
      </c>
      <c r="C76" s="76" t="inlineStr">
        <is>
          <t>LAKSH PATEL</t>
        </is>
      </c>
      <c r="D76" s="80" t="n">
        <v>29</v>
      </c>
      <c r="E76" s="80" t="n">
        <v>27</v>
      </c>
      <c r="F76" s="80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7">
      <c r="A77" s="20" t="n">
        <v>70</v>
      </c>
      <c r="B77" s="75" t="inlineStr">
        <is>
          <t>23ETCCS070</t>
        </is>
      </c>
      <c r="C77" s="76" t="inlineStr">
        <is>
          <t>LAKSHITA CHUNDAWAT</t>
        </is>
      </c>
      <c r="D77" s="80" t="n">
        <v>34</v>
      </c>
      <c r="E77" s="80" t="n">
        <v>25</v>
      </c>
      <c r="F77" s="80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7">
      <c r="A78" s="20" t="n">
        <v>71</v>
      </c>
      <c r="B78" s="75" t="inlineStr">
        <is>
          <t>23ETCCS071</t>
        </is>
      </c>
      <c r="C78" s="76" t="inlineStr">
        <is>
          <t>LAKSHYARAJ PURBIA</t>
        </is>
      </c>
      <c r="D78" s="80" t="n">
        <v>55</v>
      </c>
      <c r="E78" s="80" t="n">
        <v>24</v>
      </c>
      <c r="F78" s="80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7">
      <c r="A79" s="20" t="n">
        <v>72</v>
      </c>
      <c r="B79" s="75" t="inlineStr">
        <is>
          <t>23ETCCS072</t>
        </is>
      </c>
      <c r="C79" s="76" t="inlineStr">
        <is>
          <t>LALIT SUTHAR</t>
        </is>
      </c>
      <c r="D79" s="80" t="n">
        <v>37</v>
      </c>
      <c r="E79" s="80" t="n">
        <v>28</v>
      </c>
      <c r="F79" s="80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7">
      <c r="A80" s="20" t="n">
        <v>73</v>
      </c>
      <c r="B80" s="75" t="inlineStr">
        <is>
          <t>23ETCCS073</t>
        </is>
      </c>
      <c r="C80" s="76" t="inlineStr">
        <is>
          <t>MANAN JAIN</t>
        </is>
      </c>
      <c r="D80" s="80" t="n">
        <v>38</v>
      </c>
      <c r="E80" s="80" t="n">
        <v>27</v>
      </c>
      <c r="F80" s="80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7">
      <c r="A81" s="20" t="n">
        <v>74</v>
      </c>
      <c r="B81" s="75" t="inlineStr">
        <is>
          <t>23ETCCS074</t>
        </is>
      </c>
      <c r="C81" s="76" t="inlineStr">
        <is>
          <t>MANAN MEHTA</t>
        </is>
      </c>
      <c r="D81" s="80" t="n">
        <v>44</v>
      </c>
      <c r="E81" s="80" t="n">
        <v>24</v>
      </c>
      <c r="F81" s="80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7">
      <c r="A82" s="20" t="n">
        <v>75</v>
      </c>
      <c r="B82" s="75" t="inlineStr">
        <is>
          <t>23ETCCS075</t>
        </is>
      </c>
      <c r="C82" s="76" t="inlineStr">
        <is>
          <t>MANISH SUTHAR</t>
        </is>
      </c>
      <c r="D82" s="80" t="n">
        <v>50</v>
      </c>
      <c r="E82" s="80" t="n">
        <v>24</v>
      </c>
      <c r="F82" s="80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7">
      <c r="A83" s="20" t="n">
        <v>76</v>
      </c>
      <c r="B83" s="75" t="inlineStr">
        <is>
          <t>23ETCCS076</t>
        </is>
      </c>
      <c r="C83" s="76" t="inlineStr">
        <is>
          <t>MANRAJ SINGH CHOUHAN</t>
        </is>
      </c>
      <c r="D83" s="80" t="n">
        <v>24</v>
      </c>
      <c r="E83" s="80" t="n">
        <v>22</v>
      </c>
      <c r="F83" s="80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7">
      <c r="A84" s="20" t="n">
        <v>77</v>
      </c>
      <c r="B84" s="75" t="inlineStr">
        <is>
          <t>23ETCCS077</t>
        </is>
      </c>
      <c r="C84" s="76" t="inlineStr">
        <is>
          <t>MAYANK KUMAR GAUTAM</t>
        </is>
      </c>
      <c r="D84" s="80" t="n">
        <v>58</v>
      </c>
      <c r="E84" s="80" t="n">
        <v>29</v>
      </c>
      <c r="F84" s="80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7">
      <c r="A85" s="20" t="n">
        <v>78</v>
      </c>
      <c r="B85" s="75" t="inlineStr">
        <is>
          <t>23ETCCS078</t>
        </is>
      </c>
      <c r="C85" s="76" t="inlineStr">
        <is>
          <t>MAYANK LOHAR</t>
        </is>
      </c>
      <c r="D85" s="80" t="n">
        <v>42</v>
      </c>
      <c r="E85" s="80" t="n">
        <v>29</v>
      </c>
      <c r="F85" s="80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7">
      <c r="A86" s="20" t="n">
        <v>79</v>
      </c>
      <c r="B86" s="78" t="inlineStr">
        <is>
          <t>23ETCCS079</t>
        </is>
      </c>
      <c r="C86" s="77" t="inlineStr">
        <is>
          <t>MEET SHARMA</t>
        </is>
      </c>
      <c r="D86" s="80" t="n">
        <v>46</v>
      </c>
      <c r="E86" s="80" t="n">
        <v>29</v>
      </c>
      <c r="F86" s="80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7">
      <c r="A87" s="20" t="n">
        <v>80</v>
      </c>
      <c r="B87" s="75" t="inlineStr">
        <is>
          <t>23ETCCS080</t>
        </is>
      </c>
      <c r="C87" s="76" t="inlineStr">
        <is>
          <t>MISHIKA PARIKH</t>
        </is>
      </c>
      <c r="D87" s="80" t="n">
        <v>50</v>
      </c>
      <c r="E87" s="80" t="n">
        <v>29</v>
      </c>
      <c r="F87" s="80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7">
      <c r="A88" s="20" t="n">
        <v>81</v>
      </c>
      <c r="B88" s="75" t="inlineStr">
        <is>
          <t>23ETCCS081</t>
        </is>
      </c>
      <c r="C88" s="76" t="inlineStr">
        <is>
          <t>MOHIT KUMAR KALAL</t>
        </is>
      </c>
      <c r="D88" s="80" t="n">
        <v>40</v>
      </c>
      <c r="E88" s="80" t="n">
        <v>25</v>
      </c>
      <c r="F88" s="80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7">
      <c r="A89" s="20" t="n">
        <v>82</v>
      </c>
      <c r="B89" s="75" t="inlineStr">
        <is>
          <t>23ETCCS082</t>
        </is>
      </c>
      <c r="C89" s="76" t="inlineStr">
        <is>
          <t>MOHIT MALI</t>
        </is>
      </c>
      <c r="D89" s="80" t="n">
        <v>40</v>
      </c>
      <c r="E89" s="80" t="n">
        <v>27</v>
      </c>
      <c r="F89" s="80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7">
      <c r="A90" s="20" t="n">
        <v>83</v>
      </c>
      <c r="B90" s="75" t="inlineStr">
        <is>
          <t>23ETCCS083</t>
        </is>
      </c>
      <c r="C90" s="76" t="inlineStr">
        <is>
          <t>MRADUL BAHETI</t>
        </is>
      </c>
      <c r="D90" s="80" t="n">
        <v>58</v>
      </c>
      <c r="E90" s="80" t="n">
        <v>30</v>
      </c>
      <c r="F90" s="80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7">
      <c r="A91" s="20" t="n">
        <v>84</v>
      </c>
      <c r="B91" s="75" t="inlineStr">
        <is>
          <t>23ETCCS084</t>
        </is>
      </c>
      <c r="C91" s="76" t="inlineStr">
        <is>
          <t>MS.BHAVYA SAHU</t>
        </is>
      </c>
      <c r="D91" s="80" t="n">
        <v>59</v>
      </c>
      <c r="E91" s="80" t="n">
        <v>29</v>
      </c>
      <c r="F91" s="80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7">
      <c r="A92" s="20" t="n">
        <v>85</v>
      </c>
      <c r="B92" s="78" t="inlineStr">
        <is>
          <t>23ETCCS085</t>
        </is>
      </c>
      <c r="C92" s="77" t="inlineStr">
        <is>
          <t>MS.BHUVIKA SHARMA</t>
        </is>
      </c>
      <c r="D92" s="80" t="n">
        <v>51</v>
      </c>
      <c r="E92" s="80" t="n">
        <v>27</v>
      </c>
      <c r="F92" s="80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7">
      <c r="A93" s="20" t="n">
        <v>86</v>
      </c>
      <c r="B93" s="75" t="inlineStr">
        <is>
          <t>23ETCCS086</t>
        </is>
      </c>
      <c r="C93" s="76" t="inlineStr">
        <is>
          <t>MS.CHARU MALI</t>
        </is>
      </c>
      <c r="D93" s="80" t="n">
        <v>58</v>
      </c>
      <c r="E93" s="80" t="n">
        <v>28</v>
      </c>
      <c r="F93" s="80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7">
      <c r="A94" s="20" t="n">
        <v>87</v>
      </c>
      <c r="B94" s="75" t="inlineStr">
        <is>
          <t>23ETCCS087</t>
        </is>
      </c>
      <c r="C94" s="76" t="inlineStr">
        <is>
          <t>MS.EKTA JOSHI</t>
        </is>
      </c>
      <c r="D94" s="80" t="n">
        <v>56</v>
      </c>
      <c r="E94" s="80" t="n">
        <v>28</v>
      </c>
      <c r="F94" s="80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7">
      <c r="A95" s="20" t="n">
        <v>88</v>
      </c>
      <c r="B95" s="75" t="inlineStr">
        <is>
          <t>23ETCCS088</t>
        </is>
      </c>
      <c r="C95" s="76" t="inlineStr">
        <is>
          <t>MS.ISHI BHAVSAR</t>
        </is>
      </c>
      <c r="D95" s="80" t="n">
        <v>59</v>
      </c>
      <c r="E95" s="80" t="n">
        <v>30</v>
      </c>
      <c r="F95" s="80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7">
      <c r="A96" s="20" t="n">
        <v>89</v>
      </c>
      <c r="B96" s="75" t="inlineStr">
        <is>
          <t>23ETCCS089</t>
        </is>
      </c>
      <c r="C96" s="76" t="inlineStr">
        <is>
          <t>MS.KAJAL JOSHI</t>
        </is>
      </c>
      <c r="D96" s="80" t="n">
        <v>55</v>
      </c>
      <c r="E96" s="80" t="n">
        <v>28</v>
      </c>
      <c r="F96" s="80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7">
      <c r="A97" s="20" t="n">
        <v>90</v>
      </c>
      <c r="B97" s="75" t="inlineStr">
        <is>
          <t>23ETCCS090</t>
        </is>
      </c>
      <c r="C97" s="76" t="inlineStr">
        <is>
          <t>MS.KASHISH SONI</t>
        </is>
      </c>
      <c r="D97" s="80" t="n">
        <v>63</v>
      </c>
      <c r="E97" s="80" t="n">
        <v>27</v>
      </c>
      <c r="F97" s="80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7">
      <c r="A98" s="20" t="n">
        <v>91</v>
      </c>
      <c r="B98" s="75" t="inlineStr">
        <is>
          <t>23ETCCS091</t>
        </is>
      </c>
      <c r="C98" s="76" t="inlineStr">
        <is>
          <t>MS.KINSHUL YADAV</t>
        </is>
      </c>
      <c r="D98" s="80" t="n">
        <v>58</v>
      </c>
      <c r="E98" s="80" t="n">
        <v>30</v>
      </c>
      <c r="F98" s="80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7">
      <c r="A99" s="20" t="n">
        <v>92</v>
      </c>
      <c r="B99" s="75" t="inlineStr">
        <is>
          <t>23ETCCS092</t>
        </is>
      </c>
      <c r="C99" s="76" t="inlineStr">
        <is>
          <t>MS.KUMKUM LOHIYA</t>
        </is>
      </c>
      <c r="D99" s="80" t="n">
        <v>64</v>
      </c>
      <c r="E99" s="80" t="n">
        <v>30</v>
      </c>
      <c r="F99" s="80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7">
      <c r="A100" s="20" t="n">
        <v>93</v>
      </c>
      <c r="B100" s="75" t="inlineStr">
        <is>
          <t>23ETCCS093</t>
        </is>
      </c>
      <c r="C100" s="76" t="inlineStr">
        <is>
          <t>MS.LUBHANSHI RATHORE</t>
        </is>
      </c>
      <c r="D100" s="80" t="n">
        <v>62</v>
      </c>
      <c r="E100" s="80" t="n">
        <v>29</v>
      </c>
      <c r="F100" s="80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7">
      <c r="A101" s="20" t="n">
        <v>94</v>
      </c>
      <c r="B101" s="75" t="inlineStr">
        <is>
          <t>23ETCCS094</t>
        </is>
      </c>
      <c r="C101" s="76" t="inlineStr">
        <is>
          <t>MS.LUCKY OJHA</t>
        </is>
      </c>
      <c r="D101" s="80" t="n">
        <v>59</v>
      </c>
      <c r="E101" s="80" t="n">
        <v>30</v>
      </c>
      <c r="F101" s="80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7">
      <c r="A102" s="20" t="n">
        <v>95</v>
      </c>
      <c r="B102" s="75" t="inlineStr">
        <is>
          <t>23ETCCS095</t>
        </is>
      </c>
      <c r="C102" s="76" t="inlineStr">
        <is>
          <t>MS.MAHIMA KUMAWAT</t>
        </is>
      </c>
      <c r="D102" s="80" t="n">
        <v>59</v>
      </c>
      <c r="E102" s="80" t="n">
        <v>29</v>
      </c>
      <c r="F102" s="80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7">
      <c r="A103" s="20" t="n">
        <v>96</v>
      </c>
      <c r="B103" s="75" t="inlineStr">
        <is>
          <t>23ETCCS096</t>
        </is>
      </c>
      <c r="C103" s="76" t="inlineStr">
        <is>
          <t>MS.MAHIMA RAO</t>
        </is>
      </c>
      <c r="D103" s="80" t="n">
        <v>57</v>
      </c>
      <c r="E103" s="80" t="n">
        <v>29</v>
      </c>
      <c r="F103" s="80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7">
      <c r="A104" s="20" t="n">
        <v>97</v>
      </c>
      <c r="B104" s="75" t="inlineStr">
        <is>
          <t>23ETCCS097</t>
        </is>
      </c>
      <c r="C104" s="76" t="inlineStr">
        <is>
          <t>MS.MANSI LOHAR</t>
        </is>
      </c>
      <c r="D104" s="80" t="n">
        <v>58</v>
      </c>
      <c r="E104" s="80" t="n">
        <v>27</v>
      </c>
      <c r="F104" s="80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7">
      <c r="A105" s="20" t="n">
        <v>98</v>
      </c>
      <c r="B105" s="75" t="inlineStr">
        <is>
          <t>23ETCCS098</t>
        </is>
      </c>
      <c r="C105" s="76" t="inlineStr">
        <is>
          <t>MS.MONIKA PATEL</t>
        </is>
      </c>
      <c r="D105" s="80" t="n">
        <v>56</v>
      </c>
      <c r="E105" s="80" t="n">
        <v>28</v>
      </c>
      <c r="F105" s="80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7">
      <c r="A106" s="20" t="n">
        <v>99</v>
      </c>
      <c r="B106" s="75" t="inlineStr">
        <is>
          <t>23ETCCS099</t>
        </is>
      </c>
      <c r="C106" s="76" t="inlineStr">
        <is>
          <t>MS.MOXI TAK</t>
        </is>
      </c>
      <c r="D106" s="80" t="n">
        <v>58</v>
      </c>
      <c r="E106" s="80" t="n">
        <v>29</v>
      </c>
      <c r="F106" s="80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7">
      <c r="A107" s="20" t="n">
        <v>100</v>
      </c>
      <c r="B107" s="75" t="inlineStr">
        <is>
          <t>23ETCCS100</t>
        </is>
      </c>
      <c r="C107" s="76" t="inlineStr">
        <is>
          <t>MS.REENA AUDICHYA</t>
        </is>
      </c>
      <c r="D107" s="80" t="n">
        <v>59</v>
      </c>
      <c r="E107" s="80" t="n">
        <v>30</v>
      </c>
      <c r="F107" s="80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7">
      <c r="A108" s="20" t="n">
        <v>101</v>
      </c>
      <c r="B108" s="75" t="inlineStr">
        <is>
          <t>23ETCCS101</t>
        </is>
      </c>
      <c r="C108" s="76" t="inlineStr">
        <is>
          <t>MS.TAYSIDDHI MADHVI BHAVSAR</t>
        </is>
      </c>
      <c r="D108" s="80" t="n">
        <v>52</v>
      </c>
      <c r="E108" s="80" t="n">
        <v>29</v>
      </c>
      <c r="F108" s="80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7">
      <c r="A109" s="20" t="n">
        <v>102</v>
      </c>
      <c r="B109" s="75" t="inlineStr">
        <is>
          <t>23ETCCS102</t>
        </is>
      </c>
      <c r="C109" s="76" t="inlineStr">
        <is>
          <t>MS.USHA KUNWAR CHUNDAWAT</t>
        </is>
      </c>
      <c r="D109" s="80" t="n">
        <v>52</v>
      </c>
      <c r="E109" s="80" t="n">
        <v>29</v>
      </c>
      <c r="F109" s="80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7">
      <c r="A110" s="20" t="n">
        <v>103</v>
      </c>
      <c r="B110" s="75" t="inlineStr">
        <is>
          <t>23ETCCS103</t>
        </is>
      </c>
      <c r="C110" s="76" t="inlineStr">
        <is>
          <t>MUDIT GUPTA</t>
        </is>
      </c>
      <c r="D110" s="80" t="n">
        <v>47</v>
      </c>
      <c r="E110" s="80" t="n">
        <v>28</v>
      </c>
      <c r="F110" s="80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7">
      <c r="A111" s="20" t="n">
        <v>104</v>
      </c>
      <c r="B111" s="75" t="inlineStr">
        <is>
          <t>23ETCCS104</t>
        </is>
      </c>
      <c r="C111" s="76" t="inlineStr">
        <is>
          <t>NARESH SINGH BAGHEL</t>
        </is>
      </c>
      <c r="D111" s="80" t="n">
        <v>55</v>
      </c>
      <c r="E111" s="80" t="n">
        <v>30</v>
      </c>
      <c r="F111" s="80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7">
      <c r="A112" s="20" t="n">
        <v>105</v>
      </c>
      <c r="B112" s="75" t="inlineStr">
        <is>
          <t>23ETCCS105</t>
        </is>
      </c>
      <c r="C112" s="76" t="inlineStr">
        <is>
          <t>NASRAT ANSARI</t>
        </is>
      </c>
      <c r="D112" s="80" t="n">
        <v>31</v>
      </c>
      <c r="E112" s="80" t="n">
        <v>25</v>
      </c>
      <c r="F112" s="80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7">
      <c r="A113" s="20" t="n">
        <v>106</v>
      </c>
      <c r="B113" s="75" t="inlineStr">
        <is>
          <t>23ETCCS106</t>
        </is>
      </c>
      <c r="C113" s="76" t="inlineStr">
        <is>
          <t>NIKHIL SHARMA</t>
        </is>
      </c>
      <c r="D113" s="80" t="n">
        <v>38</v>
      </c>
      <c r="E113" s="80" t="n">
        <v>24</v>
      </c>
      <c r="F113" s="80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7">
      <c r="A114" s="20" t="n">
        <v>107</v>
      </c>
      <c r="B114" s="75" t="inlineStr">
        <is>
          <t>23ETCCS107</t>
        </is>
      </c>
      <c r="C114" s="76" t="inlineStr">
        <is>
          <t>NIKHIL SUTHAR</t>
        </is>
      </c>
      <c r="D114" s="80" t="n">
        <v>57</v>
      </c>
      <c r="E114" s="80" t="n">
        <v>28</v>
      </c>
      <c r="F114" s="80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7">
      <c r="A115" s="20" t="n">
        <v>108</v>
      </c>
      <c r="B115" s="75" t="inlineStr">
        <is>
          <t>23ETCCS108</t>
        </is>
      </c>
      <c r="C115" s="76" t="inlineStr">
        <is>
          <t>NIKITA DANGI</t>
        </is>
      </c>
      <c r="D115" s="80" t="n">
        <v>48</v>
      </c>
      <c r="E115" s="80" t="n">
        <v>28</v>
      </c>
      <c r="F115" s="80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7">
      <c r="A116" s="20" t="n">
        <v>109</v>
      </c>
      <c r="B116" s="75" t="inlineStr">
        <is>
          <t>23ETCCS109</t>
        </is>
      </c>
      <c r="C116" s="76" t="inlineStr">
        <is>
          <t>NILESH PURI</t>
        </is>
      </c>
      <c r="D116" s="80" t="n">
        <v>40</v>
      </c>
      <c r="E116" s="80" t="n">
        <v>28</v>
      </c>
      <c r="F116" s="80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7">
      <c r="A117" s="20" t="n">
        <v>110</v>
      </c>
      <c r="B117" s="75" t="inlineStr">
        <is>
          <t>23ETCCS110</t>
        </is>
      </c>
      <c r="C117" s="76" t="inlineStr">
        <is>
          <t>NISHTHA SONI</t>
        </is>
      </c>
      <c r="D117" s="80" t="n">
        <v>64</v>
      </c>
      <c r="E117" s="80" t="n">
        <v>27</v>
      </c>
      <c r="F117" s="80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7">
      <c r="A118" s="20" t="n">
        <v>111</v>
      </c>
      <c r="B118" s="75" t="inlineStr">
        <is>
          <t>23ETCCS111</t>
        </is>
      </c>
      <c r="C118" s="76" t="inlineStr">
        <is>
          <t>PALAK JAIN</t>
        </is>
      </c>
      <c r="D118" s="80" t="n">
        <v>50</v>
      </c>
      <c r="E118" s="80" t="n">
        <v>28</v>
      </c>
      <c r="F118" s="80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7">
      <c r="A119" s="20" t="n">
        <v>112</v>
      </c>
      <c r="B119" s="75" t="inlineStr">
        <is>
          <t>23ETCCS112</t>
        </is>
      </c>
      <c r="C119" s="76" t="inlineStr">
        <is>
          <t>PALAK NAGORI</t>
        </is>
      </c>
      <c r="D119" s="80" t="n">
        <v>48</v>
      </c>
      <c r="E119" s="80" t="n">
        <v>27</v>
      </c>
      <c r="F119" s="80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7">
      <c r="A120" s="20" t="n">
        <v>113</v>
      </c>
      <c r="B120" s="75" t="inlineStr">
        <is>
          <t>23ETCCS113</t>
        </is>
      </c>
      <c r="C120" s="76" t="inlineStr">
        <is>
          <t>PANKAJ DANGI</t>
        </is>
      </c>
      <c r="D120" s="80" t="n">
        <v>59</v>
      </c>
      <c r="E120" s="80" t="n">
        <v>30</v>
      </c>
      <c r="F120" s="80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7">
      <c r="A121" s="20" t="n">
        <v>114</v>
      </c>
      <c r="B121" s="78" t="inlineStr">
        <is>
          <t>23ETCCS114</t>
        </is>
      </c>
      <c r="C121" s="77" t="inlineStr">
        <is>
          <t>PANKAJ JOSHI</t>
        </is>
      </c>
      <c r="D121" s="80" t="n">
        <v>58</v>
      </c>
      <c r="E121" s="80" t="n">
        <v>29</v>
      </c>
      <c r="F121" s="80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7">
      <c r="A122" s="20" t="n">
        <v>115</v>
      </c>
      <c r="B122" s="75" t="inlineStr">
        <is>
          <t>23ETCCS115</t>
        </is>
      </c>
      <c r="C122" s="76" t="inlineStr">
        <is>
          <t>PARIDHI MEHRA</t>
        </is>
      </c>
      <c r="D122" s="80" t="inlineStr">
        <is>
          <t>AA</t>
        </is>
      </c>
      <c r="E122" s="80" t="n">
        <v>30</v>
      </c>
      <c r="F122" s="80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7">
      <c r="A123" s="20" t="n">
        <v>116</v>
      </c>
      <c r="B123" s="75" t="inlineStr">
        <is>
          <t>23ETCCS116</t>
        </is>
      </c>
      <c r="C123" s="76" t="inlineStr">
        <is>
          <t>PATEL TISHANGKUMAR RAKESHKUMAR</t>
        </is>
      </c>
      <c r="D123" s="80" t="n">
        <v>40</v>
      </c>
      <c r="E123" s="80" t="n">
        <v>30</v>
      </c>
      <c r="F123" s="80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7">
      <c r="A124" s="20" t="n">
        <v>117</v>
      </c>
      <c r="B124" s="75" t="inlineStr">
        <is>
          <t>23ETCCS117</t>
        </is>
      </c>
      <c r="C124" s="76" t="inlineStr">
        <is>
          <t>PIYUSH YADAV</t>
        </is>
      </c>
      <c r="D124" s="80" t="n">
        <v>39</v>
      </c>
      <c r="E124" s="80" t="n">
        <v>27</v>
      </c>
      <c r="F124" s="80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7">
      <c r="A125" s="20" t="n">
        <v>118</v>
      </c>
      <c r="B125" s="78" t="inlineStr">
        <is>
          <t>23ETCCS118</t>
        </is>
      </c>
      <c r="C125" s="77" t="inlineStr">
        <is>
          <t>PRACHI KOTHARI</t>
        </is>
      </c>
      <c r="D125" s="80" t="n">
        <v>60</v>
      </c>
      <c r="E125" s="80" t="n">
        <v>30</v>
      </c>
      <c r="F125" s="80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7">
      <c r="A126" s="20" t="n">
        <v>119</v>
      </c>
      <c r="B126" s="75" t="inlineStr">
        <is>
          <t>23ETCCS119</t>
        </is>
      </c>
      <c r="C126" s="76" t="inlineStr">
        <is>
          <t>PRANAV CHAKRAVORTY</t>
        </is>
      </c>
      <c r="D126" s="80" t="n">
        <v>57</v>
      </c>
      <c r="E126" s="80" t="n">
        <v>28</v>
      </c>
      <c r="F126" s="80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7">
      <c r="A127" s="20" t="n">
        <v>120</v>
      </c>
      <c r="B127" s="75" t="inlineStr">
        <is>
          <t>23ETCCS121</t>
        </is>
      </c>
      <c r="C127" s="76" t="inlineStr">
        <is>
          <t>PRANAV RAJ SINGH RANAWAT</t>
        </is>
      </c>
      <c r="D127" s="80" t="n">
        <v>41</v>
      </c>
      <c r="E127" s="80" t="n">
        <v>26</v>
      </c>
      <c r="F127" s="80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7">
      <c r="A128" s="20" t="n">
        <v>121</v>
      </c>
      <c r="B128" s="75" t="inlineStr">
        <is>
          <t>23ETCCS122</t>
        </is>
      </c>
      <c r="C128" s="76" t="inlineStr">
        <is>
          <t>PRANAY TAILOR</t>
        </is>
      </c>
      <c r="D128" s="80" t="n">
        <v>52</v>
      </c>
      <c r="E128" s="80" t="n">
        <v>25</v>
      </c>
      <c r="F128" s="80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7">
      <c r="A129" s="20" t="n">
        <v>122</v>
      </c>
      <c r="B129" s="75" t="inlineStr">
        <is>
          <t>23ETCCS123</t>
        </is>
      </c>
      <c r="C129" s="76" t="inlineStr">
        <is>
          <t>PRASHANT MENARIA</t>
        </is>
      </c>
      <c r="D129" s="80" t="n">
        <v>52</v>
      </c>
      <c r="E129" s="80" t="n">
        <v>28</v>
      </c>
      <c r="F129" s="80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7">
      <c r="A130" s="20" t="n">
        <v>123</v>
      </c>
      <c r="B130" s="75" t="inlineStr">
        <is>
          <t>23ETCCS124</t>
        </is>
      </c>
      <c r="C130" s="76" t="inlineStr">
        <is>
          <t>PRIYANI JAIN</t>
        </is>
      </c>
      <c r="D130" s="80" t="n">
        <v>57</v>
      </c>
      <c r="E130" s="80" t="n">
        <v>27</v>
      </c>
      <c r="F130" s="80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7">
      <c r="A131" s="20" t="n">
        <v>124</v>
      </c>
      <c r="B131" s="75" t="inlineStr">
        <is>
          <t>23ETCCS125</t>
        </is>
      </c>
      <c r="C131" s="76" t="inlineStr">
        <is>
          <t>PRIYANSHU LUHARIA</t>
        </is>
      </c>
      <c r="D131" s="80" t="n">
        <v>41</v>
      </c>
      <c r="E131" s="80" t="n">
        <v>28</v>
      </c>
      <c r="F131" s="80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7">
      <c r="A132" s="20" t="n">
        <v>125</v>
      </c>
      <c r="B132" s="75" t="inlineStr">
        <is>
          <t>23ETCCS126</t>
        </is>
      </c>
      <c r="C132" s="76" t="inlineStr">
        <is>
          <t>PUNIT TAK</t>
        </is>
      </c>
      <c r="D132" s="80" t="n">
        <v>60</v>
      </c>
      <c r="E132" s="80" t="n">
        <v>30</v>
      </c>
      <c r="F132" s="80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7">
      <c r="A133" s="20" t="n">
        <v>126</v>
      </c>
      <c r="B133" s="75" t="inlineStr">
        <is>
          <t>23ETCCS127</t>
        </is>
      </c>
      <c r="C133" s="76" t="inlineStr">
        <is>
          <t>PURAN SUTHAR</t>
        </is>
      </c>
      <c r="D133" s="80" t="n">
        <v>29</v>
      </c>
      <c r="E133" s="80" t="n">
        <v>27</v>
      </c>
      <c r="F133" s="80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7">
      <c r="A134" s="20" t="n">
        <v>127</v>
      </c>
      <c r="B134" s="75" t="inlineStr">
        <is>
          <t>23ETCCS128</t>
        </is>
      </c>
      <c r="C134" s="76" t="inlineStr">
        <is>
          <t>PURVA R VERMA</t>
        </is>
      </c>
      <c r="D134" s="80" t="n">
        <v>46</v>
      </c>
      <c r="E134" s="80" t="n">
        <v>22</v>
      </c>
      <c r="F134" s="80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7">
      <c r="A135" s="20" t="n">
        <v>128</v>
      </c>
      <c r="B135" s="75" t="inlineStr">
        <is>
          <t>23ETCCS129</t>
        </is>
      </c>
      <c r="C135" s="76" t="inlineStr">
        <is>
          <t>RAGHAV KAUSHIK</t>
        </is>
      </c>
      <c r="D135" s="80" t="n">
        <v>53</v>
      </c>
      <c r="E135" s="80" t="n">
        <v>27</v>
      </c>
      <c r="F135" s="80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7">
      <c r="A136" s="20" t="n">
        <v>129</v>
      </c>
      <c r="B136" s="75" t="inlineStr">
        <is>
          <t>23ETCCS130</t>
        </is>
      </c>
      <c r="C136" s="76" t="inlineStr">
        <is>
          <t>RAJAT AMETA</t>
        </is>
      </c>
      <c r="D136" s="80" t="n">
        <v>49</v>
      </c>
      <c r="E136" s="80" t="n">
        <v>30</v>
      </c>
      <c r="F136" s="80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7">
      <c r="A137" s="20" t="n">
        <v>130</v>
      </c>
      <c r="B137" s="75" t="inlineStr">
        <is>
          <t>23ETCCS131</t>
        </is>
      </c>
      <c r="C137" s="76" t="inlineStr">
        <is>
          <t>REAL JAIN</t>
        </is>
      </c>
      <c r="D137" s="80" t="n">
        <v>63</v>
      </c>
      <c r="E137" s="80" t="n">
        <v>30</v>
      </c>
      <c r="F137" s="80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7">
      <c r="A138" s="20" t="n">
        <v>131</v>
      </c>
      <c r="B138" s="75" t="inlineStr">
        <is>
          <t>23ETCCS133</t>
        </is>
      </c>
      <c r="C138" s="76" t="inlineStr">
        <is>
          <t>RISHI MENARIA</t>
        </is>
      </c>
      <c r="D138" s="80" t="n">
        <v>62</v>
      </c>
      <c r="E138" s="80" t="n">
        <v>30</v>
      </c>
      <c r="F138" s="80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7">
      <c r="A139" s="20" t="n">
        <v>132</v>
      </c>
      <c r="B139" s="75" t="inlineStr">
        <is>
          <t>23ETCCS134</t>
        </is>
      </c>
      <c r="C139" s="76" t="inlineStr">
        <is>
          <t>ROHIT RAJPUT</t>
        </is>
      </c>
      <c r="D139" s="80" t="n">
        <v>55</v>
      </c>
      <c r="E139" s="80" t="n">
        <v>26</v>
      </c>
      <c r="F139" s="80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7">
      <c r="A140" s="20" t="n">
        <v>133</v>
      </c>
      <c r="B140" s="75" t="inlineStr">
        <is>
          <t>23ETCCS135</t>
        </is>
      </c>
      <c r="C140" s="76" t="inlineStr">
        <is>
          <t>RUDRA PRATAP SINGH RATHORE</t>
        </is>
      </c>
      <c r="D140" s="80" t="n">
        <v>56</v>
      </c>
      <c r="E140" s="80" t="n">
        <v>27</v>
      </c>
      <c r="F140" s="80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7">
      <c r="A141" s="20" t="n">
        <v>134</v>
      </c>
      <c r="B141" s="75" t="inlineStr">
        <is>
          <t>23ETCCS136</t>
        </is>
      </c>
      <c r="C141" s="76" t="inlineStr">
        <is>
          <t>RUDRAKSH CHITTORA</t>
        </is>
      </c>
      <c r="D141" s="80" t="n">
        <v>50</v>
      </c>
      <c r="E141" s="80" t="n">
        <v>30</v>
      </c>
      <c r="F141" s="80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7">
      <c r="A142" s="20" t="n">
        <v>135</v>
      </c>
      <c r="B142" s="75" t="inlineStr">
        <is>
          <t>23ETCCS137</t>
        </is>
      </c>
      <c r="C142" s="76" t="inlineStr">
        <is>
          <t>SANJAY JAT</t>
        </is>
      </c>
      <c r="D142" s="80" t="n">
        <v>55</v>
      </c>
      <c r="E142" s="80" t="n">
        <v>30</v>
      </c>
      <c r="F142" s="80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7">
      <c r="A143" s="20" t="n">
        <v>136</v>
      </c>
      <c r="B143" s="75" t="inlineStr">
        <is>
          <t>23ETCCS138</t>
        </is>
      </c>
      <c r="C143" s="76" t="inlineStr">
        <is>
          <t>SANJAY YADAV</t>
        </is>
      </c>
      <c r="D143" s="80" t="n">
        <v>37</v>
      </c>
      <c r="E143" s="80" t="n">
        <v>25</v>
      </c>
      <c r="F143" s="80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7">
      <c r="A144" s="20" t="n">
        <v>137</v>
      </c>
      <c r="B144" s="75" t="inlineStr">
        <is>
          <t>23ETCCS139</t>
        </is>
      </c>
      <c r="C144" s="76" t="inlineStr">
        <is>
          <t>SANYAM ARORA</t>
        </is>
      </c>
      <c r="D144" s="80" t="n">
        <v>12</v>
      </c>
      <c r="E144" s="80" t="n">
        <v>22</v>
      </c>
      <c r="F144" s="80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7">
      <c r="A145" s="20" t="n">
        <v>138</v>
      </c>
      <c r="B145" s="75" t="inlineStr">
        <is>
          <t>23ETCCS140</t>
        </is>
      </c>
      <c r="C145" s="76" t="inlineStr">
        <is>
          <t>SARANSH WADHWANI</t>
        </is>
      </c>
      <c r="D145" s="80" t="n">
        <v>43</v>
      </c>
      <c r="E145" s="80" t="n">
        <v>30</v>
      </c>
      <c r="F145" s="80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7">
      <c r="A146" s="20" t="n">
        <v>139</v>
      </c>
      <c r="B146" s="75" t="inlineStr">
        <is>
          <t>23ETCCS141</t>
        </is>
      </c>
      <c r="C146" s="76" t="inlineStr">
        <is>
          <t>SEJAL DASHORA</t>
        </is>
      </c>
      <c r="D146" s="80" t="n">
        <v>53</v>
      </c>
      <c r="E146" s="80" t="n">
        <v>27</v>
      </c>
      <c r="F146" s="80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7">
      <c r="A147" s="20" t="n">
        <v>140</v>
      </c>
      <c r="B147" s="75" t="inlineStr">
        <is>
          <t>23ETCCS142</t>
        </is>
      </c>
      <c r="C147" s="76" t="inlineStr">
        <is>
          <t>SHASHANK SONI</t>
        </is>
      </c>
      <c r="D147" s="80" t="n">
        <v>52</v>
      </c>
      <c r="E147" s="80" t="n">
        <v>27</v>
      </c>
      <c r="F147" s="80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7">
      <c r="A148" s="20" t="n">
        <v>141</v>
      </c>
      <c r="B148" s="75" t="inlineStr">
        <is>
          <t>23ETCCS143</t>
        </is>
      </c>
      <c r="C148" s="76" t="inlineStr">
        <is>
          <t>SHAWIL BHARGAVA</t>
        </is>
      </c>
      <c r="D148" s="80" t="n">
        <v>36</v>
      </c>
      <c r="E148" s="80" t="n">
        <v>28</v>
      </c>
      <c r="F148" s="80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7">
      <c r="A149" s="20" t="n">
        <v>142</v>
      </c>
      <c r="B149" s="75" t="inlineStr">
        <is>
          <t>23ETCCS144</t>
        </is>
      </c>
      <c r="C149" s="76" t="inlineStr">
        <is>
          <t>SHIKHAR JOSHI</t>
        </is>
      </c>
      <c r="D149" s="80" t="n">
        <v>48</v>
      </c>
      <c r="E149" s="80" t="n">
        <v>25</v>
      </c>
      <c r="F149" s="80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7">
      <c r="A150" s="20" t="n">
        <v>143</v>
      </c>
      <c r="B150" s="75" t="inlineStr">
        <is>
          <t>23ETCCS145</t>
        </is>
      </c>
      <c r="C150" s="76" t="inlineStr">
        <is>
          <t>SNEHA DADHICH</t>
        </is>
      </c>
      <c r="D150" s="80" t="n">
        <v>60</v>
      </c>
      <c r="E150" s="80" t="n">
        <v>27</v>
      </c>
      <c r="F150" s="80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7">
      <c r="A151" s="20" t="n">
        <v>144</v>
      </c>
      <c r="B151" s="75" t="inlineStr">
        <is>
          <t>23ETCCS146</t>
        </is>
      </c>
      <c r="C151" s="76" t="inlineStr">
        <is>
          <t>SONAL RAJWANI</t>
        </is>
      </c>
      <c r="D151" s="80" t="n">
        <v>64</v>
      </c>
      <c r="E151" s="80" t="n">
        <v>30</v>
      </c>
      <c r="F151" s="80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7">
      <c r="A152" s="20" t="n">
        <v>145</v>
      </c>
      <c r="B152" s="75" t="inlineStr">
        <is>
          <t>23ETCCS147</t>
        </is>
      </c>
      <c r="C152" s="76" t="inlineStr">
        <is>
          <t>SOUMYA JAIN</t>
        </is>
      </c>
      <c r="D152" s="80" t="n">
        <v>58</v>
      </c>
      <c r="E152" s="80" t="n">
        <v>29</v>
      </c>
      <c r="F152" s="80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7">
      <c r="A153" s="20" t="n">
        <v>146</v>
      </c>
      <c r="B153" s="75" t="inlineStr">
        <is>
          <t>23ETCCS148</t>
        </is>
      </c>
      <c r="C153" s="76" t="inlineStr">
        <is>
          <t>SUMER SINGH RAO</t>
        </is>
      </c>
      <c r="D153" s="80" t="n">
        <v>58</v>
      </c>
      <c r="E153" s="80" t="n">
        <v>29</v>
      </c>
      <c r="F153" s="80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7">
      <c r="A154" s="20" t="n">
        <v>147</v>
      </c>
      <c r="B154" s="75" t="inlineStr">
        <is>
          <t>23ETCCS149</t>
        </is>
      </c>
      <c r="C154" s="76" t="inlineStr">
        <is>
          <t>SURYABHAN SINGH RATHORE</t>
        </is>
      </c>
      <c r="D154" s="80" t="n">
        <v>44</v>
      </c>
      <c r="E154" s="80" t="n">
        <v>29</v>
      </c>
      <c r="F154" s="80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7">
      <c r="A155" s="20" t="n">
        <v>148</v>
      </c>
      <c r="B155" s="75" t="inlineStr">
        <is>
          <t>23ETCCS150</t>
        </is>
      </c>
      <c r="C155" s="76" t="inlineStr">
        <is>
          <t>TAKSH PANERI</t>
        </is>
      </c>
      <c r="D155" s="80" t="n">
        <v>36</v>
      </c>
      <c r="E155" s="80" t="n">
        <v>30</v>
      </c>
      <c r="F155" s="80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7">
      <c r="A156" s="20" t="n">
        <v>149</v>
      </c>
      <c r="B156" s="75" t="inlineStr">
        <is>
          <t>23ETCCS151</t>
        </is>
      </c>
      <c r="C156" s="76" t="inlineStr">
        <is>
          <t>TANISH JAIN</t>
        </is>
      </c>
      <c r="D156" s="80" t="n">
        <v>39</v>
      </c>
      <c r="E156" s="80" t="n">
        <v>27</v>
      </c>
      <c r="F156" s="80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7">
      <c r="A157" s="20" t="n">
        <v>150</v>
      </c>
      <c r="B157" s="75" t="inlineStr">
        <is>
          <t>23ETCCS152</t>
        </is>
      </c>
      <c r="C157" s="76" t="inlineStr">
        <is>
          <t>TANISHKA JAIN</t>
        </is>
      </c>
      <c r="D157" s="80" t="n">
        <v>48</v>
      </c>
      <c r="E157" s="80" t="n">
        <v>28</v>
      </c>
      <c r="F157" s="80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7">
      <c r="A158" s="20" t="n">
        <v>151</v>
      </c>
      <c r="B158" s="75" t="inlineStr">
        <is>
          <t>23ETCCS153</t>
        </is>
      </c>
      <c r="C158" s="76" t="inlineStr">
        <is>
          <t>TANMAY BANSAL</t>
        </is>
      </c>
      <c r="D158" s="80" t="n">
        <v>42</v>
      </c>
      <c r="E158" s="80" t="n">
        <v>28</v>
      </c>
      <c r="F158" s="80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7">
      <c r="A159" s="20" t="n">
        <v>152</v>
      </c>
      <c r="B159" s="75" t="inlineStr">
        <is>
          <t>23ETCCS154</t>
        </is>
      </c>
      <c r="C159" s="76" t="inlineStr">
        <is>
          <t>TUHINA BHADURI</t>
        </is>
      </c>
      <c r="D159" s="80" t="n">
        <v>47</v>
      </c>
      <c r="E159" s="80" t="n">
        <v>27</v>
      </c>
      <c r="F159" s="80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7">
      <c r="A160" s="20" t="n">
        <v>153</v>
      </c>
      <c r="B160" s="75" t="inlineStr">
        <is>
          <t>23ETCCS155</t>
        </is>
      </c>
      <c r="C160" s="76" t="inlineStr">
        <is>
          <t>TUSHAR OJHA</t>
        </is>
      </c>
      <c r="D160" s="80" t="n">
        <v>48</v>
      </c>
      <c r="E160" s="80" t="n">
        <v>28</v>
      </c>
      <c r="F160" s="80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7">
      <c r="A161" s="20" t="n">
        <v>154</v>
      </c>
      <c r="B161" s="75" t="inlineStr">
        <is>
          <t>23ETCCS156</t>
        </is>
      </c>
      <c r="C161" s="76" t="inlineStr">
        <is>
          <t>UMANG LADHA</t>
        </is>
      </c>
      <c r="D161" s="80" t="n">
        <v>54</v>
      </c>
      <c r="E161" s="80" t="n">
        <v>30</v>
      </c>
      <c r="F161" s="80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7">
      <c r="A162" s="20" t="n">
        <v>155</v>
      </c>
      <c r="B162" s="75" t="inlineStr">
        <is>
          <t>23ETCCS157</t>
        </is>
      </c>
      <c r="C162" s="76" t="inlineStr">
        <is>
          <t>VAIBHAV KUMAWAT</t>
        </is>
      </c>
      <c r="D162" s="80" t="n">
        <v>56</v>
      </c>
      <c r="E162" s="80" t="n">
        <v>28</v>
      </c>
      <c r="F162" s="80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7">
      <c r="A163" s="20" t="n">
        <v>156</v>
      </c>
      <c r="B163" s="75" t="inlineStr">
        <is>
          <t>23ETCCS158</t>
        </is>
      </c>
      <c r="C163" s="76" t="inlineStr">
        <is>
          <t>VAIBHAV MENARIA</t>
        </is>
      </c>
      <c r="D163" s="80" t="n">
        <v>24</v>
      </c>
      <c r="E163" s="80" t="n">
        <v>22</v>
      </c>
      <c r="F163" s="80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7">
      <c r="A164" s="20" t="n">
        <v>157</v>
      </c>
      <c r="B164" s="75" t="inlineStr">
        <is>
          <t>23ETCCS159</t>
        </is>
      </c>
      <c r="C164" s="76" t="inlineStr">
        <is>
          <t>VARUN PANERI</t>
        </is>
      </c>
      <c r="D164" s="80" t="n">
        <v>55</v>
      </c>
      <c r="E164" s="80" t="n">
        <v>30</v>
      </c>
      <c r="F164" s="80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7">
      <c r="A165" s="20" t="n">
        <v>158</v>
      </c>
      <c r="B165" s="75" t="inlineStr">
        <is>
          <t>23ETCCS160</t>
        </is>
      </c>
      <c r="C165" s="76" t="inlineStr">
        <is>
          <t>VASHISHTH SHARMA</t>
        </is>
      </c>
      <c r="D165" s="80" t="n">
        <v>51</v>
      </c>
      <c r="E165" s="80" t="n">
        <v>26</v>
      </c>
      <c r="F165" s="80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7">
      <c r="A166" s="20" t="n">
        <v>159</v>
      </c>
      <c r="B166" s="75" t="inlineStr">
        <is>
          <t>23ETCCS161</t>
        </is>
      </c>
      <c r="C166" s="76" t="inlineStr">
        <is>
          <t>VIBHANSHI JAIN</t>
        </is>
      </c>
      <c r="D166" s="80" t="n">
        <v>67</v>
      </c>
      <c r="E166" s="80" t="n">
        <v>25</v>
      </c>
      <c r="F166" s="80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7">
      <c r="A167" s="20" t="n">
        <v>160</v>
      </c>
      <c r="B167" s="75" t="inlineStr">
        <is>
          <t>23ETCCS162</t>
        </is>
      </c>
      <c r="C167" s="76" t="inlineStr">
        <is>
          <t>VINAYAK MAHESHWARI</t>
        </is>
      </c>
      <c r="D167" s="80" t="n">
        <v>52</v>
      </c>
      <c r="E167" s="80" t="n">
        <v>27</v>
      </c>
      <c r="F167" s="80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7">
      <c r="A168" s="20" t="n">
        <v>161</v>
      </c>
      <c r="B168" s="75" t="inlineStr">
        <is>
          <t>23ETCCS163</t>
        </is>
      </c>
      <c r="C168" s="76" t="inlineStr">
        <is>
          <t>VINIT INTODIA</t>
        </is>
      </c>
      <c r="D168" s="80" t="n">
        <v>30</v>
      </c>
      <c r="E168" s="80" t="n">
        <v>28</v>
      </c>
      <c r="F168" s="80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7">
      <c r="A169" s="20" t="n">
        <v>162</v>
      </c>
      <c r="B169" s="75" t="inlineStr">
        <is>
          <t>23ETCCS164</t>
        </is>
      </c>
      <c r="C169" s="76" t="inlineStr">
        <is>
          <t>VINIT JAIN</t>
        </is>
      </c>
      <c r="D169" s="80" t="n">
        <v>29</v>
      </c>
      <c r="E169" s="80" t="n">
        <v>27</v>
      </c>
      <c r="F169" s="80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7">
      <c r="A170" s="20" t="n">
        <v>163</v>
      </c>
      <c r="B170" s="75" t="inlineStr">
        <is>
          <t>23ETCCS165</t>
        </is>
      </c>
      <c r="C170" s="76" t="inlineStr">
        <is>
          <t>VIPANSHU PALIWAL</t>
        </is>
      </c>
      <c r="D170" s="80" t="n">
        <v>21</v>
      </c>
      <c r="E170" s="80" t="n">
        <v>25</v>
      </c>
      <c r="F170" s="80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7">
      <c r="A171" s="20" t="n">
        <v>164</v>
      </c>
      <c r="B171" s="78" t="inlineStr">
        <is>
          <t>23ETCCS166</t>
        </is>
      </c>
      <c r="C171" s="77" t="inlineStr">
        <is>
          <t>VISHESH JAIN</t>
        </is>
      </c>
      <c r="D171" s="80" t="n">
        <v>57</v>
      </c>
      <c r="E171" s="80" t="n">
        <v>29</v>
      </c>
      <c r="F171" s="80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7">
      <c r="A172" s="20" t="n">
        <v>165</v>
      </c>
      <c r="B172" s="75" t="inlineStr">
        <is>
          <t>23ETCCS167</t>
        </is>
      </c>
      <c r="C172" s="76" t="inlineStr">
        <is>
          <t>YAKSH JAIN</t>
        </is>
      </c>
      <c r="D172" s="80" t="n">
        <v>41</v>
      </c>
      <c r="E172" s="80" t="n">
        <v>22</v>
      </c>
      <c r="F172" s="80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7">
      <c r="A173" s="20" t="n">
        <v>166</v>
      </c>
      <c r="B173" s="75" t="inlineStr">
        <is>
          <t>23ETCCS168</t>
        </is>
      </c>
      <c r="C173" s="76" t="inlineStr">
        <is>
          <t>YAKSHIT SHARMA</t>
        </is>
      </c>
      <c r="D173" s="80" t="n">
        <v>48</v>
      </c>
      <c r="E173" s="80" t="n">
        <v>21</v>
      </c>
      <c r="F173" s="80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7">
      <c r="A174" s="20" t="n">
        <v>167</v>
      </c>
      <c r="B174" s="75" t="inlineStr">
        <is>
          <t>23ETCCS169</t>
        </is>
      </c>
      <c r="C174" s="76" t="inlineStr">
        <is>
          <t>YASH DAVE</t>
        </is>
      </c>
      <c r="D174" s="80" t="n">
        <v>42</v>
      </c>
      <c r="E174" s="80" t="n">
        <v>30</v>
      </c>
      <c r="F174" s="80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7">
      <c r="A175" s="20" t="n">
        <v>168</v>
      </c>
      <c r="B175" s="75" t="inlineStr">
        <is>
          <t>23ETCCS170</t>
        </is>
      </c>
      <c r="C175" s="76" t="inlineStr">
        <is>
          <t>YASH JAIN</t>
        </is>
      </c>
      <c r="D175" s="80" t="n">
        <v>44</v>
      </c>
      <c r="E175" s="80" t="n">
        <v>30</v>
      </c>
      <c r="F175" s="80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7">
      <c r="A176" s="20" t="n">
        <v>169</v>
      </c>
      <c r="B176" s="75" t="inlineStr">
        <is>
          <t>23ETCCS171</t>
        </is>
      </c>
      <c r="C176" s="76" t="inlineStr">
        <is>
          <t>YASH KHERODIYA</t>
        </is>
      </c>
      <c r="D176" s="80" t="n">
        <v>37</v>
      </c>
      <c r="E176" s="80" t="n">
        <v>27</v>
      </c>
      <c r="F176" s="80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7">
      <c r="A177" s="20" t="n">
        <v>170</v>
      </c>
      <c r="B177" s="75" t="inlineStr">
        <is>
          <t>23ETCCS172</t>
        </is>
      </c>
      <c r="C177" s="76" t="inlineStr">
        <is>
          <t>YASH KUMAR</t>
        </is>
      </c>
      <c r="D177" s="80" t="n">
        <v>33</v>
      </c>
      <c r="E177" s="80" t="n">
        <v>28</v>
      </c>
      <c r="F177" s="80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7">
      <c r="A178" s="20" t="n">
        <v>171</v>
      </c>
      <c r="B178" s="75" t="inlineStr">
        <is>
          <t>23ETCCS174</t>
        </is>
      </c>
      <c r="C178" s="76" t="inlineStr">
        <is>
          <t>YASHSWI JHALA</t>
        </is>
      </c>
      <c r="D178" s="80" t="n">
        <v>53</v>
      </c>
      <c r="E178" s="80" t="n">
        <v>28</v>
      </c>
      <c r="F178" s="80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7">
      <c r="A179" s="20" t="n">
        <v>172</v>
      </c>
      <c r="B179" s="75" t="inlineStr">
        <is>
          <t>23ETCCS175</t>
        </is>
      </c>
      <c r="C179" s="76" t="inlineStr">
        <is>
          <t>YATHARTH UPADHYAY</t>
        </is>
      </c>
      <c r="D179" s="80" t="n">
        <v>53</v>
      </c>
      <c r="E179" s="80" t="n">
        <v>22</v>
      </c>
      <c r="F179" s="80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7">
      <c r="A180" s="20" t="n">
        <v>173</v>
      </c>
      <c r="B180" s="75" t="inlineStr">
        <is>
          <t>23ETCCS176</t>
        </is>
      </c>
      <c r="C180" s="76" t="inlineStr">
        <is>
          <t>YUVRAJ SINGH GOUR</t>
        </is>
      </c>
      <c r="D180" s="80" t="n">
        <v>53</v>
      </c>
      <c r="E180" s="80" t="n">
        <v>28</v>
      </c>
      <c r="F180" s="80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7">
      <c r="A181" s="20" t="n">
        <v>174</v>
      </c>
      <c r="B181" s="75" t="inlineStr">
        <is>
          <t>23ETCCS177</t>
        </is>
      </c>
      <c r="C181" s="76" t="inlineStr">
        <is>
          <t>ZOHER ZARI</t>
        </is>
      </c>
      <c r="D181" s="80" t="n">
        <v>61</v>
      </c>
      <c r="E181" s="80" t="n">
        <v>26</v>
      </c>
      <c r="F181" s="80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7">
      <c r="A182" s="20" t="n">
        <v>175</v>
      </c>
      <c r="B182" s="75" t="inlineStr">
        <is>
          <t>24ETCCS200</t>
        </is>
      </c>
      <c r="C182" s="76" t="inlineStr">
        <is>
          <t>JAY SINGH</t>
        </is>
      </c>
      <c r="D182" s="80" t="n">
        <v>55</v>
      </c>
      <c r="E182" s="80" t="n">
        <v>26</v>
      </c>
      <c r="F182" s="80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7">
      <c r="A183" s="20" t="n">
        <v>176</v>
      </c>
      <c r="B183" s="75" t="inlineStr">
        <is>
          <t>24ETCCS201</t>
        </is>
      </c>
      <c r="C183" s="76" t="inlineStr">
        <is>
          <t>SNEHA GAJENDRA BAGHEL</t>
        </is>
      </c>
      <c r="D183" s="80" t="n">
        <v>39</v>
      </c>
      <c r="E183" s="80" t="n">
        <v>27</v>
      </c>
      <c r="F183" s="80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7">
      <c r="A184" s="20" t="n"/>
      <c r="B184" s="26" t="n"/>
      <c r="C184" s="27" t="n"/>
      <c r="D184" s="28" t="n">
        <v>176</v>
      </c>
      <c r="E184" s="28" t="n">
        <v>176</v>
      </c>
      <c r="F184" s="25" t="n"/>
      <c r="G184" s="15">
        <f>COUNTIF(G8:G183,1)</f>
        <v/>
      </c>
      <c r="H184" s="15">
        <f>COUNTIF(H8:H183,1)</f>
        <v/>
      </c>
    </row>
    <row r="185" ht="15.75" customHeight="1" s="97">
      <c r="A185" s="29" t="inlineStr">
        <is>
          <t>CO Attainment Calculation</t>
        </is>
      </c>
      <c r="B185" s="30" t="n"/>
      <c r="C185" s="31" t="n"/>
      <c r="D185" s="32" t="inlineStr">
        <is>
          <t>% of students get &gt;= Target %</t>
        </is>
      </c>
      <c r="E185" s="32" t="inlineStr">
        <is>
          <t>CO Attainment Level</t>
        </is>
      </c>
      <c r="F185" s="32" t="inlineStr">
        <is>
          <t>Signature Subject Teacher</t>
        </is>
      </c>
      <c r="G185" s="124" t="n"/>
      <c r="H185" s="125" t="n"/>
    </row>
    <row r="186" ht="19.5" customHeight="1" s="97">
      <c r="A186" s="29" t="inlineStr">
        <is>
          <t>Attainment of End Term Exam</t>
        </is>
      </c>
      <c r="B186" s="30" t="n"/>
      <c r="C186" s="31" t="n"/>
      <c r="D186" s="33">
        <f>ROUND((G184/D184*100),0)</f>
        <v/>
      </c>
      <c r="E186" s="32">
        <f>IF(D186&gt;100,"ERROR",IF(D186&gt;=61,3,IF(D186&gt;=46,2,IF(D186&gt;=16,1,IF(D186&gt;15,0,0)))))</f>
        <v/>
      </c>
      <c r="F186" s="34" t="n"/>
      <c r="G186" s="35" t="n"/>
      <c r="H186" s="36" t="n"/>
    </row>
    <row r="187" ht="19.5" customHeight="1" s="97">
      <c r="A187" s="29" t="inlineStr">
        <is>
          <t>Attainment of Sessional Exam</t>
        </is>
      </c>
      <c r="B187" s="30" t="n"/>
      <c r="C187" s="31" t="n"/>
      <c r="D187" s="33">
        <f>ROUND((H184/E184*100),0)</f>
        <v/>
      </c>
      <c r="E187" s="33">
        <f>IF(D187&gt;100,"ERROR",IF(D187&gt;=61,3,IF(D187&gt;=46,2,IF(D187&gt;=16,1,IF(D187&gt;15,0,0)))))</f>
        <v/>
      </c>
      <c r="F187" s="37" t="n"/>
      <c r="G187" s="38" t="n"/>
      <c r="H187" s="39" t="n"/>
    </row>
    <row r="188" ht="15.75" customHeight="1" s="97">
      <c r="D188" s="40" t="n"/>
      <c r="E188" s="40" t="n"/>
    </row>
    <row r="189" ht="15.75" customHeight="1" s="97">
      <c r="D189" s="40" t="n"/>
      <c r="E189" s="40" t="n"/>
    </row>
    <row r="190" ht="15.75" customHeight="1" s="97">
      <c r="D190" s="40" t="n"/>
      <c r="E190" s="40" t="n"/>
    </row>
    <row r="191" ht="15.75" customHeight="1" s="97">
      <c r="D191" s="40" t="n"/>
      <c r="E191" s="40" t="n"/>
    </row>
    <row r="192" ht="15.75" customHeight="1" s="97">
      <c r="D192" s="40" t="n"/>
      <c r="E192" s="40" t="n"/>
    </row>
    <row r="193" ht="15.75" customHeight="1" s="97">
      <c r="D193" s="40" t="n"/>
      <c r="E193" s="40" t="n"/>
    </row>
    <row r="194" ht="15.75" customHeight="1" s="97">
      <c r="D194" s="40" t="n"/>
      <c r="E194" s="40" t="n"/>
    </row>
    <row r="195" ht="15.75" customHeight="1" s="97">
      <c r="D195" s="40" t="n"/>
      <c r="E195" s="40" t="n"/>
    </row>
    <row r="196" ht="15.75" customHeight="1" s="97">
      <c r="D196" s="40" t="n"/>
      <c r="E196" s="40" t="n"/>
    </row>
    <row r="197" ht="15.75" customHeight="1" s="97">
      <c r="D197" s="40" t="n"/>
      <c r="E197" s="40" t="n"/>
    </row>
    <row r="198" ht="15.75" customHeight="1" s="97">
      <c r="D198" s="40" t="n"/>
      <c r="E198" s="40" t="n"/>
    </row>
    <row r="199" ht="15.75" customHeight="1" s="97">
      <c r="D199" s="40" t="n"/>
      <c r="E199" s="40" t="n"/>
    </row>
    <row r="200" ht="15.75" customHeight="1" s="97">
      <c r="D200" s="40" t="n"/>
      <c r="E200" s="40" t="n"/>
    </row>
    <row r="201" ht="15.75" customHeight="1" s="97">
      <c r="D201" s="40" t="n"/>
      <c r="E201" s="40" t="n"/>
    </row>
    <row r="202" ht="15.75" customHeight="1" s="97">
      <c r="D202" s="40" t="n"/>
      <c r="E202" s="40" t="n"/>
    </row>
    <row r="203" ht="15.75" customHeight="1" s="97">
      <c r="D203" s="40" t="n"/>
      <c r="E203" s="40" t="n"/>
    </row>
    <row r="204" ht="15.75" customHeight="1" s="97">
      <c r="D204" s="40" t="n"/>
      <c r="E204" s="40" t="n"/>
    </row>
    <row r="205" ht="15.75" customHeight="1" s="97">
      <c r="D205" s="40" t="n"/>
      <c r="E205" s="40" t="n"/>
    </row>
    <row r="206" ht="15.75" customHeight="1" s="97">
      <c r="D206" s="40" t="n"/>
      <c r="E206" s="40" t="n"/>
    </row>
    <row r="207" ht="15.75" customHeight="1" s="97">
      <c r="D207" s="40" t="n"/>
      <c r="E207" s="40" t="n"/>
    </row>
    <row r="208" ht="15.75" customHeight="1" s="97">
      <c r="D208" s="40" t="n"/>
      <c r="E208" s="40" t="n"/>
    </row>
    <row r="209" ht="15.75" customHeight="1" s="97">
      <c r="D209" s="40" t="n"/>
      <c r="E209" s="40" t="n"/>
    </row>
    <row r="210" ht="15.75" customHeight="1" s="97">
      <c r="D210" s="40" t="n"/>
      <c r="E210" s="40" t="n"/>
    </row>
    <row r="211" ht="15.75" customHeight="1" s="97">
      <c r="D211" s="40" t="n"/>
      <c r="E211" s="40" t="n"/>
    </row>
    <row r="212" ht="15.75" customHeight="1" s="97">
      <c r="D212" s="40" t="n"/>
      <c r="E212" s="40" t="n"/>
    </row>
    <row r="213" ht="15.75" customHeight="1" s="97">
      <c r="D213" s="40" t="n"/>
      <c r="E213" s="40" t="n"/>
    </row>
    <row r="214" ht="15.75" customHeight="1" s="97">
      <c r="D214" s="40" t="n"/>
      <c r="E214" s="40" t="n"/>
    </row>
    <row r="215" ht="15.75" customHeight="1" s="97">
      <c r="D215" s="40" t="n"/>
      <c r="E215" s="40" t="n"/>
    </row>
    <row r="216" ht="15.75" customHeight="1" s="97">
      <c r="D216" s="40" t="n"/>
      <c r="E216" s="40" t="n"/>
    </row>
    <row r="217" ht="15.75" customHeight="1" s="97">
      <c r="D217" s="40" t="n"/>
      <c r="E217" s="40" t="n"/>
    </row>
    <row r="218" ht="15.75" customHeight="1" s="97">
      <c r="D218" s="40" t="n"/>
      <c r="E218" s="40" t="n"/>
    </row>
    <row r="219" ht="15.75" customHeight="1" s="97">
      <c r="D219" s="40" t="n"/>
      <c r="E219" s="40" t="n"/>
    </row>
    <row r="220" ht="15.75" customHeight="1" s="97">
      <c r="D220" s="40" t="n"/>
      <c r="E220" s="40" t="n"/>
    </row>
    <row r="221" ht="15.75" customHeight="1" s="97">
      <c r="D221" s="40" t="n"/>
      <c r="E221" s="40" t="n"/>
    </row>
    <row r="222" ht="15.75" customHeight="1" s="97">
      <c r="D222" s="40" t="n"/>
      <c r="E222" s="40" t="n"/>
    </row>
    <row r="223" ht="15.75" customHeight="1" s="97">
      <c r="D223" s="40" t="n"/>
      <c r="E223" s="40" t="n"/>
    </row>
    <row r="224" ht="15.75" customHeight="1" s="97">
      <c r="D224" s="40" t="n"/>
      <c r="E224" s="40" t="n"/>
    </row>
    <row r="225" ht="15.75" customHeight="1" s="97">
      <c r="D225" s="40" t="n"/>
      <c r="E225" s="40" t="n"/>
    </row>
    <row r="226" ht="15.75" customHeight="1" s="97">
      <c r="D226" s="40" t="n"/>
      <c r="E226" s="40" t="n"/>
    </row>
    <row r="227" ht="15.75" customHeight="1" s="97">
      <c r="D227" s="40" t="n"/>
      <c r="E227" s="40" t="n"/>
    </row>
    <row r="228" ht="15.75" customHeight="1" s="97">
      <c r="D228" s="40" t="n"/>
      <c r="E228" s="40" t="n"/>
    </row>
    <row r="229" ht="15.75" customHeight="1" s="97">
      <c r="D229" s="40" t="n"/>
      <c r="E229" s="40" t="n"/>
    </row>
    <row r="230" ht="15.75" customHeight="1" s="97">
      <c r="D230" s="40" t="n"/>
      <c r="E230" s="40" t="n"/>
    </row>
    <row r="231" ht="15.75" customHeight="1" s="97">
      <c r="D231" s="40" t="n"/>
      <c r="E231" s="40" t="n"/>
    </row>
    <row r="232" ht="15.75" customHeight="1" s="97">
      <c r="D232" s="40" t="n"/>
      <c r="E232" s="40" t="n"/>
    </row>
    <row r="233" ht="15.75" customHeight="1" s="97">
      <c r="D233" s="40" t="n"/>
      <c r="E233" s="40" t="n"/>
    </row>
    <row r="234" ht="15.75" customHeight="1" s="97">
      <c r="D234" s="40" t="n"/>
      <c r="E234" s="40" t="n"/>
    </row>
    <row r="235" ht="15.75" customHeight="1" s="97">
      <c r="D235" s="40" t="n"/>
      <c r="E235" s="40" t="n"/>
    </row>
    <row r="236" ht="15.75" customHeight="1" s="97">
      <c r="D236" s="40" t="n"/>
      <c r="E236" s="40" t="n"/>
    </row>
    <row r="237" ht="15.75" customHeight="1" s="97">
      <c r="D237" s="40" t="n"/>
      <c r="E237" s="40" t="n"/>
    </row>
    <row r="238" ht="15.75" customHeight="1" s="97">
      <c r="D238" s="40" t="n"/>
      <c r="E238" s="40" t="n"/>
    </row>
    <row r="239" ht="15.75" customHeight="1" s="97">
      <c r="D239" s="40" t="n"/>
      <c r="E239" s="40" t="n"/>
    </row>
    <row r="240" ht="15.75" customHeight="1" s="97">
      <c r="D240" s="40" t="n"/>
      <c r="E240" s="40" t="n"/>
    </row>
    <row r="241" ht="15.75" customHeight="1" s="97">
      <c r="D241" s="40" t="n"/>
      <c r="E241" s="40" t="n"/>
    </row>
    <row r="242" ht="15.75" customHeight="1" s="97">
      <c r="D242" s="40" t="n"/>
      <c r="E242" s="40" t="n"/>
    </row>
    <row r="243" ht="15.75" customHeight="1" s="97">
      <c r="D243" s="40" t="n"/>
      <c r="E243" s="40" t="n"/>
    </row>
    <row r="244" ht="15.75" customHeight="1" s="97">
      <c r="D244" s="40" t="n"/>
      <c r="E244" s="40" t="n"/>
    </row>
    <row r="245" ht="15.75" customHeight="1" s="97">
      <c r="D245" s="40" t="n"/>
      <c r="E245" s="40" t="n"/>
    </row>
    <row r="246" ht="15.75" customHeight="1" s="97">
      <c r="D246" s="40" t="n"/>
      <c r="E246" s="40" t="n"/>
    </row>
    <row r="247" ht="15.75" customHeight="1" s="97">
      <c r="D247" s="40" t="n"/>
      <c r="E247" s="40" t="n"/>
    </row>
    <row r="248" ht="15.75" customHeight="1" s="97">
      <c r="D248" s="40" t="n"/>
      <c r="E248" s="40" t="n"/>
    </row>
    <row r="249" ht="15.75" customHeight="1" s="97">
      <c r="D249" s="40" t="n"/>
      <c r="E249" s="40" t="n"/>
    </row>
    <row r="250" ht="15.75" customHeight="1" s="97">
      <c r="D250" s="40" t="n"/>
      <c r="E250" s="40" t="n"/>
    </row>
    <row r="251" ht="15.75" customHeight="1" s="97">
      <c r="D251" s="40" t="n"/>
      <c r="E251" s="40" t="n"/>
    </row>
    <row r="252" ht="15.75" customHeight="1" s="97">
      <c r="D252" s="40" t="n"/>
      <c r="E252" s="40" t="n"/>
    </row>
    <row r="253" ht="15.75" customHeight="1" s="97">
      <c r="D253" s="40" t="n"/>
      <c r="E253" s="40" t="n"/>
    </row>
    <row r="254" ht="15.75" customHeight="1" s="97">
      <c r="D254" s="40" t="n"/>
      <c r="E254" s="40" t="n"/>
    </row>
    <row r="255" ht="15.75" customHeight="1" s="97">
      <c r="D255" s="40" t="n"/>
      <c r="E255" s="40" t="n"/>
    </row>
    <row r="256" ht="15.75" customHeight="1" s="97">
      <c r="D256" s="40" t="n"/>
      <c r="E256" s="40" t="n"/>
    </row>
    <row r="257" ht="15.75" customHeight="1" s="97">
      <c r="D257" s="40" t="n"/>
      <c r="E257" s="40" t="n"/>
    </row>
    <row r="258" ht="15.75" customHeight="1" s="97">
      <c r="D258" s="40" t="n"/>
      <c r="E258" s="40" t="n"/>
    </row>
    <row r="259" ht="15.75" customHeight="1" s="97">
      <c r="D259" s="40" t="n"/>
      <c r="E259" s="40" t="n"/>
    </row>
    <row r="260" ht="15.75" customHeight="1" s="97">
      <c r="D260" s="40" t="n"/>
      <c r="E260" s="40" t="n"/>
    </row>
    <row r="261" ht="15.75" customHeight="1" s="97">
      <c r="D261" s="40" t="n"/>
      <c r="E261" s="40" t="n"/>
    </row>
    <row r="262" ht="15.75" customHeight="1" s="97">
      <c r="D262" s="40" t="n"/>
      <c r="E262" s="40" t="n"/>
    </row>
    <row r="263" ht="15.75" customHeight="1" s="97">
      <c r="D263" s="40" t="n"/>
      <c r="E263" s="40" t="n"/>
    </row>
    <row r="264" ht="15.75" customHeight="1" s="97">
      <c r="D264" s="40" t="n"/>
      <c r="E264" s="40" t="n"/>
    </row>
    <row r="265" ht="15.75" customHeight="1" s="97">
      <c r="D265" s="40" t="n"/>
      <c r="E265" s="40" t="n"/>
    </row>
    <row r="266" ht="15.75" customHeight="1" s="97">
      <c r="D266" s="40" t="n"/>
      <c r="E266" s="40" t="n"/>
    </row>
    <row r="267" ht="15.75" customHeight="1" s="97">
      <c r="D267" s="40" t="n"/>
      <c r="E267" s="40" t="n"/>
    </row>
    <row r="268" ht="15.75" customHeight="1" s="97">
      <c r="D268" s="40" t="n"/>
      <c r="E268" s="40" t="n"/>
    </row>
    <row r="269" ht="15.75" customHeight="1" s="97">
      <c r="D269" s="40" t="n"/>
      <c r="E269" s="40" t="n"/>
    </row>
    <row r="270" ht="15.75" customHeight="1" s="97">
      <c r="D270" s="40" t="n"/>
      <c r="E270" s="40" t="n"/>
    </row>
    <row r="271" ht="15.75" customHeight="1" s="97">
      <c r="D271" s="40" t="n"/>
      <c r="E271" s="40" t="n"/>
    </row>
    <row r="272" ht="15.75" customHeight="1" s="97">
      <c r="D272" s="40" t="n"/>
      <c r="E272" s="40" t="n"/>
    </row>
    <row r="273" ht="15.75" customHeight="1" s="97">
      <c r="D273" s="40" t="n"/>
      <c r="E273" s="40" t="n"/>
    </row>
    <row r="274" ht="15.75" customHeight="1" s="97">
      <c r="D274" s="40" t="n"/>
      <c r="E274" s="40" t="n"/>
    </row>
    <row r="275" ht="15.75" customHeight="1" s="97">
      <c r="D275" s="40" t="n"/>
      <c r="E275" s="40" t="n"/>
    </row>
    <row r="276" ht="15.75" customHeight="1" s="97">
      <c r="D276" s="40" t="n"/>
      <c r="E276" s="40" t="n"/>
    </row>
    <row r="277" ht="15.75" customHeight="1" s="97">
      <c r="D277" s="40" t="n"/>
      <c r="E277" s="40" t="n"/>
    </row>
    <row r="278" ht="15.75" customHeight="1" s="97">
      <c r="D278" s="40" t="n"/>
      <c r="E278" s="40" t="n"/>
    </row>
    <row r="279" ht="15.75" customHeight="1" s="97">
      <c r="D279" s="40" t="n"/>
      <c r="E279" s="40" t="n"/>
    </row>
    <row r="280" ht="15.75" customHeight="1" s="97">
      <c r="D280" s="40" t="n"/>
      <c r="E280" s="40" t="n"/>
    </row>
    <row r="281" ht="15.75" customHeight="1" s="97">
      <c r="D281" s="40" t="n"/>
      <c r="E281" s="40" t="n"/>
    </row>
    <row r="282" ht="15.75" customHeight="1" s="97">
      <c r="D282" s="40" t="n"/>
      <c r="E282" s="40" t="n"/>
    </row>
    <row r="283" ht="15.75" customHeight="1" s="97">
      <c r="D283" s="40" t="n"/>
      <c r="E283" s="40" t="n"/>
    </row>
    <row r="284" ht="15.75" customHeight="1" s="97">
      <c r="D284" s="40" t="n"/>
      <c r="E284" s="40" t="n"/>
    </row>
    <row r="285" ht="15.75" customHeight="1" s="97">
      <c r="D285" s="40" t="n"/>
      <c r="E285" s="40" t="n"/>
    </row>
    <row r="286" ht="15.75" customHeight="1" s="97">
      <c r="D286" s="40" t="n"/>
      <c r="E286" s="40" t="n"/>
    </row>
    <row r="287" ht="15.75" customHeight="1" s="97">
      <c r="D287" s="40" t="n"/>
      <c r="E287" s="40" t="n"/>
    </row>
    <row r="288" ht="15.75" customHeight="1" s="97">
      <c r="D288" s="40" t="n"/>
      <c r="E288" s="40" t="n"/>
    </row>
    <row r="289" ht="15.75" customHeight="1" s="97">
      <c r="D289" s="40" t="n"/>
      <c r="E289" s="40" t="n"/>
    </row>
    <row r="290" ht="15.75" customHeight="1" s="97">
      <c r="D290" s="40" t="n"/>
      <c r="E290" s="40" t="n"/>
    </row>
    <row r="291" ht="15.75" customHeight="1" s="97">
      <c r="D291" s="40" t="n"/>
      <c r="E291" s="40" t="n"/>
    </row>
    <row r="292" ht="15.75" customHeight="1" s="97">
      <c r="D292" s="40" t="n"/>
      <c r="E292" s="40" t="n"/>
    </row>
    <row r="293" ht="15.75" customHeight="1" s="97">
      <c r="D293" s="40" t="n"/>
      <c r="E293" s="40" t="n"/>
    </row>
    <row r="294" ht="15.75" customHeight="1" s="97">
      <c r="D294" s="40" t="n"/>
      <c r="E294" s="40" t="n"/>
    </row>
    <row r="295" ht="15.75" customHeight="1" s="97">
      <c r="D295" s="40" t="n"/>
      <c r="E295" s="40" t="n"/>
    </row>
    <row r="296" ht="15.75" customHeight="1" s="97">
      <c r="D296" s="40" t="n"/>
      <c r="E296" s="40" t="n"/>
    </row>
    <row r="297" ht="15.75" customHeight="1" s="97">
      <c r="D297" s="40" t="n"/>
      <c r="E297" s="40" t="n"/>
    </row>
    <row r="298" ht="15.75" customHeight="1" s="97">
      <c r="D298" s="40" t="n"/>
      <c r="E298" s="40" t="n"/>
    </row>
    <row r="299" ht="15.75" customHeight="1" s="97">
      <c r="D299" s="40" t="n"/>
      <c r="E299" s="40" t="n"/>
    </row>
    <row r="300" ht="15.75" customHeight="1" s="97">
      <c r="D300" s="40" t="n"/>
      <c r="E300" s="40" t="n"/>
    </row>
    <row r="301" ht="15.75" customHeight="1" s="97">
      <c r="D301" s="40" t="n"/>
      <c r="E301" s="40" t="n"/>
    </row>
    <row r="302" ht="15.75" customHeight="1" s="97">
      <c r="D302" s="40" t="n"/>
      <c r="E302" s="40" t="n"/>
    </row>
    <row r="303" ht="15.75" customHeight="1" s="97">
      <c r="D303" s="40" t="n"/>
      <c r="E303" s="40" t="n"/>
    </row>
    <row r="304" ht="15.75" customHeight="1" s="97">
      <c r="D304" s="40" t="n"/>
      <c r="E304" s="40" t="n"/>
    </row>
    <row r="305" ht="15.75" customHeight="1" s="97">
      <c r="D305" s="40" t="n"/>
      <c r="E305" s="40" t="n"/>
    </row>
    <row r="306" ht="15.75" customHeight="1" s="97">
      <c r="D306" s="40" t="n"/>
      <c r="E306" s="40" t="n"/>
    </row>
    <row r="307" ht="15.75" customHeight="1" s="97">
      <c r="D307" s="40" t="n"/>
      <c r="E307" s="40" t="n"/>
    </row>
    <row r="308" ht="15.75" customHeight="1" s="97">
      <c r="D308" s="40" t="n"/>
      <c r="E308" s="40" t="n"/>
    </row>
    <row r="309" ht="15.75" customHeight="1" s="97">
      <c r="D309" s="40" t="n"/>
      <c r="E309" s="40" t="n"/>
    </row>
    <row r="310" ht="15.75" customHeight="1" s="97">
      <c r="D310" s="40" t="n"/>
      <c r="E310" s="40" t="n"/>
    </row>
    <row r="311" ht="15.75" customHeight="1" s="97">
      <c r="D311" s="40" t="n"/>
      <c r="E311" s="40" t="n"/>
    </row>
    <row r="312" ht="15.75" customHeight="1" s="97">
      <c r="D312" s="40" t="n"/>
      <c r="E312" s="40" t="n"/>
    </row>
    <row r="313" ht="15.75" customHeight="1" s="97">
      <c r="D313" s="40" t="n"/>
      <c r="E313" s="40" t="n"/>
    </row>
    <row r="314" ht="15.75" customHeight="1" s="97">
      <c r="D314" s="40" t="n"/>
      <c r="E314" s="40" t="n"/>
    </row>
    <row r="315" ht="15.75" customHeight="1" s="97">
      <c r="D315" s="40" t="n"/>
      <c r="E315" s="40" t="n"/>
    </row>
    <row r="316" ht="15.75" customHeight="1" s="97">
      <c r="D316" s="40" t="n"/>
      <c r="E316" s="40" t="n"/>
    </row>
    <row r="317" ht="15.75" customHeight="1" s="97">
      <c r="D317" s="40" t="n"/>
      <c r="E317" s="40" t="n"/>
    </row>
    <row r="318" ht="15.75" customHeight="1" s="97">
      <c r="D318" s="40" t="n"/>
      <c r="E318" s="40" t="n"/>
    </row>
    <row r="319" ht="15.75" customHeight="1" s="97">
      <c r="D319" s="40" t="n"/>
      <c r="E319" s="40" t="n"/>
    </row>
    <row r="320" ht="15.75" customHeight="1" s="97">
      <c r="D320" s="40" t="n"/>
      <c r="E320" s="40" t="n"/>
    </row>
    <row r="321" ht="15.75" customHeight="1" s="97">
      <c r="D321" s="40" t="n"/>
      <c r="E321" s="40" t="n"/>
    </row>
    <row r="322" ht="15.75" customHeight="1" s="97">
      <c r="D322" s="40" t="n"/>
      <c r="E322" s="40" t="n"/>
    </row>
    <row r="323" ht="15.75" customHeight="1" s="97">
      <c r="D323" s="40" t="n"/>
      <c r="E323" s="40" t="n"/>
    </row>
    <row r="324" ht="15.75" customHeight="1" s="97">
      <c r="D324" s="40" t="n"/>
      <c r="E324" s="40" t="n"/>
    </row>
    <row r="325" ht="15.75" customHeight="1" s="97">
      <c r="D325" s="40" t="n"/>
      <c r="E325" s="40" t="n"/>
    </row>
    <row r="326" ht="15.75" customHeight="1" s="97">
      <c r="D326" s="40" t="n"/>
      <c r="E326" s="40" t="n"/>
    </row>
    <row r="327" ht="15.75" customHeight="1" s="97">
      <c r="D327" s="40" t="n"/>
      <c r="E327" s="40" t="n"/>
    </row>
    <row r="328" ht="15.75" customHeight="1" s="97">
      <c r="D328" s="40" t="n"/>
      <c r="E328" s="40" t="n"/>
    </row>
    <row r="329" ht="15.75" customHeight="1" s="97">
      <c r="D329" s="40" t="n"/>
      <c r="E329" s="40" t="n"/>
    </row>
    <row r="330" ht="15.75" customHeight="1" s="97">
      <c r="D330" s="40" t="n"/>
      <c r="E330" s="40" t="n"/>
    </row>
    <row r="331" ht="15.75" customHeight="1" s="97">
      <c r="D331" s="40" t="n"/>
      <c r="E331" s="40" t="n"/>
    </row>
    <row r="332" ht="15.75" customHeight="1" s="97">
      <c r="D332" s="40" t="n"/>
      <c r="E332" s="40" t="n"/>
    </row>
    <row r="333" ht="15.75" customHeight="1" s="97">
      <c r="D333" s="40" t="n"/>
      <c r="E333" s="40" t="n"/>
    </row>
    <row r="334" ht="15.75" customHeight="1" s="97">
      <c r="D334" s="40" t="n"/>
      <c r="E334" s="40" t="n"/>
    </row>
    <row r="335" ht="15.75" customHeight="1" s="97">
      <c r="D335" s="40" t="n"/>
      <c r="E335" s="40" t="n"/>
    </row>
    <row r="336" ht="15.75" customHeight="1" s="97">
      <c r="D336" s="40" t="n"/>
      <c r="E336" s="40" t="n"/>
    </row>
    <row r="337" ht="15.75" customHeight="1" s="97">
      <c r="D337" s="40" t="n"/>
      <c r="E337" s="40" t="n"/>
    </row>
    <row r="338" ht="15.75" customHeight="1" s="97">
      <c r="D338" s="40" t="n"/>
      <c r="E338" s="40" t="n"/>
    </row>
    <row r="339" ht="15.75" customHeight="1" s="97">
      <c r="D339" s="40" t="n"/>
      <c r="E339" s="40" t="n"/>
    </row>
    <row r="340" ht="15.75" customHeight="1" s="97">
      <c r="D340" s="40" t="n"/>
      <c r="E340" s="40" t="n"/>
    </row>
    <row r="341" ht="15.75" customHeight="1" s="97">
      <c r="D341" s="40" t="n"/>
      <c r="E341" s="40" t="n"/>
    </row>
    <row r="342" ht="15.75" customHeight="1" s="97">
      <c r="D342" s="40" t="n"/>
      <c r="E342" s="40" t="n"/>
    </row>
    <row r="343" ht="15.75" customHeight="1" s="97">
      <c r="D343" s="40" t="n"/>
      <c r="E343" s="40" t="n"/>
    </row>
    <row r="344" ht="15.75" customHeight="1" s="97">
      <c r="D344" s="40" t="n"/>
      <c r="E344" s="40" t="n"/>
    </row>
    <row r="345" ht="15.75" customHeight="1" s="97">
      <c r="D345" s="40" t="n"/>
      <c r="E345" s="40" t="n"/>
    </row>
    <row r="346" ht="15.75" customHeight="1" s="97">
      <c r="D346" s="40" t="n"/>
      <c r="E346" s="40" t="n"/>
    </row>
    <row r="347" ht="15.75" customHeight="1" s="97">
      <c r="D347" s="40" t="n"/>
      <c r="E347" s="40" t="n"/>
    </row>
    <row r="348" ht="15.75" customHeight="1" s="97">
      <c r="D348" s="40" t="n"/>
      <c r="E348" s="40" t="n"/>
    </row>
    <row r="349" ht="15.75" customHeight="1" s="97">
      <c r="D349" s="40" t="n"/>
      <c r="E349" s="40" t="n"/>
    </row>
    <row r="350" ht="15.75" customHeight="1" s="97">
      <c r="D350" s="40" t="n"/>
      <c r="E350" s="40" t="n"/>
    </row>
    <row r="351" ht="15.75" customHeight="1" s="97">
      <c r="D351" s="40" t="n"/>
      <c r="E351" s="40" t="n"/>
    </row>
    <row r="352" ht="15.75" customHeight="1" s="97">
      <c r="D352" s="40" t="n"/>
      <c r="E352" s="40" t="n"/>
    </row>
    <row r="353" ht="15.75" customHeight="1" s="97">
      <c r="D353" s="40" t="n"/>
      <c r="E353" s="40" t="n"/>
    </row>
    <row r="354" ht="15.75" customHeight="1" s="97">
      <c r="D354" s="40" t="n"/>
      <c r="E354" s="40" t="n"/>
    </row>
    <row r="355" ht="15.75" customHeight="1" s="97">
      <c r="D355" s="40" t="n"/>
      <c r="E355" s="40" t="n"/>
    </row>
    <row r="356" ht="15.75" customHeight="1" s="97">
      <c r="D356" s="40" t="n"/>
      <c r="E356" s="40" t="n"/>
    </row>
    <row r="357" ht="15.75" customHeight="1" s="97">
      <c r="D357" s="40" t="n"/>
      <c r="E357" s="40" t="n"/>
    </row>
    <row r="358" ht="15.75" customHeight="1" s="97">
      <c r="D358" s="40" t="n"/>
      <c r="E358" s="40" t="n"/>
    </row>
    <row r="359" ht="15.75" customHeight="1" s="97">
      <c r="D359" s="40" t="n"/>
      <c r="E359" s="40" t="n"/>
    </row>
    <row r="360" ht="15.75" customHeight="1" s="97">
      <c r="D360" s="40" t="n"/>
      <c r="E360" s="40" t="n"/>
    </row>
    <row r="361" ht="15.75" customHeight="1" s="97">
      <c r="D361" s="40" t="n"/>
      <c r="E361" s="40" t="n"/>
    </row>
    <row r="362" ht="15.75" customHeight="1" s="97">
      <c r="D362" s="40" t="n"/>
      <c r="E362" s="40" t="n"/>
    </row>
    <row r="363" ht="15.75" customHeight="1" s="97">
      <c r="D363" s="40" t="n"/>
      <c r="E363" s="40" t="n"/>
    </row>
    <row r="364" ht="15.75" customHeight="1" s="97">
      <c r="D364" s="40" t="n"/>
      <c r="E364" s="40" t="n"/>
    </row>
    <row r="365" ht="15.75" customHeight="1" s="97">
      <c r="D365" s="40" t="n"/>
      <c r="E365" s="40" t="n"/>
    </row>
    <row r="366" ht="15.75" customHeight="1" s="97">
      <c r="D366" s="40" t="n"/>
      <c r="E366" s="40" t="n"/>
    </row>
    <row r="367" ht="15.75" customHeight="1" s="97">
      <c r="D367" s="40" t="n"/>
      <c r="E367" s="40" t="n"/>
    </row>
    <row r="368" ht="15.75" customHeight="1" s="97">
      <c r="D368" s="40" t="n"/>
      <c r="E368" s="40" t="n"/>
    </row>
    <row r="369" ht="15.75" customHeight="1" s="97">
      <c r="D369" s="40" t="n"/>
      <c r="E369" s="40" t="n"/>
    </row>
    <row r="370" ht="15.75" customHeight="1" s="97">
      <c r="D370" s="40" t="n"/>
      <c r="E370" s="40" t="n"/>
    </row>
    <row r="371" ht="15.75" customHeight="1" s="97">
      <c r="D371" s="40" t="n"/>
      <c r="E371" s="40" t="n"/>
    </row>
    <row r="372" ht="15.75" customHeight="1" s="97">
      <c r="D372" s="40" t="n"/>
      <c r="E372" s="40" t="n"/>
    </row>
    <row r="373" ht="15.75" customHeight="1" s="97">
      <c r="D373" s="40" t="n"/>
      <c r="E373" s="40" t="n"/>
    </row>
    <row r="374" ht="15.75" customHeight="1" s="97">
      <c r="D374" s="40" t="n"/>
      <c r="E374" s="40" t="n"/>
    </row>
    <row r="375" ht="15.75" customHeight="1" s="97">
      <c r="D375" s="40" t="n"/>
      <c r="E375" s="40" t="n"/>
    </row>
    <row r="376" ht="15.75" customHeight="1" s="97">
      <c r="D376" s="40" t="n"/>
      <c r="E376" s="40" t="n"/>
    </row>
    <row r="377" ht="15.75" customHeight="1" s="97">
      <c r="D377" s="40" t="n"/>
      <c r="E377" s="40" t="n"/>
    </row>
    <row r="378" ht="15.75" customHeight="1" s="97">
      <c r="D378" s="40" t="n"/>
      <c r="E378" s="40" t="n"/>
    </row>
    <row r="379" ht="15.75" customHeight="1" s="97">
      <c r="D379" s="40" t="n"/>
      <c r="E379" s="40" t="n"/>
    </row>
    <row r="380" ht="15.75" customHeight="1" s="97">
      <c r="D380" s="40" t="n"/>
      <c r="E380" s="40" t="n"/>
    </row>
    <row r="381" ht="15.75" customHeight="1" s="97">
      <c r="D381" s="40" t="n"/>
      <c r="E381" s="40" t="n"/>
    </row>
    <row r="382" ht="15.75" customHeight="1" s="97">
      <c r="D382" s="40" t="n"/>
      <c r="E382" s="40" t="n"/>
    </row>
    <row r="383" ht="15.75" customHeight="1" s="97">
      <c r="D383" s="40" t="n"/>
      <c r="E383" s="40" t="n"/>
    </row>
    <row r="384" ht="15.75" customHeight="1" s="97">
      <c r="D384" s="40" t="n"/>
      <c r="E384" s="40" t="n"/>
    </row>
    <row r="385" ht="15.75" customHeight="1" s="97">
      <c r="D385" s="40" t="n"/>
      <c r="E385" s="40" t="n"/>
    </row>
    <row r="386" ht="15.75" customHeight="1" s="97">
      <c r="D386" s="40" t="n"/>
      <c r="E386" s="40" t="n"/>
    </row>
    <row r="387" ht="15.75" customHeight="1" s="97">
      <c r="D387" s="40" t="n"/>
      <c r="E387" s="40" t="n"/>
    </row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</sheetData>
  <mergeCells count="9">
    <mergeCell ref="A5:A6"/>
    <mergeCell ref="A4:H4"/>
    <mergeCell ref="A3:H3"/>
    <mergeCell ref="A2:H2"/>
    <mergeCell ref="G5:H5"/>
    <mergeCell ref="F185:H18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F8:F183">
    <cfRule type="containsText" priority="3" operator="containsText" dxfId="1" text="AB">
      <formula>NOT(ISERROR(SEARCH(("AB"),(F8))))</formula>
    </cfRule>
  </conditionalFormatting>
  <conditionalFormatting sqref="G8:H183">
    <cfRule type="cellIs" priority="8" operator="equal" dxfId="0">
      <formula>0</formula>
    </cfRule>
  </conditionalFormatting>
  <conditionalFormatting sqref="E8:E183">
    <cfRule type="cellIs" priority="19" operator="equal" dxfId="0">
      <formula>"F"</formula>
    </cfRule>
    <cfRule type="colorScale" priority="20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7" min="1" max="1"/>
    <col width="8.8984375" customWidth="1" style="97" min="2" max="2"/>
    <col width="12.8984375" customWidth="1" style="97" min="3" max="3"/>
    <col width="13.19921875" customWidth="1" style="97" min="4" max="4"/>
    <col width="11" customWidth="1" style="97" min="5" max="5"/>
    <col width="12.69921875" customWidth="1" style="97" min="6" max="7"/>
    <col width="17.69921875" customWidth="1" style="97" min="8" max="8"/>
    <col width="13.19921875" customWidth="1" style="97" min="9" max="9"/>
    <col width="12.69921875" customWidth="1" style="97" min="10" max="26"/>
  </cols>
  <sheetData>
    <row r="1" ht="19.5" customHeight="1" s="97">
      <c r="A1" s="15">
        <f>'CO-PO Mapping'!A1:P1</f>
        <v/>
      </c>
      <c r="B1" s="124" t="n"/>
      <c r="C1" s="124" t="n"/>
      <c r="D1" s="124" t="n"/>
      <c r="E1" s="124" t="n"/>
      <c r="F1" s="124" t="n"/>
      <c r="G1" s="124" t="n"/>
      <c r="H1" s="124" t="n"/>
      <c r="I1" s="125" t="n"/>
    </row>
    <row r="2" ht="19.5" customHeight="1" s="97">
      <c r="A2" s="15" t="inlineStr">
        <is>
          <t xml:space="preserve">Attainment of Subject </t>
        </is>
      </c>
      <c r="B2" s="124" t="n"/>
      <c r="C2" s="124" t="n"/>
      <c r="D2" s="124" t="n"/>
      <c r="E2" s="124" t="n"/>
      <c r="F2" s="124" t="n"/>
      <c r="G2" s="124" t="n"/>
      <c r="H2" s="124" t="n"/>
      <c r="I2" s="125" t="n"/>
    </row>
    <row r="3" ht="19.5" customHeight="1" s="97">
      <c r="A3" s="15">
        <f>'CO-PO Mapping'!A3:P3</f>
        <v/>
      </c>
      <c r="B3" s="124" t="n"/>
      <c r="C3" s="124" t="n"/>
      <c r="D3" s="124" t="n"/>
      <c r="E3" s="124" t="n"/>
      <c r="F3" s="124" t="n"/>
      <c r="G3" s="124" t="n"/>
      <c r="H3" s="124" t="n"/>
      <c r="I3" s="125" t="n"/>
    </row>
    <row r="4" ht="19.5" customHeight="1" s="97">
      <c r="A4" s="15">
        <f>'CO-PO Mapping'!A4:P4</f>
        <v/>
      </c>
      <c r="B4" s="124" t="n"/>
      <c r="C4" s="124" t="n"/>
      <c r="D4" s="124" t="n"/>
      <c r="E4" s="124" t="n"/>
      <c r="F4" s="124" t="n"/>
      <c r="G4" s="124" t="n"/>
      <c r="H4" s="124" t="n"/>
      <c r="I4" s="125" t="n"/>
    </row>
    <row r="5" ht="78" customHeight="1" s="97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7">
      <c r="A6" s="41">
        <f>'CO-PO Mapping'!A11</f>
        <v/>
      </c>
      <c r="B6" s="41" t="inlineStr">
        <is>
          <t>5CS2-03</t>
        </is>
      </c>
      <c r="C6" s="41">
        <f>'Sessional + End Term Assessment'!D186</f>
        <v/>
      </c>
      <c r="D6" s="41">
        <f>'Sessional + End Term Assessment'!E186</f>
        <v/>
      </c>
      <c r="E6" s="41">
        <f>D6*'Sessional + End Term Assessment'!D6/'Sessional + End Term Assessment'!F6</f>
        <v/>
      </c>
      <c r="F6" s="41">
        <f>'Sessional + End Term Assessment'!D187</f>
        <v/>
      </c>
      <c r="G6" s="41">
        <f>'Sessional + End Term Assessment'!E187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7">
      <c r="A7" s="33" t="inlineStr">
        <is>
          <t>Signature HOD</t>
        </is>
      </c>
      <c r="B7" s="127" t="n"/>
      <c r="C7" s="127" t="n"/>
      <c r="D7" s="127" t="n"/>
      <c r="E7" s="127" t="n"/>
      <c r="F7" s="128" t="n"/>
      <c r="G7" s="32" t="inlineStr">
        <is>
          <t>Signature Subject Teacher</t>
        </is>
      </c>
      <c r="H7" s="124" t="n"/>
      <c r="I7" s="125" t="n"/>
    </row>
    <row r="8" ht="13.8" customHeight="1" s="97">
      <c r="A8" s="129" t="n"/>
      <c r="F8" s="130" t="n"/>
      <c r="G8" s="33" t="n"/>
      <c r="H8" s="127" t="n"/>
      <c r="I8" s="128" t="n"/>
    </row>
    <row r="9" ht="13.8" customHeight="1" s="97">
      <c r="A9" s="131" t="n"/>
      <c r="B9" s="132" t="n"/>
      <c r="C9" s="132" t="n"/>
      <c r="D9" s="132" t="n"/>
      <c r="E9" s="132" t="n"/>
      <c r="F9" s="133" t="n"/>
      <c r="G9" s="131" t="n"/>
      <c r="H9" s="132" t="n"/>
      <c r="I9" s="133" t="n"/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7" min="1" max="1"/>
    <col width="7.69921875" customWidth="1" style="97" min="2" max="26"/>
  </cols>
  <sheetData>
    <row r="1" ht="19.5" customHeight="1" s="97">
      <c r="A1" s="15">
        <f>'CO-PO Mapping'!A1:P1</f>
        <v/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5" t="n"/>
    </row>
    <row r="2" ht="19.5" customHeight="1" s="97">
      <c r="A2" s="15" t="inlineStr">
        <is>
          <t>CO to PO &amp; PSO Attainment Through End Term Assessment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</row>
    <row r="3" ht="19.5" customHeight="1" s="97">
      <c r="A3" s="15">
        <f>'CO-PO Mapping'!A4:P4</f>
        <v/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5" t="n"/>
    </row>
    <row r="4" ht="19.5" customHeight="1" s="97">
      <c r="A4" s="15" t="n"/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125" t="n"/>
    </row>
    <row r="5" ht="19.5" customHeight="1" s="97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7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7">
      <c r="A7" s="33" t="inlineStr">
        <is>
          <t>Signature Subject Teacher</t>
        </is>
      </c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5" t="n"/>
      <c r="N7" s="33" t="n"/>
      <c r="O7" s="124" t="n"/>
      <c r="P7" s="125" t="n"/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7"/>
  <sheetViews>
    <sheetView topLeftCell="A174" workbookViewId="0">
      <selection activeCell="D193" sqref="D193"/>
    </sheetView>
  </sheetViews>
  <sheetFormatPr baseColWidth="8" defaultColWidth="12.59765625" defaultRowHeight="15" customHeight="1"/>
  <cols>
    <col width="5.69921875" customWidth="1" style="97" min="1" max="1"/>
    <col width="14.19921875" customWidth="1" style="97" min="2" max="2"/>
    <col width="35.3984375" customWidth="1" style="97" min="3" max="3"/>
    <col width="15.19921875" customWidth="1" style="97" min="4" max="11"/>
    <col width="14.69921875" customWidth="1" style="97" min="12" max="15"/>
    <col width="15.19921875" customWidth="1" style="97" min="16" max="17"/>
    <col width="9.8984375" customWidth="1" style="97" min="18" max="18"/>
    <col width="8" customWidth="1" style="97" min="19" max="20"/>
    <col width="10.8984375" customWidth="1" style="97" min="21" max="21"/>
    <col width="4.69921875" customWidth="1" style="97" min="22" max="22"/>
    <col width="8" customWidth="1" style="97" min="23" max="24"/>
    <col width="12.69921875" customWidth="1" style="97" min="25" max="25"/>
    <col width="15.5" customWidth="1" style="97" min="26" max="26"/>
    <col width="12.69921875" customWidth="1" style="97" min="27" max="29"/>
  </cols>
  <sheetData>
    <row r="1" ht="19.5" customHeight="1" s="97">
      <c r="A1" s="65">
        <f>'CO-PO Mapping'!A1:R1</f>
        <v/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5" t="n"/>
      <c r="S1" s="44" t="n"/>
      <c r="T1" s="44" t="n"/>
      <c r="U1" s="44" t="n"/>
      <c r="V1" s="44" t="n"/>
      <c r="W1" s="44" t="n"/>
      <c r="X1" s="44" t="n"/>
    </row>
    <row r="2" ht="19.5" customHeight="1" s="97">
      <c r="A2" s="65" t="inlineStr">
        <is>
          <t>MID TERM I EXAM MARK RECORD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4" t="n"/>
      <c r="Q2" s="124" t="n"/>
      <c r="R2" s="125" t="n"/>
      <c r="S2" s="44" t="n"/>
      <c r="T2" s="44" t="n"/>
      <c r="U2" s="44" t="n"/>
      <c r="V2" s="44" t="n"/>
      <c r="W2" s="44" t="n"/>
      <c r="X2" s="44" t="n"/>
    </row>
    <row r="3" ht="19.5" customHeight="1" s="97">
      <c r="A3" s="65">
        <f>'CO-PO Mapping'!A3:R3</f>
        <v/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4" t="n"/>
      <c r="Q3" s="124" t="n"/>
      <c r="R3" s="125" t="n"/>
      <c r="S3" s="44" t="n"/>
      <c r="T3" s="44" t="n"/>
      <c r="U3" s="44" t="n"/>
      <c r="V3" s="44" t="n"/>
      <c r="W3" s="44" t="n"/>
      <c r="X3" s="44" t="n"/>
    </row>
    <row r="4" ht="19.5" customHeight="1" s="97">
      <c r="A4" s="65" t="inlineStr">
        <is>
          <t>S.NO.</t>
        </is>
      </c>
      <c r="B4" s="134" t="inlineStr">
        <is>
          <t>RollNo</t>
        </is>
      </c>
      <c r="C4" s="65" t="inlineStr">
        <is>
          <t>NAME OF STUDENT</t>
        </is>
      </c>
      <c r="D4" s="65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124" t="n"/>
      <c r="Q4" s="125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7">
      <c r="A5" s="135" t="n"/>
      <c r="B5" s="135" t="n"/>
      <c r="C5" s="65" t="inlineStr">
        <is>
          <t>CO MAPPED</t>
        </is>
      </c>
      <c r="D5" s="65" t="inlineStr">
        <is>
          <t>CO1</t>
        </is>
      </c>
      <c r="E5" s="134" t="inlineStr">
        <is>
          <t xml:space="preserve">Target 70% students attain 70% marks (1) </t>
        </is>
      </c>
      <c r="F5" s="134" t="inlineStr">
        <is>
          <t>Target 70% students attain 80% marks (2)</t>
        </is>
      </c>
      <c r="G5" s="134" t="inlineStr">
        <is>
          <t>Target 70% students attain 90% marks (3)</t>
        </is>
      </c>
      <c r="H5" s="65" t="inlineStr">
        <is>
          <t>CO2</t>
        </is>
      </c>
      <c r="I5" s="134" t="inlineStr">
        <is>
          <t xml:space="preserve">Target 70% students attain 70% marks (1) </t>
        </is>
      </c>
      <c r="J5" s="134" t="inlineStr">
        <is>
          <t>Target 70% students attain 80% marks (2)</t>
        </is>
      </c>
      <c r="K5" s="134" t="inlineStr">
        <is>
          <t>Target 70% students attain 90% marks (3)</t>
        </is>
      </c>
      <c r="L5" s="65" t="inlineStr">
        <is>
          <t>CO3</t>
        </is>
      </c>
      <c r="M5" s="102" t="inlineStr">
        <is>
          <t xml:space="preserve">Target 50% students attain 70% marks (1) </t>
        </is>
      </c>
      <c r="N5" s="102" t="inlineStr">
        <is>
          <t>Target 50% students attain 80% marks (2)</t>
        </is>
      </c>
      <c r="O5" s="102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6" t="n"/>
      <c r="S5" s="44" t="n"/>
      <c r="T5" s="44" t="n"/>
      <c r="U5" s="44" t="n"/>
      <c r="V5" s="44" t="n"/>
      <c r="W5" s="44" t="n"/>
      <c r="X5" s="44" t="n"/>
    </row>
    <row r="6" ht="54.75" customHeight="1" s="97">
      <c r="A6" s="126" t="n"/>
      <c r="B6" s="126" t="n"/>
      <c r="C6" s="65" t="inlineStr">
        <is>
          <t>MAX MARKS</t>
        </is>
      </c>
      <c r="D6" s="66" t="n">
        <v>28</v>
      </c>
      <c r="E6" s="126" t="n"/>
      <c r="F6" s="126" t="n"/>
      <c r="G6" s="126" t="n"/>
      <c r="H6" s="66" t="n">
        <v>28</v>
      </c>
      <c r="I6" s="126" t="n"/>
      <c r="J6" s="126" t="n"/>
      <c r="K6" s="126" t="n"/>
      <c r="L6" s="66" t="n">
        <v>14</v>
      </c>
      <c r="M6" s="135" t="n"/>
      <c r="N6" s="135" t="n"/>
      <c r="O6" s="135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7">
      <c r="A7" s="69">
        <f>'Sessional + End Term Assessment'!A8</f>
        <v/>
      </c>
      <c r="B7" s="80">
        <f>'Sessional + End Term Assessment'!B8</f>
        <v/>
      </c>
      <c r="C7" s="80">
        <f>'Sessional + End Term Assessment'!C8</f>
        <v/>
      </c>
      <c r="D7" s="79" t="n">
        <v>25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79" t="n">
        <v>26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79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79" t="n">
        <v>65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7">
      <c r="A8" s="69">
        <f>'Sessional + End Term Assessment'!A9</f>
        <v/>
      </c>
      <c r="B8" s="80">
        <f>'Sessional + End Term Assessment'!B9</f>
        <v/>
      </c>
      <c r="C8" s="80">
        <f>'Sessional + End Term Assessment'!C9</f>
        <v/>
      </c>
      <c r="D8" s="79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79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79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7">
      <c r="A9" s="69">
        <f>'Sessional + End Term Assessment'!A10</f>
        <v/>
      </c>
      <c r="B9" s="80">
        <f>'Sessional + End Term Assessment'!B10</f>
        <v/>
      </c>
      <c r="C9" s="80">
        <f>'Sessional + End Term Assessment'!C10</f>
        <v/>
      </c>
      <c r="D9" s="79" t="n">
        <v>22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79" t="n">
        <v>20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79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79" t="n">
        <v>55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7">
      <c r="A10" s="69">
        <f>'Sessional + End Term Assessment'!A11</f>
        <v/>
      </c>
      <c r="B10" s="80">
        <f>'Sessional + End Term Assessment'!B11</f>
        <v/>
      </c>
      <c r="C10" s="80">
        <f>'Sessional + End Term Assessment'!C11</f>
        <v/>
      </c>
      <c r="D10" s="79" t="n">
        <v>26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79" t="n">
        <v>26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79" t="n">
        <v>14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79" t="n">
        <v>66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7">
      <c r="A11" s="69">
        <f>'Sessional + End Term Assessment'!A12</f>
        <v/>
      </c>
      <c r="B11" s="80">
        <f>'Sessional + End Term Assessment'!B12</f>
        <v/>
      </c>
      <c r="C11" s="80">
        <f>'Sessional + End Term Assessment'!C12</f>
        <v/>
      </c>
      <c r="D11" s="79" t="n">
        <v>23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79" t="n">
        <v>20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79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79" t="n">
        <v>56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7">
      <c r="A12" s="69">
        <f>'Sessional + End Term Assessment'!A13</f>
        <v/>
      </c>
      <c r="B12" s="80">
        <f>'Sessional + End Term Assessment'!B13</f>
        <v/>
      </c>
      <c r="C12" s="80">
        <f>'Sessional + End Term Assessment'!C13</f>
        <v/>
      </c>
      <c r="D12" s="79" t="n">
        <v>24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79" t="n">
        <v>24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79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61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7">
      <c r="A13" s="69">
        <f>'Sessional + End Term Assessment'!A14</f>
        <v/>
      </c>
      <c r="B13" s="80">
        <f>'Sessional + End Term Assessment'!B14</f>
        <v/>
      </c>
      <c r="C13" s="80">
        <f>'Sessional + End Term Assessment'!C14</f>
        <v/>
      </c>
      <c r="D13" s="79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79" t="n">
        <v>26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79" t="n">
        <v>13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79" t="n">
        <v>63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7">
      <c r="A14" s="69">
        <f>'Sessional + End Term Assessment'!A15</f>
        <v/>
      </c>
      <c r="B14" s="80">
        <f>'Sessional + End Term Assessment'!B15</f>
        <v/>
      </c>
      <c r="C14" s="80">
        <f>'Sessional + End Term Assessment'!C15</f>
        <v/>
      </c>
      <c r="D14" s="79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79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79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79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7">
      <c r="A15" s="69">
        <f>'Sessional + End Term Assessment'!A16</f>
        <v/>
      </c>
      <c r="B15" s="80">
        <f>'Sessional + End Term Assessment'!B16</f>
        <v/>
      </c>
      <c r="C15" s="80">
        <f>'Sessional + End Term Assessment'!C16</f>
        <v/>
      </c>
      <c r="D15" s="79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79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79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7">
      <c r="A16" s="69">
        <f>'Sessional + End Term Assessment'!A17</f>
        <v/>
      </c>
      <c r="B16" s="80">
        <f>'Sessional + End Term Assessment'!B17</f>
        <v/>
      </c>
      <c r="C16" s="80">
        <f>'Sessional + End Term Assessment'!C17</f>
        <v/>
      </c>
      <c r="D16" s="79" t="n">
        <v>26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79" t="n">
        <v>26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79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79" t="n">
        <v>66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7">
      <c r="A17" s="69">
        <f>'Sessional + End Term Assessment'!A18</f>
        <v/>
      </c>
      <c r="B17" s="80">
        <f>'Sessional + End Term Assessment'!B18</f>
        <v/>
      </c>
      <c r="C17" s="80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7">
      <c r="A18" s="69">
        <f>'Sessional + End Term Assessment'!A19</f>
        <v/>
      </c>
      <c r="B18" s="80">
        <f>'Sessional + End Term Assessment'!B19</f>
        <v/>
      </c>
      <c r="C18" s="80">
        <f>'Sessional + End Term Assessment'!C19</f>
        <v/>
      </c>
      <c r="D18" s="79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79" t="n">
        <v>27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79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65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7">
      <c r="A19" s="69">
        <f>'Sessional + End Term Assessment'!A20</f>
        <v/>
      </c>
      <c r="B19" s="80">
        <f>'Sessional + End Term Assessment'!B20</f>
        <v/>
      </c>
      <c r="C19" s="80">
        <f>'Sessional + End Term Assessment'!C20</f>
        <v/>
      </c>
      <c r="D19" t="n">
        <v>23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22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58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7">
      <c r="A20" s="69">
        <f>'Sessional + End Term Assessment'!A21</f>
        <v/>
      </c>
      <c r="B20" s="80">
        <f>'Sessional + End Term Assessment'!B21</f>
        <v/>
      </c>
      <c r="C20" s="80">
        <f>'Sessional + End Term Assessment'!C21</f>
        <v/>
      </c>
      <c r="D20" s="79" t="n">
        <v>26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79" t="n">
        <v>23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79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79" t="n">
        <v>62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7">
      <c r="A21" s="69">
        <f>'Sessional + End Term Assessment'!A22</f>
        <v/>
      </c>
      <c r="B21" s="80">
        <f>'Sessional + End Term Assessment'!B22</f>
        <v/>
      </c>
      <c r="C21" s="80">
        <f>'Sessional + End Term Assessment'!C22</f>
        <v/>
      </c>
      <c r="D21" s="79" t="n">
        <v>21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79" t="n">
        <v>21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79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79" t="n">
        <v>55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7">
      <c r="A22" s="69">
        <f>'Sessional + End Term Assessment'!A23</f>
        <v/>
      </c>
      <c r="B22" s="80">
        <f>'Sessional + End Term Assessment'!B23</f>
        <v/>
      </c>
      <c r="C22" s="80">
        <f>'Sessional + End Term Assessment'!C23</f>
        <v/>
      </c>
      <c r="D22" s="79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79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79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7">
      <c r="A23" s="69">
        <f>'Sessional + End Term Assessment'!A24</f>
        <v/>
      </c>
      <c r="B23" s="80">
        <f>'Sessional + End Term Assessment'!B24</f>
        <v/>
      </c>
      <c r="C23" s="80">
        <f>'Sessional + End Term Assessment'!C24</f>
        <v/>
      </c>
      <c r="D23" s="79" t="n">
        <v>24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79" t="n">
        <v>27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79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79" t="n">
        <v>65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7">
      <c r="A24" s="69">
        <f>'Sessional + End Term Assessment'!A25</f>
        <v/>
      </c>
      <c r="B24" s="80">
        <f>'Sessional + End Term Assessment'!B25</f>
        <v/>
      </c>
      <c r="C24" s="80">
        <f>'Sessional + End Term Assessment'!C25</f>
        <v/>
      </c>
      <c r="D24" s="79" t="n">
        <v>23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79" t="n">
        <v>22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79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79" t="n">
        <v>58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7">
      <c r="A25" s="69">
        <f>'Sessional + End Term Assessment'!A26</f>
        <v/>
      </c>
      <c r="B25" s="80">
        <f>'Sessional + End Term Assessment'!B26</f>
        <v/>
      </c>
      <c r="C25" s="80">
        <f>'Sessional + End Term Assessment'!C26</f>
        <v/>
      </c>
      <c r="D25" s="79" t="n">
        <v>28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79" t="n">
        <v>28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79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79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7">
      <c r="A26" s="69">
        <f>'Sessional + End Term Assessment'!A27</f>
        <v/>
      </c>
      <c r="B26" s="80">
        <f>'Sessional + End Term Assessment'!B27</f>
        <v/>
      </c>
      <c r="C26" s="80">
        <f>'Sessional + End Term Assessment'!C27</f>
        <v/>
      </c>
      <c r="D26" s="79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79" t="n">
        <v>25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79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79" t="n">
        <v>67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7">
      <c r="A27" s="69">
        <f>'Sessional + End Term Assessment'!A28</f>
        <v/>
      </c>
      <c r="B27" s="80">
        <f>'Sessional + End Term Assessment'!B28</f>
        <v/>
      </c>
      <c r="C27" s="80">
        <f>'Sessional + End Term Assessment'!C28</f>
        <v/>
      </c>
      <c r="D27" s="79" t="n">
        <v>25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79" t="n">
        <v>26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79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64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7">
      <c r="A28" s="69">
        <f>'Sessional + End Term Assessment'!A29</f>
        <v/>
      </c>
      <c r="B28" s="80">
        <f>'Sessional + End Term Assessment'!B29</f>
        <v/>
      </c>
      <c r="C28" s="80">
        <f>'Sessional + End Term Assessment'!C29</f>
        <v/>
      </c>
      <c r="D28" t="n">
        <v>20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23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56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7">
      <c r="A29" s="69">
        <f>'Sessional + End Term Assessment'!A30</f>
        <v/>
      </c>
      <c r="B29" s="80">
        <f>'Sessional + End Term Assessment'!B30</f>
        <v/>
      </c>
      <c r="C29" s="80">
        <f>'Sessional + End Term Assessment'!C30</f>
        <v/>
      </c>
      <c r="D29" s="79" t="n">
        <v>27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79" t="n">
        <v>26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79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67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7">
      <c r="A30" s="69">
        <f>'Sessional + End Term Assessment'!A31</f>
        <v/>
      </c>
      <c r="B30" s="80">
        <f>'Sessional + End Term Assessment'!B31</f>
        <v/>
      </c>
      <c r="C30" s="80">
        <f>'Sessional + End Term Assessment'!C31</f>
        <v/>
      </c>
      <c r="D30" s="79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79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79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79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7">
      <c r="A31" s="69">
        <f>'Sessional + End Term Assessment'!A32</f>
        <v/>
      </c>
      <c r="B31" s="80">
        <f>'Sessional + End Term Assessment'!B32</f>
        <v/>
      </c>
      <c r="C31" s="80">
        <f>'Sessional + End Term Assessment'!C32</f>
        <v/>
      </c>
      <c r="D31" s="79" t="n">
        <v>25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79" t="n">
        <v>25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79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79" t="n">
        <v>63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7">
      <c r="A32" s="69">
        <f>'Sessional + End Term Assessment'!A33</f>
        <v/>
      </c>
      <c r="B32" s="80">
        <f>'Sessional + End Term Assessment'!B33</f>
        <v/>
      </c>
      <c r="C32" s="80">
        <f>'Sessional + End Term Assessment'!C33</f>
        <v/>
      </c>
      <c r="D32" t="n">
        <v>21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21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55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7">
      <c r="A33" s="69">
        <f>'Sessional + End Term Assessment'!A34</f>
        <v/>
      </c>
      <c r="B33" s="80">
        <f>'Sessional + End Term Assessment'!B34</f>
        <v/>
      </c>
      <c r="C33" s="80">
        <f>'Sessional + End Term Assessment'!C34</f>
        <v/>
      </c>
      <c r="D33" s="79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79" t="n">
        <v>28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79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79" t="n">
        <v>70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7">
      <c r="A34" s="69">
        <f>'Sessional + End Term Assessment'!A35</f>
        <v/>
      </c>
      <c r="B34" s="80">
        <f>'Sessional + End Term Assessment'!B35</f>
        <v/>
      </c>
      <c r="C34" s="80">
        <f>'Sessional + End Term Assessment'!C35</f>
        <v/>
      </c>
      <c r="D34" s="79" t="n">
        <v>22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79" t="n">
        <v>21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79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56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7">
      <c r="A35" s="69">
        <f>'Sessional + End Term Assessment'!A36</f>
        <v/>
      </c>
      <c r="B35" s="80">
        <f>'Sessional + End Term Assessment'!B36</f>
        <v/>
      </c>
      <c r="C35" s="80">
        <f>'Sessional + End Term Assessment'!C36</f>
        <v/>
      </c>
      <c r="D35" s="79" t="n">
        <v>27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79" t="n">
        <v>24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79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79" t="n">
        <v>65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7">
      <c r="A36" s="69">
        <f>'Sessional + End Term Assessment'!A37</f>
        <v/>
      </c>
      <c r="B36" s="80">
        <f>'Sessional + End Term Assessment'!B37</f>
        <v/>
      </c>
      <c r="C36" s="80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61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7">
      <c r="A37" s="69">
        <f>'Sessional + End Term Assessment'!A38</f>
        <v/>
      </c>
      <c r="B37" s="80">
        <f>'Sessional + End Term Assessment'!B38</f>
        <v/>
      </c>
      <c r="C37" s="80">
        <f>'Sessional + End Term Assessment'!C38</f>
        <v/>
      </c>
      <c r="D37" s="79" t="n">
        <v>27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79" t="n">
        <v>27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79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79" t="n">
        <v>68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7">
      <c r="A38" s="69">
        <f>'Sessional + End Term Assessment'!A39</f>
        <v/>
      </c>
      <c r="B38" s="80">
        <f>'Sessional + End Term Assessment'!B39</f>
        <v/>
      </c>
      <c r="C38" s="80">
        <f>'Sessional + End Term Assessment'!C39</f>
        <v/>
      </c>
      <c r="D38" s="79" t="n">
        <v>21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79" t="n">
        <v>23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79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79" t="n">
        <v>57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7">
      <c r="A39" s="69">
        <f>'Sessional + End Term Assessment'!A40</f>
        <v/>
      </c>
      <c r="B39" s="80">
        <f>'Sessional + End Term Assessment'!B40</f>
        <v/>
      </c>
      <c r="C39" s="80">
        <f>'Sessional + End Term Assessment'!C40</f>
        <v/>
      </c>
      <c r="D39" s="79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79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79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7">
      <c r="A40" s="69">
        <f>'Sessional + End Term Assessment'!A41</f>
        <v/>
      </c>
      <c r="B40" s="80">
        <f>'Sessional + End Term Assessment'!B41</f>
        <v/>
      </c>
      <c r="C40" s="80">
        <f>'Sessional + End Term Assessment'!C41</f>
        <v/>
      </c>
      <c r="D40" s="79" t="n">
        <v>24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79" t="n">
        <v>24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79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61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7">
      <c r="A41" s="69">
        <f>'Sessional + End Term Assessment'!A42</f>
        <v/>
      </c>
      <c r="B41" s="80">
        <f>'Sessional + End Term Assessment'!B42</f>
        <v/>
      </c>
      <c r="C41" s="80">
        <f>'Sessional + End Term Assessment'!C42</f>
        <v/>
      </c>
      <c r="D41" s="79" t="n">
        <v>23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79" t="n">
        <v>20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79" t="n">
        <v>13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79" t="n">
        <v>56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7">
      <c r="A42" s="69">
        <f>'Sessional + End Term Assessment'!A43</f>
        <v/>
      </c>
      <c r="B42" s="80">
        <f>'Sessional + End Term Assessment'!B43</f>
        <v/>
      </c>
      <c r="C42" s="80">
        <f>'Sessional + End Term Assessment'!C43</f>
        <v/>
      </c>
      <c r="D42" s="79" t="n">
        <v>24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79" t="n">
        <v>24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79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79" t="n">
        <v>61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7">
      <c r="A43" s="69">
        <f>'Sessional + End Term Assessment'!A44</f>
        <v/>
      </c>
      <c r="B43" s="80">
        <f>'Sessional + End Term Assessment'!B44</f>
        <v/>
      </c>
      <c r="C43" s="80">
        <f>'Sessional + End Term Assessment'!C44</f>
        <v/>
      </c>
      <c r="D43" s="79" t="n">
        <v>20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79" t="n">
        <v>23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79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56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7">
      <c r="A44" s="69">
        <f>'Sessional + End Term Assessment'!A45</f>
        <v/>
      </c>
      <c r="B44" s="80">
        <f>'Sessional + End Term Assessment'!B45</f>
        <v/>
      </c>
      <c r="C44" s="80">
        <f>'Sessional + End Term Assessment'!C45</f>
        <v/>
      </c>
      <c r="D44" s="79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79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79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79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7">
      <c r="A45" s="69">
        <f>'Sessional + End Term Assessment'!A46</f>
        <v/>
      </c>
      <c r="B45" s="80">
        <f>'Sessional + End Term Assessment'!B46</f>
        <v/>
      </c>
      <c r="C45" s="80">
        <f>'Sessional + End Term Assessment'!C46</f>
        <v/>
      </c>
      <c r="D45" s="79" t="n">
        <v>26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79" t="n">
        <v>26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79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79" t="n">
        <v>66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7">
      <c r="A46" s="69">
        <f>'Sessional + End Term Assessment'!A47</f>
        <v/>
      </c>
      <c r="B46" s="80">
        <f>'Sessional + End Term Assessment'!B47</f>
        <v/>
      </c>
      <c r="C46" s="80">
        <f>'Sessional + End Term Assessment'!C47</f>
        <v/>
      </c>
      <c r="D46" s="79" t="n">
        <v>25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79" t="n">
        <v>25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79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79" t="n">
        <v>63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7">
      <c r="A47" s="69">
        <f>'Sessional + End Term Assessment'!A48</f>
        <v/>
      </c>
      <c r="B47" s="80">
        <f>'Sessional + End Term Assessment'!B48</f>
        <v/>
      </c>
      <c r="C47" s="80">
        <f>'Sessional + End Term Assessment'!C48</f>
        <v/>
      </c>
      <c r="D47" s="79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79" t="n">
        <v>28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79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79" t="n">
        <v>70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7">
      <c r="A48" s="69">
        <f>'Sessional + End Term Assessment'!A49</f>
        <v/>
      </c>
      <c r="B48" s="80">
        <f>'Sessional + End Term Assessment'!B49</f>
        <v/>
      </c>
      <c r="C48" s="80">
        <f>'Sessional + End Term Assessment'!C49</f>
        <v/>
      </c>
      <c r="D48" s="79" t="n">
        <v>20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79" t="n">
        <v>23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79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56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7">
      <c r="A49" s="69">
        <f>'Sessional + End Term Assessment'!A50</f>
        <v/>
      </c>
      <c r="B49" s="80">
        <f>'Sessional + End Term Assessment'!B50</f>
        <v/>
      </c>
      <c r="C49" s="80">
        <f>'Sessional + End Term Assessment'!C50</f>
        <v/>
      </c>
      <c r="D49" s="79" t="n">
        <v>23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79" t="n">
        <v>22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79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79" t="n">
        <v>58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7">
      <c r="A50" s="69">
        <f>'Sessional + End Term Assessment'!A51</f>
        <v/>
      </c>
      <c r="B50" s="80">
        <f>'Sessional + End Term Assessment'!B51</f>
        <v/>
      </c>
      <c r="C50" s="80">
        <f>'Sessional + End Term Assessment'!C51</f>
        <v/>
      </c>
      <c r="D50" s="79" t="n">
        <v>26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79" t="n">
        <v>23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79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62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7">
      <c r="A51" s="69">
        <f>'Sessional + End Term Assessment'!A52</f>
        <v/>
      </c>
      <c r="B51" s="80">
        <f>'Sessional + End Term Assessment'!B52</f>
        <v/>
      </c>
      <c r="C51" s="80">
        <f>'Sessional + End Term Assessment'!C52</f>
        <v/>
      </c>
      <c r="D51" s="79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79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79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79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7">
      <c r="A52" s="69">
        <f>'Sessional + End Term Assessment'!A53</f>
        <v/>
      </c>
      <c r="B52" s="80">
        <f>'Sessional + End Term Assessment'!B53</f>
        <v/>
      </c>
      <c r="C52" s="80">
        <f>'Sessional + End Term Assessment'!C53</f>
        <v/>
      </c>
      <c r="D52" s="79" t="n">
        <v>23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79" t="n">
        <v>23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79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59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7">
      <c r="A53" s="69">
        <f>'Sessional + End Term Assessment'!A54</f>
        <v/>
      </c>
      <c r="B53" s="80">
        <f>'Sessional + End Term Assessment'!B54</f>
        <v/>
      </c>
      <c r="C53" s="80">
        <f>'Sessional + End Term Assessment'!C54</f>
        <v/>
      </c>
      <c r="D53" s="79" t="n">
        <v>24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79" t="n">
        <v>26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79" t="n">
        <v>13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63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7">
      <c r="A54" s="69">
        <f>'Sessional + End Term Assessment'!A55</f>
        <v/>
      </c>
      <c r="B54" s="80">
        <f>'Sessional + End Term Assessment'!B55</f>
        <v/>
      </c>
      <c r="C54" s="80">
        <f>'Sessional + End Term Assessment'!C55</f>
        <v/>
      </c>
      <c r="D54" t="n">
        <v>23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22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79" t="n">
        <v>58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7">
      <c r="A55" s="69">
        <f>'Sessional + End Term Assessment'!A56</f>
        <v/>
      </c>
      <c r="B55" s="80">
        <f>'Sessional + End Term Assessment'!B56</f>
        <v/>
      </c>
      <c r="C55" s="80">
        <f>'Sessional + End Term Assessment'!C56</f>
        <v/>
      </c>
      <c r="D55" t="n">
        <v>24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21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13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79" t="n">
        <v>58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7">
      <c r="A56" s="69">
        <f>'Sessional + End Term Assessment'!A57</f>
        <v/>
      </c>
      <c r="B56" s="80">
        <f>'Sessional + End Term Assessment'!B57</f>
        <v/>
      </c>
      <c r="C56" s="80">
        <f>'Sessional + End Term Assessment'!C57</f>
        <v/>
      </c>
      <c r="D56" s="79" t="n">
        <v>27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79" t="n">
        <v>24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79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79" t="n">
        <v>64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7">
      <c r="A57" s="69">
        <f>'Sessional + End Term Assessment'!A58</f>
        <v/>
      </c>
      <c r="B57" s="80">
        <f>'Sessional + End Term Assessment'!B58</f>
        <v/>
      </c>
      <c r="C57" s="80">
        <f>'Sessional + End Term Assessment'!C58</f>
        <v/>
      </c>
      <c r="D57" s="79" t="n">
        <v>20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79" t="n">
        <v>21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79" t="n">
        <v>11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79" t="n">
        <v>52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7">
      <c r="A58" s="69">
        <f>'Sessional + End Term Assessment'!A59</f>
        <v/>
      </c>
      <c r="B58" s="80">
        <f>'Sessional + End Term Assessment'!B59</f>
        <v/>
      </c>
      <c r="C58" s="80">
        <f>'Sessional + End Term Assessment'!C59</f>
        <v/>
      </c>
      <c r="D58" s="79" t="n">
        <v>23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79" t="n">
        <v>25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79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61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7">
      <c r="A59" s="69">
        <f>'Sessional + End Term Assessment'!A60</f>
        <v/>
      </c>
      <c r="B59" s="80">
        <f>'Sessional + End Term Assessment'!B60</f>
        <v/>
      </c>
      <c r="C59" s="80">
        <f>'Sessional + End Term Assessment'!C60</f>
        <v/>
      </c>
      <c r="D59" s="79" t="n">
        <v>24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79" t="n">
        <v>23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79" t="n">
        <v>13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79" t="n">
        <v>60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7">
      <c r="A60" s="69">
        <f>'Sessional + End Term Assessment'!A61</f>
        <v/>
      </c>
      <c r="B60" s="80">
        <f>'Sessional + End Term Assessment'!B61</f>
        <v/>
      </c>
      <c r="C60" s="80">
        <f>'Sessional + End Term Assessment'!C61</f>
        <v/>
      </c>
      <c r="D60" s="79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79" t="n">
        <v>27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79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79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7">
      <c r="A61" s="69">
        <f>'Sessional + End Term Assessment'!A62</f>
        <v/>
      </c>
      <c r="B61" s="80">
        <f>'Sessional + End Term Assessment'!B62</f>
        <v/>
      </c>
      <c r="C61" s="80">
        <f>'Sessional + End Term Assessment'!C62</f>
        <v/>
      </c>
      <c r="D61" s="79" t="n">
        <v>24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79" t="n">
        <v>21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79" t="n">
        <v>13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58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7">
      <c r="A62" s="69">
        <f>'Sessional + End Term Assessment'!A63</f>
        <v/>
      </c>
      <c r="B62" s="80">
        <f>'Sessional + End Term Assessment'!B63</f>
        <v/>
      </c>
      <c r="C62" s="80">
        <f>'Sessional + End Term Assessment'!C63</f>
        <v/>
      </c>
      <c r="D62" s="79" t="n">
        <v>25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79" t="n">
        <v>26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79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79" t="n">
        <v>64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7">
      <c r="A63" s="69">
        <f>'Sessional + End Term Assessment'!A64</f>
        <v/>
      </c>
      <c r="B63" s="80">
        <f>'Sessional + End Term Assessment'!B64</f>
        <v/>
      </c>
      <c r="C63" s="80">
        <f>'Sessional + End Term Assessment'!C64</f>
        <v/>
      </c>
      <c r="D63" s="79" t="n">
        <v>24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79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79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79" t="n">
        <v>64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7">
      <c r="A64" s="69">
        <f>'Sessional + End Term Assessment'!A65</f>
        <v/>
      </c>
      <c r="B64" s="80">
        <f>'Sessional + End Term Assessment'!B65</f>
        <v/>
      </c>
      <c r="C64" s="80">
        <f>'Sessional + End Term Assessment'!C65</f>
        <v/>
      </c>
      <c r="D64" s="79" t="n">
        <v>24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79" t="n">
        <v>22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79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79" t="n">
        <v>59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7">
      <c r="A65" s="69">
        <f>'Sessional + End Term Assessment'!A66</f>
        <v/>
      </c>
      <c r="B65" s="80">
        <f>'Sessional + End Term Assessment'!B66</f>
        <v/>
      </c>
      <c r="C65" s="80">
        <f>'Sessional + End Term Assessment'!C66</f>
        <v/>
      </c>
      <c r="D65" s="79" t="n">
        <v>27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79" t="n">
        <v>24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79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65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7">
      <c r="A66" s="69">
        <f>'Sessional + End Term Assessment'!A67</f>
        <v/>
      </c>
      <c r="B66" s="80">
        <f>'Sessional + End Term Assessment'!B67</f>
        <v/>
      </c>
      <c r="C66" s="80">
        <f>'Sessional + End Term Assessment'!C67</f>
        <v/>
      </c>
      <c r="D66" t="n">
        <v>24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21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58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7">
      <c r="A67" s="69">
        <f>'Sessional + End Term Assessment'!A68</f>
        <v/>
      </c>
      <c r="B67" s="80">
        <f>'Sessional + End Term Assessment'!B68</f>
        <v/>
      </c>
      <c r="C67" s="80">
        <f>'Sessional + End Term Assessment'!C68</f>
        <v/>
      </c>
      <c r="D67" s="79" t="n">
        <v>27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79" t="n">
        <v>27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79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79" t="n">
        <v>68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7">
      <c r="A68" s="69">
        <f>'Sessional + End Term Assessment'!A69</f>
        <v/>
      </c>
      <c r="B68" s="80">
        <f>'Sessional + End Term Assessment'!B69</f>
        <v/>
      </c>
      <c r="C68" s="80">
        <f>'Sessional + End Term Assessment'!C69</f>
        <v/>
      </c>
      <c r="D68" t="n">
        <v>23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26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62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7">
      <c r="A69" s="69">
        <f>'Sessional + End Term Assessment'!A70</f>
        <v/>
      </c>
      <c r="B69" s="80">
        <f>'Sessional + End Term Assessment'!B70</f>
        <v/>
      </c>
      <c r="C69" s="80">
        <f>'Sessional + End Term Assessment'!C70</f>
        <v/>
      </c>
      <c r="D69" s="79" t="n">
        <v>27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79" t="n">
        <v>25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79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79" t="n">
        <v>66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7">
      <c r="A70" s="69">
        <f>'Sessional + End Term Assessment'!A71</f>
        <v/>
      </c>
      <c r="B70" s="80">
        <f>'Sessional + End Term Assessment'!B71</f>
        <v/>
      </c>
      <c r="C70" s="80">
        <f>'Sessional + End Term Assessment'!C71</f>
        <v/>
      </c>
      <c r="D70" s="79" t="n">
        <v>26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79" t="n">
        <v>26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79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7">
      <c r="A71" s="69">
        <f>'Sessional + End Term Assessment'!A72</f>
        <v/>
      </c>
      <c r="B71" s="80">
        <f>'Sessional + End Term Assessment'!B72</f>
        <v/>
      </c>
      <c r="C71" s="80">
        <f>'Sessional + End Term Assessment'!C72</f>
        <v/>
      </c>
      <c r="D71" s="79" t="n">
        <v>28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79" t="n">
        <v>28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79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79" t="n">
        <v>70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7">
      <c r="A72" s="69">
        <f>'Sessional + End Term Assessment'!A73</f>
        <v/>
      </c>
      <c r="B72" s="80">
        <f>'Sessional + End Term Assessment'!B73</f>
        <v/>
      </c>
      <c r="C72" s="80">
        <f>'Sessional + End Term Assessment'!C73</f>
        <v/>
      </c>
      <c r="D72" s="79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79" t="n">
        <v>26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79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79" t="n">
        <v>65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7">
      <c r="A73" s="69">
        <f>'Sessional + End Term Assessment'!A74</f>
        <v/>
      </c>
      <c r="B73" s="80">
        <f>'Sessional + End Term Assessment'!B74</f>
        <v/>
      </c>
      <c r="C73" s="80">
        <f>'Sessional + End Term Assessment'!C74</f>
        <v/>
      </c>
      <c r="D73" s="79" t="n">
        <v>28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79" t="n">
        <v>28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79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79" t="n">
        <v>70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7">
      <c r="A74" s="69">
        <f>'Sessional + End Term Assessment'!A75</f>
        <v/>
      </c>
      <c r="B74" s="80">
        <f>'Sessional + End Term Assessment'!B75</f>
        <v/>
      </c>
      <c r="C74" s="80">
        <f>'Sessional + End Term Assessment'!C75</f>
        <v/>
      </c>
      <c r="D74" s="79" t="n">
        <v>25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79" t="n">
        <v>24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79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62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7">
      <c r="A75" s="69">
        <f>'Sessional + End Term Assessment'!A76</f>
        <v/>
      </c>
      <c r="B75" s="80">
        <f>'Sessional + End Term Assessment'!B76</f>
        <v/>
      </c>
      <c r="C75" s="80">
        <f>'Sessional + End Term Assessment'!C76</f>
        <v/>
      </c>
      <c r="D75" s="79" t="n">
        <v>27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79" t="n">
        <v>24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79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79" t="n">
        <v>64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7">
      <c r="A76" s="69">
        <f>'Sessional + End Term Assessment'!A77</f>
        <v/>
      </c>
      <c r="B76" s="80">
        <f>'Sessional + End Term Assessment'!B77</f>
        <v/>
      </c>
      <c r="C76" s="80">
        <f>'Sessional + End Term Assessment'!C77</f>
        <v/>
      </c>
      <c r="D76" s="79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79" t="n">
        <v>20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79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56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7">
      <c r="A77" s="69">
        <f>'Sessional + End Term Assessment'!A78</f>
        <v/>
      </c>
      <c r="B77" s="80">
        <f>'Sessional + End Term Assessment'!B78</f>
        <v/>
      </c>
      <c r="C77" s="80">
        <f>'Sessional + End Term Assessment'!C78</f>
        <v/>
      </c>
      <c r="D77" s="79" t="n">
        <v>22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79" t="n">
        <v>23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79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79" t="n">
        <v>58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7">
      <c r="A78" s="69">
        <f>'Sessional + End Term Assessment'!A79</f>
        <v/>
      </c>
      <c r="B78" s="80">
        <f>'Sessional + End Term Assessment'!B79</f>
        <v/>
      </c>
      <c r="C78" s="80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27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7">
      <c r="A79" s="69">
        <f>'Sessional + End Term Assessment'!A80</f>
        <v/>
      </c>
      <c r="B79" s="80">
        <f>'Sessional + End Term Assessment'!B80</f>
        <v/>
      </c>
      <c r="C79" s="80">
        <f>'Sessional + End Term Assessment'!C80</f>
        <v/>
      </c>
      <c r="D79" s="79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79" t="n">
        <v>24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79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79" t="n">
        <v>63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7">
      <c r="A80" s="69">
        <f>'Sessional + End Term Assessment'!A81</f>
        <v/>
      </c>
      <c r="B80" s="80">
        <f>'Sessional + End Term Assessment'!B81</f>
        <v/>
      </c>
      <c r="C80" s="80">
        <f>'Sessional + End Term Assessment'!C81</f>
        <v/>
      </c>
      <c r="D80" s="79" t="n">
        <v>21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79" t="n">
        <v>21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79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55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7">
      <c r="A81" s="69">
        <f>'Sessional + End Term Assessment'!A82</f>
        <v/>
      </c>
      <c r="B81" s="80">
        <f>'Sessional + End Term Assessment'!B82</f>
        <v/>
      </c>
      <c r="C81" s="80">
        <f>'Sessional + End Term Assessment'!C82</f>
        <v/>
      </c>
      <c r="D81" t="n">
        <v>22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22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79" t="n">
        <v>57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7">
      <c r="A82" s="69">
        <f>'Sessional + End Term Assessment'!A83</f>
        <v/>
      </c>
      <c r="B82" s="80">
        <f>'Sessional + End Term Assessment'!B83</f>
        <v/>
      </c>
      <c r="C82" s="80">
        <f>'Sessional + End Term Assessment'!C83</f>
        <v/>
      </c>
      <c r="D82" s="79" t="n">
        <v>19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79" t="n">
        <v>19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79" t="n">
        <v>11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49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7">
      <c r="A83" s="69">
        <f>'Sessional + End Term Assessment'!A84</f>
        <v/>
      </c>
      <c r="B83" s="80">
        <f>'Sessional + End Term Assessment'!B84</f>
        <v/>
      </c>
      <c r="C83" s="80">
        <f>'Sessional + End Term Assessment'!C84</f>
        <v/>
      </c>
      <c r="D83" s="79" t="n">
        <v>28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79" t="n">
        <v>28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79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70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7">
      <c r="A84" s="69">
        <f>'Sessional + End Term Assessment'!A85</f>
        <v/>
      </c>
      <c r="B84" s="80">
        <f>'Sessional + End Term Assessment'!B85</f>
        <v/>
      </c>
      <c r="C84" s="80">
        <f>'Sessional + End Term Assessment'!C85</f>
        <v/>
      </c>
      <c r="D84" s="79" t="n">
        <v>28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79" t="n">
        <v>26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79" t="n">
        <v>14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68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7">
      <c r="A85" s="69">
        <f>'Sessional + End Term Assessment'!A86</f>
        <v/>
      </c>
      <c r="B85" s="80">
        <f>'Sessional + End Term Assessment'!B86</f>
        <v/>
      </c>
      <c r="C85" s="80">
        <f>'Sessional + End Term Assessment'!C86</f>
        <v/>
      </c>
      <c r="D85" s="79" t="n">
        <v>27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79" t="n">
        <v>27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79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68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7">
      <c r="A86" s="69">
        <f>'Sessional + End Term Assessment'!A87</f>
        <v/>
      </c>
      <c r="B86" s="80">
        <f>'Sessional + End Term Assessment'!B87</f>
        <v/>
      </c>
      <c r="C86" s="80">
        <f>'Sessional + End Term Assessment'!C87</f>
        <v/>
      </c>
      <c r="D86" s="79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79" t="n">
        <v>25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79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79" t="n">
        <v>67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7">
      <c r="A87" s="69">
        <f>'Sessional + End Term Assessment'!A88</f>
        <v/>
      </c>
      <c r="B87" s="80">
        <f>'Sessional + End Term Assessment'!B88</f>
        <v/>
      </c>
      <c r="C87" s="80">
        <f>'Sessional + End Term Assessment'!C88</f>
        <v/>
      </c>
      <c r="D87" s="79" t="n">
        <v>23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79" t="n">
        <v>23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79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79" t="n">
        <v>59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7">
      <c r="A88" s="69">
        <f>'Sessional + End Term Assessment'!A89</f>
        <v/>
      </c>
      <c r="B88" s="80">
        <f>'Sessional + End Term Assessment'!B89</f>
        <v/>
      </c>
      <c r="C88" s="80">
        <f>'Sessional + End Term Assessment'!C89</f>
        <v/>
      </c>
      <c r="D88" s="79" t="n">
        <v>23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79" t="n">
        <v>25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79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79" t="n">
        <v>61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7">
      <c r="A89" s="69">
        <f>'Sessional + End Term Assessment'!A90</f>
        <v/>
      </c>
      <c r="B89" s="80">
        <f>'Sessional + End Term Assessment'!B90</f>
        <v/>
      </c>
      <c r="C89" s="80">
        <f>'Sessional + End Term Assessment'!C90</f>
        <v/>
      </c>
      <c r="D89" s="79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79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79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79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7">
      <c r="A90" s="69">
        <f>'Sessional + End Term Assessment'!A91</f>
        <v/>
      </c>
      <c r="B90" s="80">
        <f>'Sessional + End Term Assessment'!B91</f>
        <v/>
      </c>
      <c r="C90" s="80">
        <f>'Sessional + End Term Assessment'!C91</f>
        <v/>
      </c>
      <c r="D90" s="79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79" t="n">
        <v>27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79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79" t="n">
        <v>68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7">
      <c r="A91" s="69">
        <f>'Sessional + End Term Assessment'!A92</f>
        <v/>
      </c>
      <c r="B91" s="80">
        <f>'Sessional + End Term Assessment'!B92</f>
        <v/>
      </c>
      <c r="C91" s="80">
        <f>'Sessional + End Term Assessment'!C92</f>
        <v/>
      </c>
      <c r="D91" s="79" t="n">
        <v>25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79" t="n">
        <v>25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79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63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7">
      <c r="A92" s="69">
        <f>'Sessional + End Term Assessment'!A93</f>
        <v/>
      </c>
      <c r="B92" s="80">
        <f>'Sessional + End Term Assessment'!B93</f>
        <v/>
      </c>
      <c r="C92" s="80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26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79" t="n">
        <v>64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7">
      <c r="A93" s="69">
        <f>'Sessional + End Term Assessment'!A94</f>
        <v/>
      </c>
      <c r="B93" s="80">
        <f>'Sessional + End Term Assessment'!B94</f>
        <v/>
      </c>
      <c r="C93" s="80">
        <f>'Sessional + End Term Assessment'!C94</f>
        <v/>
      </c>
      <c r="D93" s="79" t="n">
        <v>25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79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79" t="n">
        <v>14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79" t="n">
        <v>66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7">
      <c r="A94" s="69">
        <f>'Sessional + End Term Assessment'!A95</f>
        <v/>
      </c>
      <c r="B94" s="80">
        <f>'Sessional + End Term Assessment'!B95</f>
        <v/>
      </c>
      <c r="C94" s="80">
        <f>'Sessional + End Term Assessment'!C95</f>
        <v/>
      </c>
      <c r="D94" s="79" t="n">
        <v>28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79" t="n">
        <v>28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79" t="n">
        <v>14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79" t="n">
        <v>70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7">
      <c r="A95" s="69">
        <f>'Sessional + End Term Assessment'!A96</f>
        <v/>
      </c>
      <c r="B95" s="80">
        <f>'Sessional + End Term Assessment'!B96</f>
        <v/>
      </c>
      <c r="C95" s="80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25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79" t="n">
        <v>67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7">
      <c r="A96" s="69">
        <f>'Sessional + End Term Assessment'!A97</f>
        <v/>
      </c>
      <c r="B96" s="80">
        <f>'Sessional + End Term Assessment'!B97</f>
        <v/>
      </c>
      <c r="C96" s="80">
        <f>'Sessional + End Term Assessment'!C97</f>
        <v/>
      </c>
      <c r="D96" s="79" t="n">
        <v>25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79" t="n">
        <v>25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79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79" t="n">
        <v>63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7">
      <c r="A97" s="69">
        <f>'Sessional + End Term Assessment'!A98</f>
        <v/>
      </c>
      <c r="B97" s="80">
        <f>'Sessional + End Term Assessment'!B98</f>
        <v/>
      </c>
      <c r="C97" s="80">
        <f>'Sessional + End Term Assessment'!C98</f>
        <v/>
      </c>
      <c r="D97" s="79" t="n">
        <v>28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79" t="n">
        <v>28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79" t="n">
        <v>14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79" t="n">
        <v>70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7">
      <c r="A98" s="69">
        <f>'Sessional + End Term Assessment'!A99</f>
        <v/>
      </c>
      <c r="B98" s="80">
        <f>'Sessional + End Term Assessment'!B99</f>
        <v/>
      </c>
      <c r="C98" s="80">
        <f>'Sessional + End Term Assessment'!C99</f>
        <v/>
      </c>
      <c r="D98" s="79" t="n">
        <v>28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79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79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70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7">
      <c r="A99" s="69">
        <f>'Sessional + End Term Assessment'!A100</f>
        <v/>
      </c>
      <c r="B99" s="80">
        <f>'Sessional + End Term Assessment'!B100</f>
        <v/>
      </c>
      <c r="C99" s="80">
        <f>'Sessional + End Term Assessment'!C100</f>
        <v/>
      </c>
      <c r="D99" s="79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79" t="n">
        <v>27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79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69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7">
      <c r="A100" s="69">
        <f>'Sessional + End Term Assessment'!A101</f>
        <v/>
      </c>
      <c r="B100" s="80">
        <f>'Sessional + End Term Assessment'!B101</f>
        <v/>
      </c>
      <c r="C100" s="80">
        <f>'Sessional + End Term Assessment'!C101</f>
        <v/>
      </c>
      <c r="D100" s="79" t="n">
        <v>28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79" t="n">
        <v>28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79" t="n">
        <v>14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70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7">
      <c r="A101" s="69">
        <f>'Sessional + End Term Assessment'!A102</f>
        <v/>
      </c>
      <c r="B101" s="80">
        <f>'Sessional + End Term Assessment'!B102</f>
        <v/>
      </c>
      <c r="C101" s="80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7">
      <c r="A102" s="69">
        <f>'Sessional + End Term Assessment'!A103</f>
        <v/>
      </c>
      <c r="B102" s="80">
        <f>'Sessional + End Term Assessment'!B103</f>
        <v/>
      </c>
      <c r="C102" s="80">
        <f>'Sessional + End Term Assessment'!C103</f>
        <v/>
      </c>
      <c r="D102" s="79" t="n">
        <v>27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79" t="n">
        <v>27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79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68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7">
      <c r="A103" s="69">
        <f>'Sessional + End Term Assessment'!A104</f>
        <v/>
      </c>
      <c r="B103" s="80">
        <f>'Sessional + End Term Assessment'!B104</f>
        <v/>
      </c>
      <c r="C103" s="80">
        <f>'Sessional + End Term Assessment'!C104</f>
        <v/>
      </c>
      <c r="D103" s="79" t="n">
        <v>24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79" t="n">
        <v>26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79" t="n">
        <v>13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63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7">
      <c r="A104" s="69">
        <f>'Sessional + End Term Assessment'!A105</f>
        <v/>
      </c>
      <c r="B104" s="80">
        <f>'Sessional + End Term Assessment'!B105</f>
        <v/>
      </c>
      <c r="C104" s="80">
        <f>'Sessional + End Term Assessment'!C105</f>
        <v/>
      </c>
      <c r="D104" t="n">
        <v>26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25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79" t="n">
        <v>64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7">
      <c r="A105" s="69">
        <f>'Sessional + End Term Assessment'!A106</f>
        <v/>
      </c>
      <c r="B105" s="80">
        <f>'Sessional + End Term Assessment'!B106</f>
        <v/>
      </c>
      <c r="C105" s="80">
        <f>'Sessional + End Term Assessment'!C106</f>
        <v/>
      </c>
      <c r="D105" t="n">
        <v>27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69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7">
      <c r="A106" s="69">
        <f>'Sessional + End Term Assessment'!A107</f>
        <v/>
      </c>
      <c r="B106" s="80">
        <f>'Sessional + End Term Assessment'!B107</f>
        <v/>
      </c>
      <c r="C106" s="80">
        <f>'Sessional + End Term Assessment'!C107</f>
        <v/>
      </c>
      <c r="D106" s="79" t="n">
        <v>28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79" t="n">
        <v>28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79" t="n">
        <v>14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79" t="n">
        <v>70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7">
      <c r="A107" s="69">
        <f>'Sessional + End Term Assessment'!A108</f>
        <v/>
      </c>
      <c r="B107" s="80">
        <f>'Sessional + End Term Assessment'!B108</f>
        <v/>
      </c>
      <c r="C107" s="80">
        <f>'Sessional + End Term Assessment'!C108</f>
        <v/>
      </c>
      <c r="D107" t="n">
        <v>28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28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70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7">
      <c r="A108" s="69">
        <f>'Sessional + End Term Assessment'!A109</f>
        <v/>
      </c>
      <c r="B108" s="80">
        <f>'Sessional + End Term Assessment'!B109</f>
        <v/>
      </c>
      <c r="C108" s="80">
        <f>'Sessional + End Term Assessment'!C109</f>
        <v/>
      </c>
      <c r="D108" s="79" t="n">
        <v>26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79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79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79" t="n">
        <v>68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7">
      <c r="A109" s="69">
        <f>'Sessional + End Term Assessment'!A110</f>
        <v/>
      </c>
      <c r="B109" s="80">
        <f>'Sessional + End Term Assessment'!B110</f>
        <v/>
      </c>
      <c r="C109" s="80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25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65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7">
      <c r="A110" s="69">
        <f>'Sessional + End Term Assessment'!A111</f>
        <v/>
      </c>
      <c r="B110" s="80">
        <f>'Sessional + End Term Assessment'!B111</f>
        <v/>
      </c>
      <c r="C110" s="80">
        <f>'Sessional + End Term Assessment'!C111</f>
        <v/>
      </c>
      <c r="D110" s="79" t="n">
        <v>28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79" t="n">
        <v>28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79" t="n">
        <v>14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79" t="n">
        <v>70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7">
      <c r="A111" s="69">
        <f>'Sessional + End Term Assessment'!A112</f>
        <v/>
      </c>
      <c r="B111" s="80">
        <f>'Sessional + End Term Assessment'!B112</f>
        <v/>
      </c>
      <c r="C111" s="80">
        <f>'Sessional + End Term Assessment'!C112</f>
        <v/>
      </c>
      <c r="D111" s="79" t="n">
        <v>23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79" t="n">
        <v>23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79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79" t="n">
        <v>59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7">
      <c r="A112" s="69">
        <f>'Sessional + End Term Assessment'!A113</f>
        <v/>
      </c>
      <c r="B112" s="80">
        <f>'Sessional + End Term Assessment'!B113</f>
        <v/>
      </c>
      <c r="C112" s="80">
        <f>'Sessional + End Term Assessment'!C113</f>
        <v/>
      </c>
      <c r="D112" t="n">
        <v>21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22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11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79" t="n">
        <v>54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7">
      <c r="A113" s="69">
        <f>'Sessional + End Term Assessment'!A114</f>
        <v/>
      </c>
      <c r="B113" s="80">
        <f>'Sessional + End Term Assessment'!B114</f>
        <v/>
      </c>
      <c r="C113" s="80">
        <f>'Sessional + End Term Assessment'!C114</f>
        <v/>
      </c>
      <c r="D113" s="79" t="n">
        <v>25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79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79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67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7">
      <c r="A114" s="69">
        <f>'Sessional + End Term Assessment'!A115</f>
        <v/>
      </c>
      <c r="B114" s="80">
        <f>'Sessional + End Term Assessment'!B115</f>
        <v/>
      </c>
      <c r="C114" s="80">
        <f>'Sessional + End Term Assessment'!C115</f>
        <v/>
      </c>
      <c r="D114" s="79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79" t="n">
        <v>25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79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79" t="n">
        <v>65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7">
      <c r="A115" s="69">
        <f>'Sessional + End Term Assessment'!A116</f>
        <v/>
      </c>
      <c r="B115" s="80">
        <f>'Sessional + End Term Assessment'!B116</f>
        <v/>
      </c>
      <c r="C115" s="80">
        <f>'Sessional + End Term Assessment'!C116</f>
        <v/>
      </c>
      <c r="D115" s="79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79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79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79" t="n">
        <v>65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7">
      <c r="A116" s="69">
        <f>'Sessional + End Term Assessment'!A117</f>
        <v/>
      </c>
      <c r="B116" s="80">
        <f>'Sessional + End Term Assessment'!B117</f>
        <v/>
      </c>
      <c r="C116" s="80">
        <f>'Sessional + End Term Assessment'!C117</f>
        <v/>
      </c>
      <c r="D116" s="79" t="n">
        <v>26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79" t="n">
        <v>23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79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79" t="n">
        <v>62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7">
      <c r="A117" s="69">
        <f>'Sessional + End Term Assessment'!A118</f>
        <v/>
      </c>
      <c r="B117" s="80">
        <f>'Sessional + End Term Assessment'!B118</f>
        <v/>
      </c>
      <c r="C117" s="80">
        <f>'Sessional + End Term Assessment'!C118</f>
        <v/>
      </c>
      <c r="D117" t="n">
        <v>26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26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79" t="n">
        <v>66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7">
      <c r="A118" s="69">
        <f>'Sessional + End Term Assessment'!A119</f>
        <v/>
      </c>
      <c r="B118" s="80">
        <f>'Sessional + End Term Assessment'!B119</f>
        <v/>
      </c>
      <c r="C118" s="80">
        <f>'Sessional + End Term Assessment'!C119</f>
        <v/>
      </c>
      <c r="D118" s="79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79" t="n">
        <v>25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79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79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7">
      <c r="A119" s="69">
        <f>'Sessional + End Term Assessment'!A120</f>
        <v/>
      </c>
      <c r="B119" s="80">
        <f>'Sessional + End Term Assessment'!B120</f>
        <v/>
      </c>
      <c r="C119" s="80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7">
      <c r="A120" s="69">
        <f>'Sessional + End Term Assessment'!A121</f>
        <v/>
      </c>
      <c r="B120" s="80">
        <f>'Sessional + End Term Assessment'!B121</f>
        <v/>
      </c>
      <c r="C120" s="80">
        <f>'Sessional + End Term Assessment'!C121</f>
        <v/>
      </c>
      <c r="D120" s="79" t="n">
        <v>27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79" t="n">
        <v>27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79" t="n">
        <v>14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68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7">
      <c r="A121" s="69">
        <f>'Sessional + End Term Assessment'!A122</f>
        <v/>
      </c>
      <c r="B121" s="80">
        <f>'Sessional + End Term Assessment'!B122</f>
        <v/>
      </c>
      <c r="C121" s="80">
        <f>'Sessional + End Term Assessment'!C122</f>
        <v/>
      </c>
      <c r="D121" s="79" t="n">
        <v>28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79" t="n">
        <v>28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79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7">
      <c r="A122" s="69">
        <f>'Sessional + End Term Assessment'!A123</f>
        <v/>
      </c>
      <c r="B122" s="80">
        <f>'Sessional + End Term Assessment'!B123</f>
        <v/>
      </c>
      <c r="C122" s="80">
        <f>'Sessional + End Term Assessment'!C123</f>
        <v/>
      </c>
      <c r="D122" s="79" t="n">
        <v>28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79" t="n">
        <v>28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79" t="n">
        <v>14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79" t="n">
        <v>70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7">
      <c r="A123" s="69">
        <f>'Sessional + End Term Assessment'!A124</f>
        <v/>
      </c>
      <c r="B123" s="80">
        <f>'Sessional + End Term Assessment'!B124</f>
        <v/>
      </c>
      <c r="C123" s="80">
        <f>'Sessional + End Term Assessment'!C124</f>
        <v/>
      </c>
      <c r="D123" s="79" t="n">
        <v>24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79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79" t="n">
        <v>13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64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7">
      <c r="A124" s="69">
        <f>'Sessional + End Term Assessment'!A125</f>
        <v/>
      </c>
      <c r="B124" s="80">
        <f>'Sessional + End Term Assessment'!B125</f>
        <v/>
      </c>
      <c r="C124" s="80">
        <f>'Sessional + End Term Assessment'!C125</f>
        <v/>
      </c>
      <c r="D124" s="79" t="n">
        <v>28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79" t="n">
        <v>28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79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70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7">
      <c r="A125" s="69">
        <f>'Sessional + End Term Assessment'!A126</f>
        <v/>
      </c>
      <c r="B125" s="80">
        <f>'Sessional + End Term Assessment'!B126</f>
        <v/>
      </c>
      <c r="C125" s="80">
        <f>'Sessional + End Term Assessment'!C126</f>
        <v/>
      </c>
      <c r="D125" s="79" t="n">
        <v>28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79" t="n">
        <v>25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79" t="n">
        <v>14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79" t="n">
        <v>67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7">
      <c r="A126" s="69">
        <f>'Sessional + End Term Assessment'!A127</f>
        <v/>
      </c>
      <c r="B126" s="80">
        <f>'Sessional + End Term Assessment'!B127</f>
        <v/>
      </c>
      <c r="C126" s="80">
        <f>'Sessional + End Term Assessment'!C127</f>
        <v/>
      </c>
      <c r="D126" s="79" t="n">
        <v>24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79" t="n">
        <v>24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79" t="n">
        <v>13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79" t="n">
        <v>61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7">
      <c r="A127" s="69">
        <f>'Sessional + End Term Assessment'!A128</f>
        <v/>
      </c>
      <c r="B127" s="80">
        <f>'Sessional + End Term Assessment'!B128</f>
        <v/>
      </c>
      <c r="C127" s="80">
        <f>'Sessional + End Term Assessment'!C128</f>
        <v/>
      </c>
      <c r="D127" t="n">
        <v>22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23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79" t="n">
        <v>58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7">
      <c r="A128" s="69">
        <f>'Sessional + End Term Assessment'!A129</f>
        <v/>
      </c>
      <c r="B128" s="80">
        <f>'Sessional + End Term Assessment'!B129</f>
        <v/>
      </c>
      <c r="C128" s="80">
        <f>'Sessional + End Term Assessment'!C129</f>
        <v/>
      </c>
      <c r="D128" s="79" t="n">
        <v>24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79" t="n">
        <v>27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79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64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7">
      <c r="A129" s="69">
        <f>'Sessional + End Term Assessment'!A130</f>
        <v/>
      </c>
      <c r="B129" s="80">
        <f>'Sessional + End Term Assessment'!B130</f>
        <v/>
      </c>
      <c r="C129" s="80">
        <f>'Sessional + End Term Assessment'!C130</f>
        <v/>
      </c>
      <c r="D129" t="n">
        <v>26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25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13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79" t="n">
        <v>64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7">
      <c r="A130" s="69">
        <f>'Sessional + End Term Assessment'!A131</f>
        <v/>
      </c>
      <c r="B130" s="80">
        <f>'Sessional + End Term Assessment'!B131</f>
        <v/>
      </c>
      <c r="C130" s="80">
        <f>'Sessional + End Term Assessment'!C131</f>
        <v/>
      </c>
      <c r="D130" s="79" t="n">
        <v>25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79" t="n">
        <v>25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79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79" t="n">
        <v>63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7">
      <c r="A131" s="69">
        <f>'Sessional + End Term Assessment'!A132</f>
        <v/>
      </c>
      <c r="B131" s="80">
        <f>'Sessional + End Term Assessment'!B132</f>
        <v/>
      </c>
      <c r="C131" s="80">
        <f>'Sessional + End Term Assessment'!C132</f>
        <v/>
      </c>
      <c r="D131" s="79" t="n">
        <v>28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79" t="n">
        <v>28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79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79" t="n">
        <v>70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7">
      <c r="A132" s="69">
        <f>'Sessional + End Term Assessment'!A133</f>
        <v/>
      </c>
      <c r="B132" s="80">
        <f>'Sessional + End Term Assessment'!B133</f>
        <v/>
      </c>
      <c r="C132" s="80">
        <f>'Sessional + End Term Assessment'!C133</f>
        <v/>
      </c>
      <c r="D132" t="n">
        <v>25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25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13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79" t="n">
        <v>63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7">
      <c r="A133" s="69">
        <f>'Sessional + End Term Assessment'!A134</f>
        <v/>
      </c>
      <c r="B133" s="80">
        <f>'Sessional + End Term Assessment'!B134</f>
        <v/>
      </c>
      <c r="C133" s="80">
        <f>'Sessional + End Term Assessment'!C134</f>
        <v/>
      </c>
      <c r="D133" t="n">
        <v>19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21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11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51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7">
      <c r="A134" s="69">
        <f>'Sessional + End Term Assessment'!A135</f>
        <v/>
      </c>
      <c r="B134" s="80">
        <f>'Sessional + End Term Assessment'!B135</f>
        <v/>
      </c>
      <c r="C134" s="80">
        <f>'Sessional + End Term Assessment'!C135</f>
        <v/>
      </c>
      <c r="D134" s="79" t="n">
        <v>25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79" t="n">
        <v>24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79" t="n">
        <v>13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79" t="n">
        <v>62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7">
      <c r="A135" s="69">
        <f>'Sessional + End Term Assessment'!A136</f>
        <v/>
      </c>
      <c r="B135" s="80">
        <f>'Sessional + End Term Assessment'!B136</f>
        <v/>
      </c>
      <c r="C135" s="80">
        <f>'Sessional + End Term Assessment'!C136</f>
        <v/>
      </c>
      <c r="D135" t="n">
        <v>28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28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14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79" t="n">
        <v>70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7">
      <c r="A136" s="69">
        <f>'Sessional + End Term Assessment'!A137</f>
        <v/>
      </c>
      <c r="B136" s="80">
        <f>'Sessional + End Term Assessment'!B137</f>
        <v/>
      </c>
      <c r="C136" s="80">
        <f>'Sessional + End Term Assessment'!C137</f>
        <v/>
      </c>
      <c r="D136" t="n">
        <v>28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28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14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79" t="n">
        <v>70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7">
      <c r="A137" s="69">
        <f>'Sessional + End Term Assessment'!A138</f>
        <v/>
      </c>
      <c r="B137" s="80">
        <f>'Sessional + End Term Assessment'!B138</f>
        <v/>
      </c>
      <c r="C137" s="80">
        <f>'Sessional + End Term Assessment'!C138</f>
        <v/>
      </c>
      <c r="D137" s="79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79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79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79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7">
      <c r="A138" s="69">
        <f>'Sessional + End Term Assessment'!A139</f>
        <v/>
      </c>
      <c r="B138" s="80">
        <f>'Sessional + End Term Assessment'!B139</f>
        <v/>
      </c>
      <c r="C138" s="80">
        <f>'Sessional + End Term Assessment'!C139</f>
        <v/>
      </c>
      <c r="D138" s="79" t="n">
        <v>23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79" t="n">
        <v>25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79" t="n">
        <v>13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79" t="n">
        <v>61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7">
      <c r="A139" s="69">
        <f>'Sessional + End Term Assessment'!A140</f>
        <v/>
      </c>
      <c r="B139" s="80">
        <f>'Sessional + End Term Assessment'!B140</f>
        <v/>
      </c>
      <c r="C139" s="80">
        <f>'Sessional + End Term Assessment'!C140</f>
        <v/>
      </c>
      <c r="D139" s="79" t="n">
        <v>26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79" t="n">
        <v>24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79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79" t="n">
        <v>63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7">
      <c r="A140" s="69">
        <f>'Sessional + End Term Assessment'!A141</f>
        <v/>
      </c>
      <c r="B140" s="80">
        <f>'Sessional + End Term Assessment'!B141</f>
        <v/>
      </c>
      <c r="C140" s="80">
        <f>'Sessional + End Term Assessment'!C141</f>
        <v/>
      </c>
      <c r="D140" s="79" t="n">
        <v>28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79" t="n">
        <v>28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79" t="n">
        <v>14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79" t="n">
        <v>70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7">
      <c r="A141" s="69">
        <f>'Sessional + End Term Assessment'!A142</f>
        <v/>
      </c>
      <c r="B141" s="80">
        <f>'Sessional + End Term Assessment'!B142</f>
        <v/>
      </c>
      <c r="C141" s="80">
        <f>'Sessional + End Term Assessment'!C142</f>
        <v/>
      </c>
      <c r="D141" t="n">
        <v>28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28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70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7">
      <c r="A142" s="69">
        <f>'Sessional + End Term Assessment'!A143</f>
        <v/>
      </c>
      <c r="B142" s="80">
        <f>'Sessional + End Term Assessment'!B143</f>
        <v/>
      </c>
      <c r="C142" s="80">
        <f>'Sessional + End Term Assessment'!C143</f>
        <v/>
      </c>
      <c r="D142" s="79" t="n">
        <v>21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79" t="n">
        <v>22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79" t="n">
        <v>13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79" t="n">
        <v>56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7">
      <c r="A143" s="69">
        <f>'Sessional + End Term Assessment'!A144</f>
        <v/>
      </c>
      <c r="B143" s="80">
        <f>'Sessional + End Term Assessment'!B144</f>
        <v/>
      </c>
      <c r="C143" s="80">
        <f>'Sessional + End Term Assessment'!C144</f>
        <v/>
      </c>
      <c r="D143" s="79" t="n">
        <v>20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79" t="n">
        <v>22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79" t="n">
        <v>11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79" t="n">
        <v>53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7">
      <c r="A144" s="69">
        <f>'Sessional + End Term Assessment'!A145</f>
        <v/>
      </c>
      <c r="B144" s="80">
        <f>'Sessional + End Term Assessment'!B145</f>
        <v/>
      </c>
      <c r="C144" s="80">
        <f>'Sessional + End Term Assessment'!C145</f>
        <v/>
      </c>
      <c r="D144" s="79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79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79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7">
      <c r="A145" s="69">
        <f>'Sessional + End Term Assessment'!A146</f>
        <v/>
      </c>
      <c r="B145" s="80">
        <f>'Sessional + End Term Assessment'!B146</f>
        <v/>
      </c>
      <c r="C145" s="80">
        <f>'Sessional + End Term Assessment'!C146</f>
        <v/>
      </c>
      <c r="D145" s="79" t="n">
        <v>25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79" t="n">
        <v>25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79" t="n">
        <v>13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63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7">
      <c r="A146" s="69">
        <f>'Sessional + End Term Assessment'!A147</f>
        <v/>
      </c>
      <c r="B146" s="80">
        <f>'Sessional + End Term Assessment'!B147</f>
        <v/>
      </c>
      <c r="C146" s="80">
        <f>'Sessional + End Term Assessment'!C147</f>
        <v/>
      </c>
      <c r="D146" s="79" t="n">
        <v>26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79" t="n">
        <v>23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79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62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7">
      <c r="A147" s="69">
        <f>'Sessional + End Term Assessment'!A148</f>
        <v/>
      </c>
      <c r="B147" s="80">
        <f>'Sessional + End Term Assessment'!B148</f>
        <v/>
      </c>
      <c r="C147" s="80">
        <f>'Sessional + End Term Assessment'!C148</f>
        <v/>
      </c>
      <c r="D147" s="79" t="n">
        <v>26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79" t="n">
        <v>26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79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66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7">
      <c r="A148" s="69">
        <f>'Sessional + End Term Assessment'!A149</f>
        <v/>
      </c>
      <c r="B148" s="80">
        <f>'Sessional + End Term Assessment'!B149</f>
        <v/>
      </c>
      <c r="C148" s="80">
        <f>'Sessional + End Term Assessment'!C149</f>
        <v/>
      </c>
      <c r="D148" s="79" t="n">
        <v>20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79" t="n">
        <v>23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79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79" t="n">
        <v>56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7">
      <c r="A149" s="69">
        <f>'Sessional + End Term Assessment'!A150</f>
        <v/>
      </c>
      <c r="B149" s="80">
        <f>'Sessional + End Term Assessment'!B150</f>
        <v/>
      </c>
      <c r="C149" s="80">
        <f>'Sessional + End Term Assessment'!C150</f>
        <v/>
      </c>
      <c r="D149" t="n">
        <v>26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25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14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79" t="n">
        <v>65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7">
      <c r="A150" s="69">
        <f>'Sessional + End Term Assessment'!A151</f>
        <v/>
      </c>
      <c r="B150" s="80">
        <f>'Sessional + End Term Assessment'!B151</f>
        <v/>
      </c>
      <c r="C150" s="80">
        <f>'Sessional + End Term Assessment'!C151</f>
        <v/>
      </c>
      <c r="D150" s="79" t="n">
        <v>28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79" t="n">
        <v>28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79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79" t="n">
        <v>70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7">
      <c r="A151" s="69">
        <f>'Sessional + End Term Assessment'!A152</f>
        <v/>
      </c>
      <c r="B151" s="80">
        <f>'Sessional + End Term Assessment'!B152</f>
        <v/>
      </c>
      <c r="C151" s="80">
        <f>'Sessional + End Term Assessment'!C152</f>
        <v/>
      </c>
      <c r="D151" s="79" t="n">
        <v>27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79" t="n">
        <v>27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79" t="n">
        <v>14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79" t="n">
        <v>68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7">
      <c r="A152" s="69">
        <f>'Sessional + End Term Assessment'!A153</f>
        <v/>
      </c>
      <c r="B152" s="80">
        <f>'Sessional + End Term Assessment'!B153</f>
        <v/>
      </c>
      <c r="C152" s="80">
        <f>'Sessional + End Term Assessment'!C153</f>
        <v/>
      </c>
      <c r="D152" s="79" t="n">
        <v>26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79" t="n">
        <v>27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79" t="n">
        <v>14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79" t="n">
        <v>67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7">
      <c r="A153" s="69">
        <f>'Sessional + End Term Assessment'!A154</f>
        <v/>
      </c>
      <c r="B153" s="80">
        <f>'Sessional + End Term Assessment'!B154</f>
        <v/>
      </c>
      <c r="C153" s="80">
        <f>'Sessional + End Term Assessment'!C154</f>
        <v/>
      </c>
      <c r="D153" t="n">
        <v>28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27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14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79" t="n">
        <v>69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7">
      <c r="A154" s="69">
        <f>'Sessional + End Term Assessment'!A155</f>
        <v/>
      </c>
      <c r="B154" s="80">
        <f>'Sessional + End Term Assessment'!B155</f>
        <v/>
      </c>
      <c r="C154" s="80">
        <f>'Sessional + End Term Assessment'!C155</f>
        <v/>
      </c>
      <c r="D154" t="n">
        <v>28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28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14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70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7">
      <c r="A155" s="69">
        <f>'Sessional + End Term Assessment'!A156</f>
        <v/>
      </c>
      <c r="B155" s="80">
        <f>'Sessional + End Term Assessment'!B156</f>
        <v/>
      </c>
      <c r="C155" s="80">
        <f>'Sessional + End Term Assessment'!C156</f>
        <v/>
      </c>
      <c r="D155" s="79" t="n">
        <v>27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79" t="n">
        <v>24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79" t="n">
        <v>14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79" t="n">
        <v>65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7">
      <c r="A156" s="69">
        <f>'Sessional + End Term Assessment'!A157</f>
        <v/>
      </c>
      <c r="B156" s="80">
        <f>'Sessional + End Term Assessment'!B157</f>
        <v/>
      </c>
      <c r="C156" s="80">
        <f>'Sessional + End Term Assessment'!C157</f>
        <v/>
      </c>
      <c r="D156" s="79" t="n">
        <v>27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79" t="n">
        <v>24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79" t="n">
        <v>14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65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7">
      <c r="A157" s="69">
        <f>'Sessional + End Term Assessment'!A158</f>
        <v/>
      </c>
      <c r="B157" s="80">
        <f>'Sessional + End Term Assessment'!B158</f>
        <v/>
      </c>
      <c r="C157" s="80">
        <f>'Sessional + End Term Assessment'!C158</f>
        <v/>
      </c>
      <c r="D157" s="79" t="n">
        <v>25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79" t="n">
        <v>26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79" t="n">
        <v>14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79" t="n">
        <v>65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7">
      <c r="A158" s="69">
        <f>'Sessional + End Term Assessment'!A159</f>
        <v/>
      </c>
      <c r="B158" s="80">
        <f>'Sessional + End Term Assessment'!B159</f>
        <v/>
      </c>
      <c r="C158" s="80">
        <f>'Sessional + End Term Assessment'!C159</f>
        <v/>
      </c>
      <c r="D158" s="79" t="n">
        <v>23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79" t="n">
        <v>26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79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62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7">
      <c r="A159" s="69">
        <f>'Sessional + End Term Assessment'!A160</f>
        <v/>
      </c>
      <c r="B159" s="80">
        <f>'Sessional + End Term Assessment'!B160</f>
        <v/>
      </c>
      <c r="C159" s="80">
        <f>'Sessional + End Term Assessment'!C160</f>
        <v/>
      </c>
      <c r="D159" t="n">
        <v>27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25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14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66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7">
      <c r="A160" s="69">
        <f>'Sessional + End Term Assessment'!A161</f>
        <v/>
      </c>
      <c r="B160" s="80">
        <f>'Sessional + End Term Assessment'!B161</f>
        <v/>
      </c>
      <c r="C160" s="80">
        <f>'Sessional + End Term Assessment'!C161</f>
        <v/>
      </c>
      <c r="D160" s="79" t="n">
        <v>28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79" t="n">
        <v>28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79" t="n">
        <v>14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70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7">
      <c r="A161" s="69">
        <f>'Sessional + End Term Assessment'!A162</f>
        <v/>
      </c>
      <c r="B161" s="80">
        <f>'Sessional + End Term Assessment'!B162</f>
        <v/>
      </c>
      <c r="C161" s="80">
        <f>'Sessional + End Term Assessment'!C162</f>
        <v/>
      </c>
      <c r="D161" s="79" t="n">
        <v>28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79" t="n">
        <v>25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79" t="n">
        <v>14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79" t="n">
        <v>67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7">
      <c r="A162" s="69">
        <f>'Sessional + End Term Assessment'!A163</f>
        <v/>
      </c>
      <c r="B162" s="80">
        <f>'Sessional + End Term Assessment'!B163</f>
        <v/>
      </c>
      <c r="C162" s="80">
        <f>'Sessional + End Term Assessment'!C163</f>
        <v/>
      </c>
      <c r="D162" s="79" t="n">
        <v>20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79" t="n">
        <v>20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79" t="n">
        <v>11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79" t="n">
        <v>51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7">
      <c r="A163" s="69">
        <f>'Sessional + End Term Assessment'!A164</f>
        <v/>
      </c>
      <c r="B163" s="80">
        <f>'Sessional + End Term Assessment'!B164</f>
        <v/>
      </c>
      <c r="C163" s="80">
        <f>'Sessional + End Term Assessment'!C164</f>
        <v/>
      </c>
      <c r="D163" s="79" t="n">
        <v>28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79" t="n">
        <v>28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79" t="n">
        <v>14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70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7">
      <c r="A164" s="69">
        <f>'Sessional + End Term Assessment'!A165</f>
        <v/>
      </c>
      <c r="B164" s="80">
        <f>'Sessional + End Term Assessment'!B165</f>
        <v/>
      </c>
      <c r="C164" s="80">
        <f>'Sessional + End Term Assessment'!C165</f>
        <v/>
      </c>
      <c r="D164" s="79" t="n">
        <v>24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79" t="n">
        <v>23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79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79" t="n">
        <v>60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7">
      <c r="A165" s="69">
        <f>'Sessional + End Term Assessment'!A166</f>
        <v/>
      </c>
      <c r="B165" s="80">
        <f>'Sessional + End Term Assessment'!B166</f>
        <v/>
      </c>
      <c r="C165" s="80">
        <f>'Sessional + End Term Assessment'!C166</f>
        <v/>
      </c>
      <c r="D165" s="79" t="n">
        <v>23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79" t="n">
        <v>23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79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59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7">
      <c r="A166" s="69">
        <f>'Sessional + End Term Assessment'!A167</f>
        <v/>
      </c>
      <c r="B166" s="80">
        <f>'Sessional + End Term Assessment'!B167</f>
        <v/>
      </c>
      <c r="C166" s="80">
        <f>'Sessional + End Term Assessment'!C167</f>
        <v/>
      </c>
      <c r="D166" s="79" t="n">
        <v>24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79" t="n">
        <v>24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79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79" t="n">
        <v>61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7">
      <c r="A167" s="69">
        <f>'Sessional + End Term Assessment'!A168</f>
        <v/>
      </c>
      <c r="B167" s="80">
        <f>'Sessional + End Term Assessment'!B168</f>
        <v/>
      </c>
      <c r="C167" s="80">
        <f>'Sessional + End Term Assessment'!C168</f>
        <v/>
      </c>
      <c r="D167" s="79" t="n">
        <v>26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79" t="n">
        <v>27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79" t="n">
        <v>14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67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7">
      <c r="A168" s="69">
        <f>'Sessional + End Term Assessment'!A169</f>
        <v/>
      </c>
      <c r="B168" s="80">
        <f>'Sessional + End Term Assessment'!B169</f>
        <v/>
      </c>
      <c r="C168" s="80">
        <f>'Sessional + End Term Assessment'!C169</f>
        <v/>
      </c>
      <c r="D168" s="79" t="n">
        <v>24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79" t="n">
        <v>26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79" t="n">
        <v>13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79" t="n">
        <v>63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7">
      <c r="A169" s="69">
        <f>'Sessional + End Term Assessment'!A170</f>
        <v/>
      </c>
      <c r="B169" s="80">
        <f>'Sessional + End Term Assessment'!B170</f>
        <v/>
      </c>
      <c r="C169" s="80">
        <f>'Sessional + End Term Assessment'!C170</f>
        <v/>
      </c>
      <c r="D169" s="79" t="n">
        <v>23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79" t="n">
        <v>22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79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79" t="n">
        <v>58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7">
      <c r="A170" s="69">
        <f>'Sessional + End Term Assessment'!A171</f>
        <v/>
      </c>
      <c r="B170" s="80">
        <f>'Sessional + End Term Assessment'!B171</f>
        <v/>
      </c>
      <c r="C170" s="80">
        <f>'Sessional + End Term Assessment'!C171</f>
        <v/>
      </c>
      <c r="D170" s="79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79" t="n">
        <v>25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79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67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7">
      <c r="A171" s="69">
        <f>'Sessional + End Term Assessment'!A172</f>
        <v/>
      </c>
      <c r="B171" s="80">
        <f>'Sessional + End Term Assessment'!B172</f>
        <v/>
      </c>
      <c r="C171" s="80">
        <f>'Sessional + End Term Assessment'!C172</f>
        <v/>
      </c>
      <c r="D171" s="79" t="n">
        <v>22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79" t="n">
        <v>19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79" t="n">
        <v>11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79" t="n">
        <v>52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7">
      <c r="A172" s="69">
        <f>'Sessional + End Term Assessment'!A173</f>
        <v/>
      </c>
      <c r="B172" s="80">
        <f>'Sessional + End Term Assessment'!B173</f>
        <v/>
      </c>
      <c r="C172" s="80">
        <f>'Sessional + End Term Assessment'!C173</f>
        <v/>
      </c>
      <c r="D172" s="79" t="n">
        <v>18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79" t="n">
        <v>18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79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47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7">
      <c r="A173" s="69">
        <f>'Sessional + End Term Assessment'!A174</f>
        <v/>
      </c>
      <c r="B173" s="80">
        <f>'Sessional + End Term Assessment'!B174</f>
        <v/>
      </c>
      <c r="C173" s="80">
        <f>'Sessional + End Term Assessment'!C174</f>
        <v/>
      </c>
      <c r="D173" s="79" t="n">
        <v>28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79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79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70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7">
      <c r="A174" s="69">
        <f>'Sessional + End Term Assessment'!A175</f>
        <v/>
      </c>
      <c r="B174" s="80">
        <f>'Sessional + End Term Assessment'!B175</f>
        <v/>
      </c>
      <c r="C174" s="80">
        <f>'Sessional + End Term Assessment'!C175</f>
        <v/>
      </c>
      <c r="D174" s="79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79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79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79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7">
      <c r="A175" s="69">
        <f>'Sessional + End Term Assessment'!A176</f>
        <v/>
      </c>
      <c r="B175" s="80">
        <f>'Sessional + End Term Assessment'!B176</f>
        <v/>
      </c>
      <c r="C175" s="80">
        <f>'Sessional + End Term Assessment'!C176</f>
        <v/>
      </c>
      <c r="D175" s="79" t="n">
        <v>25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79" t="n">
        <v>25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79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79" t="n">
        <v>63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7">
      <c r="A176" s="69">
        <f>'Sessional + End Term Assessment'!A177</f>
        <v/>
      </c>
      <c r="B176" s="80">
        <f>'Sessional + End Term Assessment'!B177</f>
        <v/>
      </c>
      <c r="C176" s="80">
        <f>'Sessional + End Term Assessment'!C177</f>
        <v/>
      </c>
      <c r="D176" s="79" t="n">
        <v>27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79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79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64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7">
      <c r="A177" s="69">
        <f>'Sessional + End Term Assessment'!A178</f>
        <v/>
      </c>
      <c r="B177" s="80">
        <f>'Sessional + End Term Assessment'!B178</f>
        <v/>
      </c>
      <c r="C177" s="80">
        <f>'Sessional + End Term Assessment'!C178</f>
        <v/>
      </c>
      <c r="D177" s="79" t="n">
        <v>26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79" t="n">
        <v>26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79" t="n">
        <v>14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66</v>
      </c>
      <c r="S177" s="48" t="n"/>
      <c r="T177" s="48" t="n"/>
      <c r="U177" s="48" t="n"/>
      <c r="V177" s="48" t="n"/>
      <c r="W177" s="44" t="n"/>
      <c r="X177" s="44" t="n"/>
    </row>
    <row r="178" ht="15.75" customHeight="1" s="97">
      <c r="A178" s="69">
        <f>'Sessional + End Term Assessment'!A179</f>
        <v/>
      </c>
      <c r="B178" s="80">
        <f>'Sessional + End Term Assessment'!B179</f>
        <v/>
      </c>
      <c r="C178" s="80">
        <f>'Sessional + End Term Assessment'!C179</f>
        <v/>
      </c>
      <c r="D178" s="79" t="n">
        <v>18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79" t="n">
        <v>20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79" t="n">
        <v>11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79" t="n">
        <v>49</v>
      </c>
      <c r="S178" s="48" t="n"/>
      <c r="T178" s="48" t="n"/>
      <c r="U178" s="48" t="n"/>
      <c r="V178" s="48" t="n"/>
      <c r="W178" s="44" t="n"/>
      <c r="X178" s="44" t="n"/>
    </row>
    <row r="179" ht="15.75" customHeight="1" s="97">
      <c r="A179" s="69">
        <f>'Sessional + End Term Assessment'!A180</f>
        <v/>
      </c>
      <c r="B179" s="80">
        <f>'Sessional + End Term Assessment'!B180</f>
        <v/>
      </c>
      <c r="C179" s="80">
        <f>'Sessional + End Term Assessment'!C180</f>
        <v/>
      </c>
      <c r="D179" s="79" t="n">
        <v>27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79" t="n">
        <v>26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79" t="n">
        <v>14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67</v>
      </c>
      <c r="S179" s="48" t="n"/>
      <c r="T179" s="48" t="n"/>
      <c r="U179" s="48" t="n"/>
      <c r="V179" s="48" t="n"/>
      <c r="W179" s="44" t="n"/>
      <c r="X179" s="44" t="n"/>
    </row>
    <row r="180" ht="15.75" customHeight="1" s="97">
      <c r="A180" s="69">
        <f>'Sessional + End Term Assessment'!A181</f>
        <v/>
      </c>
      <c r="B180" s="80">
        <f>'Sessional + End Term Assessment'!B181</f>
        <v/>
      </c>
      <c r="C180" s="80">
        <f>'Sessional + End Term Assessment'!C181</f>
        <v/>
      </c>
      <c r="D180" s="79" t="n">
        <v>24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79" t="n">
        <v>24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79" t="n">
        <v>13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79" t="n">
        <v>61</v>
      </c>
      <c r="S180" s="48" t="n"/>
      <c r="T180" s="48" t="n"/>
      <c r="U180" s="48" t="n"/>
      <c r="V180" s="48" t="n"/>
      <c r="W180" s="44" t="n"/>
      <c r="X180" s="44" t="n"/>
    </row>
    <row r="181" ht="15.75" customHeight="1" s="97">
      <c r="A181" s="69">
        <f>'Sessional + End Term Assessment'!A182</f>
        <v/>
      </c>
      <c r="B181" s="80">
        <f>'Sessional + End Term Assessment'!B182</f>
        <v/>
      </c>
      <c r="C181" s="80">
        <f>'Sessional + End Term Assessment'!C182</f>
        <v/>
      </c>
      <c r="D181" s="79" t="n">
        <v>24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79" t="n">
        <v>24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79" t="n">
        <v>13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61</v>
      </c>
      <c r="S181" s="48" t="n"/>
      <c r="T181" s="48" t="n"/>
      <c r="U181" s="48" t="n"/>
      <c r="V181" s="48" t="n"/>
      <c r="W181" s="44" t="n"/>
      <c r="X181" s="44" t="n"/>
    </row>
    <row r="182" ht="15.75" customHeight="1" s="97">
      <c r="A182" s="69">
        <f>'Sessional + End Term Assessment'!A183</f>
        <v/>
      </c>
      <c r="B182" s="80">
        <f>'Sessional + End Term Assessment'!B183</f>
        <v/>
      </c>
      <c r="C182" s="80">
        <f>'Sessional + End Term Assessment'!C183</f>
        <v/>
      </c>
      <c r="D182" s="79" t="n">
        <v>24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79" t="n">
        <v>25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79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79" t="n">
        <v>62</v>
      </c>
      <c r="S182" s="48" t="n"/>
      <c r="T182" s="48" t="n"/>
      <c r="U182" s="48" t="n"/>
      <c r="V182" s="48" t="n"/>
      <c r="W182" s="44" t="n"/>
      <c r="X182" s="44" t="n"/>
    </row>
    <row r="183" ht="15.75" customHeight="1" s="97">
      <c r="A183" s="73" t="n"/>
      <c r="B183" s="72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</row>
    <row r="184" ht="15.75" customHeight="1" s="97">
      <c r="A184" s="73" t="n"/>
      <c r="B184" s="72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</row>
    <row r="185" ht="15.75" customHeight="1" s="97">
      <c r="A185" s="73" t="n"/>
      <c r="B185" s="72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</row>
    <row r="186" ht="15.75" customHeight="1" s="97">
      <c r="A186" s="73" t="n"/>
      <c r="B186" s="72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</row>
    <row r="187" ht="15.75" customHeight="1" s="97">
      <c r="A187" s="73" t="n"/>
      <c r="B187" s="72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</row>
    <row r="188" ht="15.75" customHeight="1" s="97">
      <c r="A188" s="73" t="n"/>
      <c r="B188" s="72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</row>
    <row r="189" ht="15.75" customHeight="1" s="97">
      <c r="A189" s="73" t="n"/>
      <c r="B189" s="72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</row>
    <row r="190" ht="15.75" customHeight="1" s="97">
      <c r="A190" s="73" t="n"/>
      <c r="B190" s="72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</row>
    <row r="191" ht="15.75" customHeight="1" s="97">
      <c r="A191" s="73" t="n"/>
      <c r="B191" s="72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</row>
    <row r="192" ht="15.75" customHeight="1" s="97">
      <c r="A192" s="73" t="n"/>
      <c r="B192" s="72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</row>
    <row r="193" ht="15.75" customHeight="1" s="97">
      <c r="A193" s="73" t="n"/>
      <c r="B193" s="72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</row>
    <row r="194" ht="15.75" customHeight="1" s="97">
      <c r="A194" s="73" t="n"/>
      <c r="B194" s="72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</row>
    <row r="195" ht="15.75" customHeight="1" s="97">
      <c r="A195" s="73" t="n"/>
      <c r="B195" s="72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</row>
    <row r="196" ht="15.75" customHeight="1" s="97">
      <c r="A196" s="73" t="n"/>
      <c r="B196" s="72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</row>
    <row r="197" ht="15.75" customHeight="1" s="97">
      <c r="A197" s="73" t="n"/>
      <c r="B197" s="72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</row>
    <row r="198" ht="15.75" customHeight="1" s="97">
      <c r="A198" s="73" t="n"/>
      <c r="B198" s="72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</row>
    <row r="199" ht="15.75" customHeight="1" s="97">
      <c r="A199" s="72" t="n"/>
      <c r="B199" s="72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</row>
    <row r="200" ht="15.75" customHeight="1" s="97">
      <c r="A200" s="72" t="n"/>
      <c r="B200" s="72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</row>
    <row r="201" ht="15.75" customHeight="1" s="97">
      <c r="A201" s="72" t="n"/>
      <c r="B201" s="72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</row>
    <row r="202" ht="15.75" customHeight="1" s="97">
      <c r="A202" s="72" t="n"/>
      <c r="B202" s="72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</row>
    <row r="203" ht="15.75" customHeight="1" s="97">
      <c r="A203" s="72" t="n"/>
      <c r="B203" s="72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</row>
    <row r="204" ht="15.75" customHeight="1" s="97">
      <c r="A204" s="72" t="n"/>
      <c r="B204" s="72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</row>
    <row r="205" ht="15.75" customHeight="1" s="97">
      <c r="A205" s="72" t="n"/>
      <c r="B205" s="72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</row>
    <row r="206" ht="15.75" customHeight="1" s="97">
      <c r="A206" s="72" t="n"/>
      <c r="B206" s="72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</row>
    <row r="207" ht="15.75" customHeight="1" s="97">
      <c r="A207" s="72" t="n"/>
      <c r="B207" s="72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</row>
    <row r="208" ht="15.75" customHeight="1" s="97">
      <c r="A208" s="72" t="n"/>
      <c r="B208" s="72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</row>
    <row r="209" ht="15.75" customHeight="1" s="97">
      <c r="A209" s="72" t="n"/>
      <c r="B209" s="72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</row>
    <row r="210" ht="15.75" customHeight="1" s="97">
      <c r="A210" s="72" t="n"/>
      <c r="B210" s="72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</row>
    <row r="211" ht="15.75" customHeight="1" s="97">
      <c r="A211" s="72" t="n"/>
      <c r="B211" s="72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</row>
    <row r="212" ht="15.75" customHeight="1" s="97">
      <c r="A212" s="72" t="n"/>
      <c r="B212" s="72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</row>
    <row r="213" ht="15.75" customHeight="1" s="97">
      <c r="A213" s="72" t="n"/>
      <c r="B213" s="72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</row>
    <row r="214" ht="15.75" customHeight="1" s="97">
      <c r="A214" s="72" t="n"/>
      <c r="B214" s="72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</row>
    <row r="215" ht="15.75" customHeight="1" s="97">
      <c r="A215" s="72" t="n"/>
      <c r="B215" s="72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</row>
    <row r="216" ht="15.75" customHeight="1" s="97">
      <c r="A216" s="72" t="n"/>
      <c r="B216" s="72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</row>
    <row r="217" ht="15.75" customHeight="1" s="97">
      <c r="A217" s="72" t="n"/>
      <c r="B217" s="72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</row>
    <row r="218" ht="15.75" customHeight="1" s="97">
      <c r="A218" s="72" t="n"/>
      <c r="B218" s="72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</row>
    <row r="219" ht="15.75" customHeight="1" s="97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7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7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7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7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7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7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7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7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7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7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7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7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7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7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7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7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7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7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7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7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7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7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7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7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7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7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7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7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7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7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7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7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7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7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7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7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7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7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7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7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7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7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7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7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7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7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7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7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182 M7:O182">
    <cfRule type="cellIs" priority="1" operator="equal" dxfId="2">
      <formula>0</formula>
    </cfRule>
  </conditionalFormatting>
  <conditionalFormatting sqref="I7:K182">
    <cfRule type="cellIs" priority="5" operator="equal" dxfId="2">
      <formula>0</formula>
    </cfRule>
  </conditionalFormatting>
  <conditionalFormatting sqref="U7:U182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9"/>
  <sheetViews>
    <sheetView topLeftCell="A168" workbookViewId="0">
      <selection activeCell="A179" sqref="A179:XFD183"/>
    </sheetView>
  </sheetViews>
  <sheetFormatPr baseColWidth="8" defaultColWidth="12.59765625" defaultRowHeight="15" customHeight="1"/>
  <cols>
    <col width="8.8984375" customWidth="1" style="97" min="1" max="1"/>
    <col width="12.69921875" customWidth="1" style="97" min="2" max="2"/>
    <col width="27.8984375" customWidth="1" style="97" min="3" max="3"/>
    <col width="9.19921875" customWidth="1" style="97" min="4" max="4"/>
    <col width="10.8984375" customWidth="1" style="97" min="5" max="5"/>
    <col width="8.8984375" customWidth="1" style="97" min="6" max="25"/>
    <col width="12.69921875" customWidth="1" style="97" min="26" max="26"/>
  </cols>
  <sheetData>
    <row r="1" ht="21" customHeight="1" s="97">
      <c r="A1" s="110" t="inlineStr">
        <is>
          <t>Marks and Gap Analysis of Mid-Term 1</t>
        </is>
      </c>
      <c r="B1" s="132" t="n"/>
      <c r="C1" s="132" t="n"/>
      <c r="D1" s="132" t="n"/>
      <c r="E1" s="132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7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7" thickBot="1">
      <c r="A3" s="64">
        <f>'Sessional + End Term Assessment'!A8</f>
        <v/>
      </c>
      <c r="B3" s="80">
        <f>'Sessional + End Term Assessment'!B8</f>
        <v/>
      </c>
      <c r="C3" s="80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7" thickBot="1">
      <c r="A4" s="64">
        <f>'Sessional + End Term Assessment'!A9</f>
        <v/>
      </c>
      <c r="B4" s="80">
        <f>'Sessional + End Term Assessment'!B9</f>
        <v/>
      </c>
      <c r="C4" s="80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7" thickBot="1">
      <c r="A5" s="64">
        <f>'Sessional + End Term Assessment'!A10</f>
        <v/>
      </c>
      <c r="B5" s="80">
        <f>'Sessional + End Term Assessment'!B10</f>
        <v/>
      </c>
      <c r="C5" s="80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7" thickBot="1">
      <c r="A6" s="64">
        <f>'Sessional + End Term Assessment'!A11</f>
        <v/>
      </c>
      <c r="B6" s="80">
        <f>'Sessional + End Term Assessment'!B11</f>
        <v/>
      </c>
      <c r="C6" s="80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7" thickBot="1">
      <c r="A7" s="64">
        <f>'Sessional + End Term Assessment'!A12</f>
        <v/>
      </c>
      <c r="B7" s="80">
        <f>'Sessional + End Term Assessment'!B12</f>
        <v/>
      </c>
      <c r="C7" s="80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7" thickBot="1">
      <c r="A8" s="64">
        <f>'Sessional + End Term Assessment'!A13</f>
        <v/>
      </c>
      <c r="B8" s="80">
        <f>'Sessional + End Term Assessment'!B13</f>
        <v/>
      </c>
      <c r="C8" s="80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7" thickBot="1">
      <c r="A9" s="64">
        <f>'Sessional + End Term Assessment'!A14</f>
        <v/>
      </c>
      <c r="B9" s="80">
        <f>'Sessional + End Term Assessment'!B14</f>
        <v/>
      </c>
      <c r="C9" s="80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7" thickBot="1">
      <c r="A10" s="64">
        <f>'Sessional + End Term Assessment'!A15</f>
        <v/>
      </c>
      <c r="B10" s="80">
        <f>'Sessional + End Term Assessment'!B15</f>
        <v/>
      </c>
      <c r="C10" s="80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7" thickBot="1">
      <c r="A11" s="64">
        <f>'Sessional + End Term Assessment'!A16</f>
        <v/>
      </c>
      <c r="B11" s="80">
        <f>'Sessional + End Term Assessment'!B16</f>
        <v/>
      </c>
      <c r="C11" s="80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7" thickBot="1">
      <c r="A12" s="64">
        <f>'Sessional + End Term Assessment'!A17</f>
        <v/>
      </c>
      <c r="B12" s="80">
        <f>'Sessional + End Term Assessment'!B17</f>
        <v/>
      </c>
      <c r="C12" s="80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7" thickBot="1">
      <c r="A13" s="64">
        <f>'Sessional + End Term Assessment'!A18</f>
        <v/>
      </c>
      <c r="B13" s="80">
        <f>'Sessional + End Term Assessment'!B18</f>
        <v/>
      </c>
      <c r="C13" s="80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7" thickBot="1">
      <c r="A14" s="64">
        <f>'Sessional + End Term Assessment'!A19</f>
        <v/>
      </c>
      <c r="B14" s="80">
        <f>'Sessional + End Term Assessment'!B19</f>
        <v/>
      </c>
      <c r="C14" s="80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7" thickBot="1">
      <c r="A15" s="64">
        <f>'Sessional + End Term Assessment'!A20</f>
        <v/>
      </c>
      <c r="B15" s="80">
        <f>'Sessional + End Term Assessment'!B20</f>
        <v/>
      </c>
      <c r="C15" s="80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7" thickBot="1">
      <c r="A16" s="64">
        <f>'Sessional + End Term Assessment'!A21</f>
        <v/>
      </c>
      <c r="B16" s="80">
        <f>'Sessional + End Term Assessment'!B21</f>
        <v/>
      </c>
      <c r="C16" s="80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7" thickBot="1">
      <c r="A17" s="64">
        <f>'Sessional + End Term Assessment'!A22</f>
        <v/>
      </c>
      <c r="B17" s="80">
        <f>'Sessional + End Term Assessment'!B22</f>
        <v/>
      </c>
      <c r="C17" s="80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7" thickBot="1">
      <c r="A18" s="64">
        <f>'Sessional + End Term Assessment'!A23</f>
        <v/>
      </c>
      <c r="B18" s="80">
        <f>'Sessional + End Term Assessment'!B23</f>
        <v/>
      </c>
      <c r="C18" s="80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7" thickBot="1">
      <c r="A19" s="64">
        <f>'Sessional + End Term Assessment'!A24</f>
        <v/>
      </c>
      <c r="B19" s="80">
        <f>'Sessional + End Term Assessment'!B24</f>
        <v/>
      </c>
      <c r="C19" s="80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7" thickBot="1">
      <c r="A20" s="64">
        <f>'Sessional + End Term Assessment'!A25</f>
        <v/>
      </c>
      <c r="B20" s="80">
        <f>'Sessional + End Term Assessment'!B25</f>
        <v/>
      </c>
      <c r="C20" s="80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7" thickBot="1">
      <c r="A21" s="64">
        <f>'Sessional + End Term Assessment'!A26</f>
        <v/>
      </c>
      <c r="B21" s="80">
        <f>'Sessional + End Term Assessment'!B26</f>
        <v/>
      </c>
      <c r="C21" s="80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7" thickBot="1">
      <c r="A22" s="64">
        <f>'Sessional + End Term Assessment'!A27</f>
        <v/>
      </c>
      <c r="B22" s="80">
        <f>'Sessional + End Term Assessment'!B27</f>
        <v/>
      </c>
      <c r="C22" s="80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7" thickBot="1">
      <c r="A23" s="64">
        <f>'Sessional + End Term Assessment'!A28</f>
        <v/>
      </c>
      <c r="B23" s="80">
        <f>'Sessional + End Term Assessment'!B28</f>
        <v/>
      </c>
      <c r="C23" s="80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7" thickBot="1">
      <c r="A24" s="64">
        <f>'Sessional + End Term Assessment'!A29</f>
        <v/>
      </c>
      <c r="B24" s="80">
        <f>'Sessional + End Term Assessment'!B29</f>
        <v/>
      </c>
      <c r="C24" s="80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7" thickBot="1">
      <c r="A25" s="64">
        <f>'Sessional + End Term Assessment'!A30</f>
        <v/>
      </c>
      <c r="B25" s="80">
        <f>'Sessional + End Term Assessment'!B30</f>
        <v/>
      </c>
      <c r="C25" s="80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7" thickBot="1">
      <c r="A26" s="64">
        <f>'Sessional + End Term Assessment'!A31</f>
        <v/>
      </c>
      <c r="B26" s="80">
        <f>'Sessional + End Term Assessment'!B31</f>
        <v/>
      </c>
      <c r="C26" s="80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7" thickBot="1">
      <c r="A27" s="64">
        <f>'Sessional + End Term Assessment'!A32</f>
        <v/>
      </c>
      <c r="B27" s="80">
        <f>'Sessional + End Term Assessment'!B32</f>
        <v/>
      </c>
      <c r="C27" s="80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7" thickBot="1">
      <c r="A28" s="64">
        <f>'Sessional + End Term Assessment'!A33</f>
        <v/>
      </c>
      <c r="B28" s="80">
        <f>'Sessional + End Term Assessment'!B33</f>
        <v/>
      </c>
      <c r="C28" s="80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7" thickBot="1">
      <c r="A29" s="64">
        <f>'Sessional + End Term Assessment'!A34</f>
        <v/>
      </c>
      <c r="B29" s="80">
        <f>'Sessional + End Term Assessment'!B34</f>
        <v/>
      </c>
      <c r="C29" s="80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7" thickBot="1">
      <c r="A30" s="64">
        <f>'Sessional + End Term Assessment'!A35</f>
        <v/>
      </c>
      <c r="B30" s="80">
        <f>'Sessional + End Term Assessment'!B35</f>
        <v/>
      </c>
      <c r="C30" s="80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7" thickBot="1">
      <c r="A31" s="64">
        <f>'Sessional + End Term Assessment'!A36</f>
        <v/>
      </c>
      <c r="B31" s="80">
        <f>'Sessional + End Term Assessment'!B36</f>
        <v/>
      </c>
      <c r="C31" s="80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7" thickBot="1">
      <c r="A32" s="64">
        <f>'Sessional + End Term Assessment'!A37</f>
        <v/>
      </c>
      <c r="B32" s="80">
        <f>'Sessional + End Term Assessment'!B37</f>
        <v/>
      </c>
      <c r="C32" s="80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7" thickBot="1">
      <c r="A33" s="64">
        <f>'Sessional + End Term Assessment'!A38</f>
        <v/>
      </c>
      <c r="B33" s="80">
        <f>'Sessional + End Term Assessment'!B38</f>
        <v/>
      </c>
      <c r="C33" s="80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7" thickBot="1">
      <c r="A34" s="64">
        <f>'Sessional + End Term Assessment'!A39</f>
        <v/>
      </c>
      <c r="B34" s="80">
        <f>'Sessional + End Term Assessment'!B39</f>
        <v/>
      </c>
      <c r="C34" s="80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7" thickBot="1">
      <c r="A35" s="64">
        <f>'Sessional + End Term Assessment'!A40</f>
        <v/>
      </c>
      <c r="B35" s="80">
        <f>'Sessional + End Term Assessment'!B40</f>
        <v/>
      </c>
      <c r="C35" s="80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7" thickBot="1">
      <c r="A36" s="64">
        <f>'Sessional + End Term Assessment'!A41</f>
        <v/>
      </c>
      <c r="B36" s="80">
        <f>'Sessional + End Term Assessment'!B41</f>
        <v/>
      </c>
      <c r="C36" s="80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7" thickBot="1">
      <c r="A37" s="64">
        <f>'Sessional + End Term Assessment'!A42</f>
        <v/>
      </c>
      <c r="B37" s="80">
        <f>'Sessional + End Term Assessment'!B42</f>
        <v/>
      </c>
      <c r="C37" s="80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7" thickBot="1">
      <c r="A38" s="64">
        <f>'Sessional + End Term Assessment'!A43</f>
        <v/>
      </c>
      <c r="B38" s="80">
        <f>'Sessional + End Term Assessment'!B43</f>
        <v/>
      </c>
      <c r="C38" s="80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7" thickBot="1">
      <c r="A39" s="64">
        <f>'Sessional + End Term Assessment'!A44</f>
        <v/>
      </c>
      <c r="B39" s="80">
        <f>'Sessional + End Term Assessment'!B44</f>
        <v/>
      </c>
      <c r="C39" s="80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7" thickBot="1">
      <c r="A40" s="64">
        <f>'Sessional + End Term Assessment'!A45</f>
        <v/>
      </c>
      <c r="B40" s="80">
        <f>'Sessional + End Term Assessment'!B45</f>
        <v/>
      </c>
      <c r="C40" s="80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7" thickBot="1">
      <c r="A41" s="64">
        <f>'Sessional + End Term Assessment'!A46</f>
        <v/>
      </c>
      <c r="B41" s="80">
        <f>'Sessional + End Term Assessment'!B46</f>
        <v/>
      </c>
      <c r="C41" s="80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7" thickBot="1">
      <c r="A42" s="64">
        <f>'Sessional + End Term Assessment'!A47</f>
        <v/>
      </c>
      <c r="B42" s="80">
        <f>'Sessional + End Term Assessment'!B47</f>
        <v/>
      </c>
      <c r="C42" s="80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7" thickBot="1">
      <c r="A43" s="64">
        <f>'Sessional + End Term Assessment'!A48</f>
        <v/>
      </c>
      <c r="B43" s="80">
        <f>'Sessional + End Term Assessment'!B48</f>
        <v/>
      </c>
      <c r="C43" s="80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7" thickBot="1">
      <c r="A44" s="64">
        <f>'Sessional + End Term Assessment'!A49</f>
        <v/>
      </c>
      <c r="B44" s="80">
        <f>'Sessional + End Term Assessment'!B49</f>
        <v/>
      </c>
      <c r="C44" s="80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7" thickBot="1">
      <c r="A45" s="64">
        <f>'Sessional + End Term Assessment'!A50</f>
        <v/>
      </c>
      <c r="B45" s="80">
        <f>'Sessional + End Term Assessment'!B50</f>
        <v/>
      </c>
      <c r="C45" s="80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7" thickBot="1">
      <c r="A46" s="64">
        <f>'Sessional + End Term Assessment'!A51</f>
        <v/>
      </c>
      <c r="B46" s="80">
        <f>'Sessional + End Term Assessment'!B51</f>
        <v/>
      </c>
      <c r="C46" s="80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7" thickBot="1">
      <c r="A47" s="64">
        <f>'Sessional + End Term Assessment'!A52</f>
        <v/>
      </c>
      <c r="B47" s="80">
        <f>'Sessional + End Term Assessment'!B52</f>
        <v/>
      </c>
      <c r="C47" s="80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7" thickBot="1">
      <c r="A48" s="64">
        <f>'Sessional + End Term Assessment'!A53</f>
        <v/>
      </c>
      <c r="B48" s="80">
        <f>'Sessional + End Term Assessment'!B53</f>
        <v/>
      </c>
      <c r="C48" s="80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7" thickBot="1">
      <c r="A49" s="64">
        <f>'Sessional + End Term Assessment'!A54</f>
        <v/>
      </c>
      <c r="B49" s="80">
        <f>'Sessional + End Term Assessment'!B54</f>
        <v/>
      </c>
      <c r="C49" s="80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7" thickBot="1">
      <c r="A50" s="64">
        <f>'Sessional + End Term Assessment'!A55</f>
        <v/>
      </c>
      <c r="B50" s="80">
        <f>'Sessional + End Term Assessment'!B55</f>
        <v/>
      </c>
      <c r="C50" s="80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7" thickBot="1">
      <c r="A51" s="64">
        <f>'Sessional + End Term Assessment'!A56</f>
        <v/>
      </c>
      <c r="B51" s="80">
        <f>'Sessional + End Term Assessment'!B56</f>
        <v/>
      </c>
      <c r="C51" s="80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7" thickBot="1">
      <c r="A52" s="64">
        <f>'Sessional + End Term Assessment'!A57</f>
        <v/>
      </c>
      <c r="B52" s="80">
        <f>'Sessional + End Term Assessment'!B57</f>
        <v/>
      </c>
      <c r="C52" s="80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7" thickBot="1">
      <c r="A53" s="64">
        <f>'Sessional + End Term Assessment'!A58</f>
        <v/>
      </c>
      <c r="B53" s="80">
        <f>'Sessional + End Term Assessment'!B58</f>
        <v/>
      </c>
      <c r="C53" s="80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7" thickBot="1">
      <c r="A54" s="64">
        <f>'Sessional + End Term Assessment'!A59</f>
        <v/>
      </c>
      <c r="B54" s="80">
        <f>'Sessional + End Term Assessment'!B59</f>
        <v/>
      </c>
      <c r="C54" s="80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7" thickBot="1">
      <c r="A55" s="64">
        <f>'Sessional + End Term Assessment'!A60</f>
        <v/>
      </c>
      <c r="B55" s="80">
        <f>'Sessional + End Term Assessment'!B60</f>
        <v/>
      </c>
      <c r="C55" s="80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7" thickBot="1">
      <c r="A56" s="64">
        <f>'Sessional + End Term Assessment'!A61</f>
        <v/>
      </c>
      <c r="B56" s="80">
        <f>'Sessional + End Term Assessment'!B61</f>
        <v/>
      </c>
      <c r="C56" s="80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7" thickBot="1">
      <c r="A57" s="64">
        <f>'Sessional + End Term Assessment'!A62</f>
        <v/>
      </c>
      <c r="B57" s="80">
        <f>'Sessional + End Term Assessment'!B62</f>
        <v/>
      </c>
      <c r="C57" s="80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7" thickBot="1">
      <c r="A58" s="64">
        <f>'Sessional + End Term Assessment'!A63</f>
        <v/>
      </c>
      <c r="B58" s="80">
        <f>'Sessional + End Term Assessment'!B63</f>
        <v/>
      </c>
      <c r="C58" s="80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7" thickBot="1">
      <c r="A59" s="64">
        <f>'Sessional + End Term Assessment'!A64</f>
        <v/>
      </c>
      <c r="B59" s="80">
        <f>'Sessional + End Term Assessment'!B64</f>
        <v/>
      </c>
      <c r="C59" s="80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7" thickBot="1">
      <c r="A60" s="64">
        <f>'Sessional + End Term Assessment'!A65</f>
        <v/>
      </c>
      <c r="B60" s="80">
        <f>'Sessional + End Term Assessment'!B65</f>
        <v/>
      </c>
      <c r="C60" s="80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7" thickBot="1">
      <c r="A61" s="64">
        <f>'Sessional + End Term Assessment'!A66</f>
        <v/>
      </c>
      <c r="B61" s="80">
        <f>'Sessional + End Term Assessment'!B66</f>
        <v/>
      </c>
      <c r="C61" s="80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7" thickBot="1">
      <c r="A62" s="64">
        <f>'Sessional + End Term Assessment'!A67</f>
        <v/>
      </c>
      <c r="B62" s="80">
        <f>'Sessional + End Term Assessment'!B67</f>
        <v/>
      </c>
      <c r="C62" s="80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7" thickBot="1">
      <c r="A63" s="64">
        <f>'Sessional + End Term Assessment'!A68</f>
        <v/>
      </c>
      <c r="B63" s="80">
        <f>'Sessional + End Term Assessment'!B68</f>
        <v/>
      </c>
      <c r="C63" s="80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7" thickBot="1">
      <c r="A64" s="64">
        <f>'Sessional + End Term Assessment'!A69</f>
        <v/>
      </c>
      <c r="B64" s="80">
        <f>'Sessional + End Term Assessment'!B69</f>
        <v/>
      </c>
      <c r="C64" s="80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7" thickBot="1">
      <c r="A65" s="64">
        <f>'Sessional + End Term Assessment'!A70</f>
        <v/>
      </c>
      <c r="B65" s="80">
        <f>'Sessional + End Term Assessment'!B70</f>
        <v/>
      </c>
      <c r="C65" s="80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7" thickBot="1">
      <c r="A66" s="64">
        <f>'Sessional + End Term Assessment'!A71</f>
        <v/>
      </c>
      <c r="B66" s="80">
        <f>'Sessional + End Term Assessment'!B71</f>
        <v/>
      </c>
      <c r="C66" s="80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7" thickBot="1">
      <c r="A67" s="64">
        <f>'Sessional + End Term Assessment'!A72</f>
        <v/>
      </c>
      <c r="B67" s="80">
        <f>'Sessional + End Term Assessment'!B72</f>
        <v/>
      </c>
      <c r="C67" s="80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7" thickBot="1">
      <c r="A68" s="64">
        <f>'Sessional + End Term Assessment'!A73</f>
        <v/>
      </c>
      <c r="B68" s="80">
        <f>'Sessional + End Term Assessment'!B73</f>
        <v/>
      </c>
      <c r="C68" s="80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7" thickBot="1">
      <c r="A69" s="64">
        <f>'Sessional + End Term Assessment'!A74</f>
        <v/>
      </c>
      <c r="B69" s="80">
        <f>'Sessional + End Term Assessment'!B74</f>
        <v/>
      </c>
      <c r="C69" s="80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7" thickBot="1">
      <c r="A70" s="64">
        <f>'Sessional + End Term Assessment'!A75</f>
        <v/>
      </c>
      <c r="B70" s="80">
        <f>'Sessional + End Term Assessment'!B75</f>
        <v/>
      </c>
      <c r="C70" s="80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7" thickBot="1">
      <c r="A71" s="64">
        <f>'Sessional + End Term Assessment'!A76</f>
        <v/>
      </c>
      <c r="B71" s="80">
        <f>'Sessional + End Term Assessment'!B76</f>
        <v/>
      </c>
      <c r="C71" s="80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7" thickBot="1">
      <c r="A72" s="64">
        <f>'Sessional + End Term Assessment'!A77</f>
        <v/>
      </c>
      <c r="B72" s="80">
        <f>'Sessional + End Term Assessment'!B77</f>
        <v/>
      </c>
      <c r="C72" s="80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7" thickBot="1">
      <c r="A73" s="64">
        <f>'Sessional + End Term Assessment'!A78</f>
        <v/>
      </c>
      <c r="B73" s="80">
        <f>'Sessional + End Term Assessment'!B78</f>
        <v/>
      </c>
      <c r="C73" s="80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7" thickBot="1">
      <c r="A74" s="64">
        <f>'Sessional + End Term Assessment'!A79</f>
        <v/>
      </c>
      <c r="B74" s="80">
        <f>'Sessional + End Term Assessment'!B79</f>
        <v/>
      </c>
      <c r="C74" s="80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7" thickBot="1">
      <c r="A75" s="64">
        <f>'Sessional + End Term Assessment'!A80</f>
        <v/>
      </c>
      <c r="B75" s="80">
        <f>'Sessional + End Term Assessment'!B80</f>
        <v/>
      </c>
      <c r="C75" s="80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7" thickBot="1">
      <c r="A76" s="64">
        <f>'Sessional + End Term Assessment'!A81</f>
        <v/>
      </c>
      <c r="B76" s="80">
        <f>'Sessional + End Term Assessment'!B81</f>
        <v/>
      </c>
      <c r="C76" s="80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7" thickBot="1">
      <c r="A77" s="64">
        <f>'Sessional + End Term Assessment'!A82</f>
        <v/>
      </c>
      <c r="B77" s="80">
        <f>'Sessional + End Term Assessment'!B82</f>
        <v/>
      </c>
      <c r="C77" s="80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7" thickBot="1">
      <c r="A78" s="64">
        <f>'Sessional + End Term Assessment'!A83</f>
        <v/>
      </c>
      <c r="B78" s="80">
        <f>'Sessional + End Term Assessment'!B83</f>
        <v/>
      </c>
      <c r="C78" s="80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7" thickBot="1">
      <c r="A79" s="64">
        <f>'Sessional + End Term Assessment'!A84</f>
        <v/>
      </c>
      <c r="B79" s="80">
        <f>'Sessional + End Term Assessment'!B84</f>
        <v/>
      </c>
      <c r="C79" s="80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7" thickBot="1">
      <c r="A80" s="64">
        <f>'Sessional + End Term Assessment'!A85</f>
        <v/>
      </c>
      <c r="B80" s="80">
        <f>'Sessional + End Term Assessment'!B85</f>
        <v/>
      </c>
      <c r="C80" s="80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7" thickBot="1">
      <c r="A81" s="64">
        <f>'Sessional + End Term Assessment'!A86</f>
        <v/>
      </c>
      <c r="B81" s="80">
        <f>'Sessional + End Term Assessment'!B86</f>
        <v/>
      </c>
      <c r="C81" s="80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7" thickBot="1">
      <c r="A82" s="64">
        <f>'Sessional + End Term Assessment'!A87</f>
        <v/>
      </c>
      <c r="B82" s="80">
        <f>'Sessional + End Term Assessment'!B87</f>
        <v/>
      </c>
      <c r="C82" s="80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7" thickBot="1">
      <c r="A83" s="64">
        <f>'Sessional + End Term Assessment'!A88</f>
        <v/>
      </c>
      <c r="B83" s="80">
        <f>'Sessional + End Term Assessment'!B88</f>
        <v/>
      </c>
      <c r="C83" s="80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7" thickBot="1">
      <c r="A84" s="64">
        <f>'Sessional + End Term Assessment'!A89</f>
        <v/>
      </c>
      <c r="B84" s="80">
        <f>'Sessional + End Term Assessment'!B89</f>
        <v/>
      </c>
      <c r="C84" s="80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7" thickBot="1">
      <c r="A85" s="64">
        <f>'Sessional + End Term Assessment'!A90</f>
        <v/>
      </c>
      <c r="B85" s="80">
        <f>'Sessional + End Term Assessment'!B90</f>
        <v/>
      </c>
      <c r="C85" s="80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7" thickBot="1">
      <c r="A86" s="64">
        <f>'Sessional + End Term Assessment'!A91</f>
        <v/>
      </c>
      <c r="B86" s="80">
        <f>'Sessional + End Term Assessment'!B91</f>
        <v/>
      </c>
      <c r="C86" s="80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7" thickBot="1">
      <c r="A87" s="64">
        <f>'Sessional + End Term Assessment'!A92</f>
        <v/>
      </c>
      <c r="B87" s="80">
        <f>'Sessional + End Term Assessment'!B92</f>
        <v/>
      </c>
      <c r="C87" s="80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7" thickBot="1">
      <c r="A88" s="64">
        <f>'Sessional + End Term Assessment'!A93</f>
        <v/>
      </c>
      <c r="B88" s="80">
        <f>'Sessional + End Term Assessment'!B93</f>
        <v/>
      </c>
      <c r="C88" s="80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7" thickBot="1">
      <c r="A89" s="64">
        <f>'Sessional + End Term Assessment'!A94</f>
        <v/>
      </c>
      <c r="B89" s="80">
        <f>'Sessional + End Term Assessment'!B94</f>
        <v/>
      </c>
      <c r="C89" s="80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7" thickBot="1">
      <c r="A90" s="64">
        <f>'Sessional + End Term Assessment'!A95</f>
        <v/>
      </c>
      <c r="B90" s="80">
        <f>'Sessional + End Term Assessment'!B95</f>
        <v/>
      </c>
      <c r="C90" s="80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7" thickBot="1">
      <c r="A91" s="64">
        <f>'Sessional + End Term Assessment'!A96</f>
        <v/>
      </c>
      <c r="B91" s="80">
        <f>'Sessional + End Term Assessment'!B96</f>
        <v/>
      </c>
      <c r="C91" s="80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7" thickBot="1">
      <c r="A92" s="64">
        <f>'Sessional + End Term Assessment'!A97</f>
        <v/>
      </c>
      <c r="B92" s="80">
        <f>'Sessional + End Term Assessment'!B97</f>
        <v/>
      </c>
      <c r="C92" s="80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7" thickBot="1">
      <c r="A93" s="64">
        <f>'Sessional + End Term Assessment'!A98</f>
        <v/>
      </c>
      <c r="B93" s="80">
        <f>'Sessional + End Term Assessment'!B98</f>
        <v/>
      </c>
      <c r="C93" s="80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7" thickBot="1">
      <c r="A94" s="64">
        <f>'Sessional + End Term Assessment'!A99</f>
        <v/>
      </c>
      <c r="B94" s="80">
        <f>'Sessional + End Term Assessment'!B99</f>
        <v/>
      </c>
      <c r="C94" s="80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7" thickBot="1">
      <c r="A95" s="64">
        <f>'Sessional + End Term Assessment'!A100</f>
        <v/>
      </c>
      <c r="B95" s="80">
        <f>'Sessional + End Term Assessment'!B100</f>
        <v/>
      </c>
      <c r="C95" s="80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7" thickBot="1">
      <c r="A96" s="64">
        <f>'Sessional + End Term Assessment'!A101</f>
        <v/>
      </c>
      <c r="B96" s="80">
        <f>'Sessional + End Term Assessment'!B101</f>
        <v/>
      </c>
      <c r="C96" s="80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7" thickBot="1">
      <c r="A97" s="64">
        <f>'Sessional + End Term Assessment'!A102</f>
        <v/>
      </c>
      <c r="B97" s="80">
        <f>'Sessional + End Term Assessment'!B102</f>
        <v/>
      </c>
      <c r="C97" s="80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7" thickBot="1">
      <c r="A98" s="64">
        <f>'Sessional + End Term Assessment'!A103</f>
        <v/>
      </c>
      <c r="B98" s="80">
        <f>'Sessional + End Term Assessment'!B103</f>
        <v/>
      </c>
      <c r="C98" s="80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7" thickBot="1">
      <c r="A99" s="64">
        <f>'Sessional + End Term Assessment'!A104</f>
        <v/>
      </c>
      <c r="B99" s="80">
        <f>'Sessional + End Term Assessment'!B104</f>
        <v/>
      </c>
      <c r="C99" s="80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7" thickBot="1">
      <c r="A100" s="64">
        <f>'Sessional + End Term Assessment'!A105</f>
        <v/>
      </c>
      <c r="B100" s="80">
        <f>'Sessional + End Term Assessment'!B105</f>
        <v/>
      </c>
      <c r="C100" s="80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7" thickBot="1">
      <c r="A101" s="64">
        <f>'Sessional + End Term Assessment'!A106</f>
        <v/>
      </c>
      <c r="B101" s="80">
        <f>'Sessional + End Term Assessment'!B106</f>
        <v/>
      </c>
      <c r="C101" s="80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7" thickBot="1">
      <c r="A102" s="64">
        <f>'Sessional + End Term Assessment'!A107</f>
        <v/>
      </c>
      <c r="B102" s="80">
        <f>'Sessional + End Term Assessment'!B107</f>
        <v/>
      </c>
      <c r="C102" s="80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7" thickBot="1">
      <c r="A103" s="64">
        <f>'Sessional + End Term Assessment'!A108</f>
        <v/>
      </c>
      <c r="B103" s="80">
        <f>'Sessional + End Term Assessment'!B108</f>
        <v/>
      </c>
      <c r="C103" s="80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7" thickBot="1">
      <c r="A104" s="64">
        <f>'Sessional + End Term Assessment'!A109</f>
        <v/>
      </c>
      <c r="B104" s="80">
        <f>'Sessional + End Term Assessment'!B109</f>
        <v/>
      </c>
      <c r="C104" s="80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7" thickBot="1">
      <c r="A105" s="64">
        <f>'Sessional + End Term Assessment'!A110</f>
        <v/>
      </c>
      <c r="B105" s="80">
        <f>'Sessional + End Term Assessment'!B110</f>
        <v/>
      </c>
      <c r="C105" s="80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7" thickBot="1">
      <c r="A106" s="64">
        <f>'Sessional + End Term Assessment'!A111</f>
        <v/>
      </c>
      <c r="B106" s="80">
        <f>'Sessional + End Term Assessment'!B111</f>
        <v/>
      </c>
      <c r="C106" s="80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7" thickBot="1">
      <c r="A107" s="64">
        <f>'Sessional + End Term Assessment'!A112</f>
        <v/>
      </c>
      <c r="B107" s="80">
        <f>'Sessional + End Term Assessment'!B112</f>
        <v/>
      </c>
      <c r="C107" s="80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7" thickBot="1">
      <c r="A108" s="64">
        <f>'Sessional + End Term Assessment'!A113</f>
        <v/>
      </c>
      <c r="B108" s="80">
        <f>'Sessional + End Term Assessment'!B113</f>
        <v/>
      </c>
      <c r="C108" s="80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7" thickBot="1">
      <c r="A109" s="64">
        <f>'Sessional + End Term Assessment'!A114</f>
        <v/>
      </c>
      <c r="B109" s="80">
        <f>'Sessional + End Term Assessment'!B114</f>
        <v/>
      </c>
      <c r="C109" s="80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7" thickBot="1">
      <c r="A110" s="64">
        <f>'Sessional + End Term Assessment'!A115</f>
        <v/>
      </c>
      <c r="B110" s="80">
        <f>'Sessional + End Term Assessment'!B115</f>
        <v/>
      </c>
      <c r="C110" s="80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7" thickBot="1">
      <c r="A111" s="64">
        <f>'Sessional + End Term Assessment'!A116</f>
        <v/>
      </c>
      <c r="B111" s="80">
        <f>'Sessional + End Term Assessment'!B116</f>
        <v/>
      </c>
      <c r="C111" s="80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7" thickBot="1">
      <c r="A112" s="64">
        <f>'Sessional + End Term Assessment'!A117</f>
        <v/>
      </c>
      <c r="B112" s="80">
        <f>'Sessional + End Term Assessment'!B117</f>
        <v/>
      </c>
      <c r="C112" s="80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7" thickBot="1">
      <c r="A113" s="64">
        <f>'Sessional + End Term Assessment'!A118</f>
        <v/>
      </c>
      <c r="B113" s="80">
        <f>'Sessional + End Term Assessment'!B118</f>
        <v/>
      </c>
      <c r="C113" s="80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7" thickBot="1">
      <c r="A114" s="64">
        <f>'Sessional + End Term Assessment'!A119</f>
        <v/>
      </c>
      <c r="B114" s="80">
        <f>'Sessional + End Term Assessment'!B119</f>
        <v/>
      </c>
      <c r="C114" s="80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7" thickBot="1">
      <c r="A115" s="64">
        <f>'Sessional + End Term Assessment'!A120</f>
        <v/>
      </c>
      <c r="B115" s="80">
        <f>'Sessional + End Term Assessment'!B120</f>
        <v/>
      </c>
      <c r="C115" s="80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7" thickBot="1">
      <c r="A116" s="64">
        <f>'Sessional + End Term Assessment'!A121</f>
        <v/>
      </c>
      <c r="B116" s="80">
        <f>'Sessional + End Term Assessment'!B121</f>
        <v/>
      </c>
      <c r="C116" s="80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7" thickBot="1">
      <c r="A117" s="64">
        <f>'Sessional + End Term Assessment'!A122</f>
        <v/>
      </c>
      <c r="B117" s="80">
        <f>'Sessional + End Term Assessment'!B122</f>
        <v/>
      </c>
      <c r="C117" s="80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7" thickBot="1">
      <c r="A118" s="64">
        <f>'Sessional + End Term Assessment'!A123</f>
        <v/>
      </c>
      <c r="B118" s="80">
        <f>'Sessional + End Term Assessment'!B123</f>
        <v/>
      </c>
      <c r="C118" s="80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7" thickBot="1">
      <c r="A119" s="64">
        <f>'Sessional + End Term Assessment'!A124</f>
        <v/>
      </c>
      <c r="B119" s="80">
        <f>'Sessional + End Term Assessment'!B124</f>
        <v/>
      </c>
      <c r="C119" s="80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7" thickBot="1">
      <c r="A120" s="64">
        <f>'Sessional + End Term Assessment'!A125</f>
        <v/>
      </c>
      <c r="B120" s="80">
        <f>'Sessional + End Term Assessment'!B125</f>
        <v/>
      </c>
      <c r="C120" s="80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7" thickBot="1">
      <c r="A121" s="64">
        <f>'Sessional + End Term Assessment'!A126</f>
        <v/>
      </c>
      <c r="B121" s="80">
        <f>'Sessional + End Term Assessment'!B126</f>
        <v/>
      </c>
      <c r="C121" s="80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7" thickBot="1">
      <c r="A122" s="64">
        <f>'Sessional + End Term Assessment'!A127</f>
        <v/>
      </c>
      <c r="B122" s="80">
        <f>'Sessional + End Term Assessment'!B127</f>
        <v/>
      </c>
      <c r="C122" s="80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7" thickBot="1">
      <c r="A123" s="64">
        <f>'Sessional + End Term Assessment'!A128</f>
        <v/>
      </c>
      <c r="B123" s="80">
        <f>'Sessional + End Term Assessment'!B128</f>
        <v/>
      </c>
      <c r="C123" s="80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7" thickBot="1">
      <c r="A124" s="64">
        <f>'Sessional + End Term Assessment'!A129</f>
        <v/>
      </c>
      <c r="B124" s="80">
        <f>'Sessional + End Term Assessment'!B129</f>
        <v/>
      </c>
      <c r="C124" s="80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7" thickBot="1">
      <c r="A125" s="64">
        <f>'Sessional + End Term Assessment'!A130</f>
        <v/>
      </c>
      <c r="B125" s="80">
        <f>'Sessional + End Term Assessment'!B130</f>
        <v/>
      </c>
      <c r="C125" s="80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7" thickBot="1">
      <c r="A126" s="64">
        <f>'Sessional + End Term Assessment'!A131</f>
        <v/>
      </c>
      <c r="B126" s="80">
        <f>'Sessional + End Term Assessment'!B131</f>
        <v/>
      </c>
      <c r="C126" s="80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7" thickBot="1">
      <c r="A127" s="64">
        <f>'Sessional + End Term Assessment'!A132</f>
        <v/>
      </c>
      <c r="B127" s="80">
        <f>'Sessional + End Term Assessment'!B132</f>
        <v/>
      </c>
      <c r="C127" s="80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7" thickBot="1">
      <c r="A128" s="64">
        <f>'Sessional + End Term Assessment'!A133</f>
        <v/>
      </c>
      <c r="B128" s="80">
        <f>'Sessional + End Term Assessment'!B133</f>
        <v/>
      </c>
      <c r="C128" s="80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7" thickBot="1">
      <c r="A129" s="64">
        <f>'Sessional + End Term Assessment'!A134</f>
        <v/>
      </c>
      <c r="B129" s="80">
        <f>'Sessional + End Term Assessment'!B134</f>
        <v/>
      </c>
      <c r="C129" s="80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7" thickBot="1">
      <c r="A130" s="64">
        <f>'Sessional + End Term Assessment'!A135</f>
        <v/>
      </c>
      <c r="B130" s="80">
        <f>'Sessional + End Term Assessment'!B135</f>
        <v/>
      </c>
      <c r="C130" s="80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7" thickBot="1">
      <c r="A131" s="64">
        <f>'Sessional + End Term Assessment'!A136</f>
        <v/>
      </c>
      <c r="B131" s="80">
        <f>'Sessional + End Term Assessment'!B136</f>
        <v/>
      </c>
      <c r="C131" s="80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7" thickBot="1">
      <c r="A132" s="64">
        <f>'Sessional + End Term Assessment'!A137</f>
        <v/>
      </c>
      <c r="B132" s="80">
        <f>'Sessional + End Term Assessment'!B137</f>
        <v/>
      </c>
      <c r="C132" s="80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7" thickBot="1">
      <c r="A133" s="64">
        <f>'Sessional + End Term Assessment'!A138</f>
        <v/>
      </c>
      <c r="B133" s="80">
        <f>'Sessional + End Term Assessment'!B138</f>
        <v/>
      </c>
      <c r="C133" s="80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7" thickBot="1">
      <c r="A134" s="64">
        <f>'Sessional + End Term Assessment'!A139</f>
        <v/>
      </c>
      <c r="B134" s="80">
        <f>'Sessional + End Term Assessment'!B139</f>
        <v/>
      </c>
      <c r="C134" s="80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7" thickBot="1">
      <c r="A135" s="64">
        <f>'Sessional + End Term Assessment'!A140</f>
        <v/>
      </c>
      <c r="B135" s="80">
        <f>'Sessional + End Term Assessment'!B140</f>
        <v/>
      </c>
      <c r="C135" s="80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7" thickBot="1">
      <c r="A136" s="64">
        <f>'Sessional + End Term Assessment'!A141</f>
        <v/>
      </c>
      <c r="B136" s="80">
        <f>'Sessional + End Term Assessment'!B141</f>
        <v/>
      </c>
      <c r="C136" s="80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7" thickBot="1">
      <c r="A137" s="64">
        <f>'Sessional + End Term Assessment'!A142</f>
        <v/>
      </c>
      <c r="B137" s="80">
        <f>'Sessional + End Term Assessment'!B142</f>
        <v/>
      </c>
      <c r="C137" s="80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7" thickBot="1">
      <c r="A138" s="64">
        <f>'Sessional + End Term Assessment'!A143</f>
        <v/>
      </c>
      <c r="B138" s="80">
        <f>'Sessional + End Term Assessment'!B143</f>
        <v/>
      </c>
      <c r="C138" s="80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7" thickBot="1">
      <c r="A139" s="64">
        <f>'Sessional + End Term Assessment'!A144</f>
        <v/>
      </c>
      <c r="B139" s="80">
        <f>'Sessional + End Term Assessment'!B144</f>
        <v/>
      </c>
      <c r="C139" s="80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7" thickBot="1">
      <c r="A140" s="64">
        <f>'Sessional + End Term Assessment'!A145</f>
        <v/>
      </c>
      <c r="B140" s="80">
        <f>'Sessional + End Term Assessment'!B145</f>
        <v/>
      </c>
      <c r="C140" s="80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7" thickBot="1">
      <c r="A141" s="64">
        <f>'Sessional + End Term Assessment'!A146</f>
        <v/>
      </c>
      <c r="B141" s="80">
        <f>'Sessional + End Term Assessment'!B146</f>
        <v/>
      </c>
      <c r="C141" s="80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7" thickBot="1">
      <c r="A142" s="64">
        <f>'Sessional + End Term Assessment'!A147</f>
        <v/>
      </c>
      <c r="B142" s="80">
        <f>'Sessional + End Term Assessment'!B147</f>
        <v/>
      </c>
      <c r="C142" s="80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7" thickBot="1">
      <c r="A143" s="64">
        <f>'Sessional + End Term Assessment'!A148</f>
        <v/>
      </c>
      <c r="B143" s="80">
        <f>'Sessional + End Term Assessment'!B148</f>
        <v/>
      </c>
      <c r="C143" s="80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7" thickBot="1">
      <c r="A144" s="64">
        <f>'Sessional + End Term Assessment'!A149</f>
        <v/>
      </c>
      <c r="B144" s="80">
        <f>'Sessional + End Term Assessment'!B149</f>
        <v/>
      </c>
      <c r="C144" s="80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7" thickBot="1">
      <c r="A145" s="64">
        <f>'Sessional + End Term Assessment'!A150</f>
        <v/>
      </c>
      <c r="B145" s="80">
        <f>'Sessional + End Term Assessment'!B150</f>
        <v/>
      </c>
      <c r="C145" s="80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7" thickBot="1">
      <c r="A146" s="64">
        <f>'Sessional + End Term Assessment'!A151</f>
        <v/>
      </c>
      <c r="B146" s="80">
        <f>'Sessional + End Term Assessment'!B151</f>
        <v/>
      </c>
      <c r="C146" s="80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7" thickBot="1">
      <c r="A147" s="64">
        <f>'Sessional + End Term Assessment'!A152</f>
        <v/>
      </c>
      <c r="B147" s="80">
        <f>'Sessional + End Term Assessment'!B152</f>
        <v/>
      </c>
      <c r="C147" s="80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7" thickBot="1">
      <c r="A148" s="64">
        <f>'Sessional + End Term Assessment'!A153</f>
        <v/>
      </c>
      <c r="B148" s="80">
        <f>'Sessional + End Term Assessment'!B153</f>
        <v/>
      </c>
      <c r="C148" s="80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7" thickBot="1">
      <c r="A149" s="64">
        <f>'Sessional + End Term Assessment'!A154</f>
        <v/>
      </c>
      <c r="B149" s="80">
        <f>'Sessional + End Term Assessment'!B154</f>
        <v/>
      </c>
      <c r="C149" s="80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7" thickBot="1">
      <c r="A150" s="64">
        <f>'Sessional + End Term Assessment'!A155</f>
        <v/>
      </c>
      <c r="B150" s="80">
        <f>'Sessional + End Term Assessment'!B155</f>
        <v/>
      </c>
      <c r="C150" s="80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7" thickBot="1">
      <c r="A151" s="64">
        <f>'Sessional + End Term Assessment'!A156</f>
        <v/>
      </c>
      <c r="B151" s="80">
        <f>'Sessional + End Term Assessment'!B156</f>
        <v/>
      </c>
      <c r="C151" s="80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7" thickBot="1">
      <c r="A152" s="64">
        <f>'Sessional + End Term Assessment'!A157</f>
        <v/>
      </c>
      <c r="B152" s="80">
        <f>'Sessional + End Term Assessment'!B157</f>
        <v/>
      </c>
      <c r="C152" s="80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7" thickBot="1">
      <c r="A153" s="64">
        <f>'Sessional + End Term Assessment'!A158</f>
        <v/>
      </c>
      <c r="B153" s="80">
        <f>'Sessional + End Term Assessment'!B158</f>
        <v/>
      </c>
      <c r="C153" s="80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7" thickBot="1">
      <c r="A154" s="64">
        <f>'Sessional + End Term Assessment'!A159</f>
        <v/>
      </c>
      <c r="B154" s="80">
        <f>'Sessional + End Term Assessment'!B159</f>
        <v/>
      </c>
      <c r="C154" s="80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7" thickBot="1">
      <c r="A155" s="64">
        <f>'Sessional + End Term Assessment'!A160</f>
        <v/>
      </c>
      <c r="B155" s="80">
        <f>'Sessional + End Term Assessment'!B160</f>
        <v/>
      </c>
      <c r="C155" s="80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7" thickBot="1">
      <c r="A156" s="64">
        <f>'Sessional + End Term Assessment'!A161</f>
        <v/>
      </c>
      <c r="B156" s="80">
        <f>'Sessional + End Term Assessment'!B161</f>
        <v/>
      </c>
      <c r="C156" s="80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7" thickBot="1">
      <c r="A157" s="64">
        <f>'Sessional + End Term Assessment'!A162</f>
        <v/>
      </c>
      <c r="B157" s="80">
        <f>'Sessional + End Term Assessment'!B162</f>
        <v/>
      </c>
      <c r="C157" s="80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7" thickBot="1">
      <c r="A158" s="64">
        <f>'Sessional + End Term Assessment'!A163</f>
        <v/>
      </c>
      <c r="B158" s="80">
        <f>'Sessional + End Term Assessment'!B163</f>
        <v/>
      </c>
      <c r="C158" s="80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7" thickBot="1">
      <c r="A159" s="64">
        <f>'Sessional + End Term Assessment'!A164</f>
        <v/>
      </c>
      <c r="B159" s="80">
        <f>'Sessional + End Term Assessment'!B164</f>
        <v/>
      </c>
      <c r="C159" s="80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7" thickBot="1">
      <c r="A160" s="64">
        <f>'Sessional + End Term Assessment'!A165</f>
        <v/>
      </c>
      <c r="B160" s="80">
        <f>'Sessional + End Term Assessment'!B165</f>
        <v/>
      </c>
      <c r="C160" s="80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7" thickBot="1">
      <c r="A161" s="64">
        <f>'Sessional + End Term Assessment'!A166</f>
        <v/>
      </c>
      <c r="B161" s="80">
        <f>'Sessional + End Term Assessment'!B166</f>
        <v/>
      </c>
      <c r="C161" s="80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7" thickBot="1">
      <c r="A162" s="64">
        <f>'Sessional + End Term Assessment'!A167</f>
        <v/>
      </c>
      <c r="B162" s="80">
        <f>'Sessional + End Term Assessment'!B167</f>
        <v/>
      </c>
      <c r="C162" s="80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7" thickBot="1">
      <c r="A163" s="64">
        <f>'Sessional + End Term Assessment'!A168</f>
        <v/>
      </c>
      <c r="B163" s="80">
        <f>'Sessional + End Term Assessment'!B168</f>
        <v/>
      </c>
      <c r="C163" s="80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7" thickBot="1">
      <c r="A164" s="64">
        <f>'Sessional + End Term Assessment'!A169</f>
        <v/>
      </c>
      <c r="B164" s="80">
        <f>'Sessional + End Term Assessment'!B169</f>
        <v/>
      </c>
      <c r="C164" s="80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7" thickBot="1">
      <c r="A165" s="64">
        <f>'Sessional + End Term Assessment'!A170</f>
        <v/>
      </c>
      <c r="B165" s="80">
        <f>'Sessional + End Term Assessment'!B170</f>
        <v/>
      </c>
      <c r="C165" s="80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7" thickBot="1">
      <c r="A166" s="64">
        <f>'Sessional + End Term Assessment'!A171</f>
        <v/>
      </c>
      <c r="B166" s="80">
        <f>'Sessional + End Term Assessment'!B171</f>
        <v/>
      </c>
      <c r="C166" s="80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7" thickBot="1">
      <c r="A167" s="64">
        <f>'Sessional + End Term Assessment'!A172</f>
        <v/>
      </c>
      <c r="B167" s="80">
        <f>'Sessional + End Term Assessment'!B172</f>
        <v/>
      </c>
      <c r="C167" s="80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7" thickBot="1">
      <c r="A168" s="64">
        <f>'Sessional + End Term Assessment'!A173</f>
        <v/>
      </c>
      <c r="B168" s="80">
        <f>'Sessional + End Term Assessment'!B173</f>
        <v/>
      </c>
      <c r="C168" s="80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7" thickBot="1">
      <c r="A169" s="64">
        <f>'Sessional + End Term Assessment'!A174</f>
        <v/>
      </c>
      <c r="B169" s="80">
        <f>'Sessional + End Term Assessment'!B174</f>
        <v/>
      </c>
      <c r="C169" s="80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7" thickBot="1">
      <c r="A170" s="64">
        <f>'Sessional + End Term Assessment'!A175</f>
        <v/>
      </c>
      <c r="B170" s="80">
        <f>'Sessional + End Term Assessment'!B175</f>
        <v/>
      </c>
      <c r="C170" s="80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7" thickBot="1">
      <c r="A171" s="64">
        <f>'Sessional + End Term Assessment'!A176</f>
        <v/>
      </c>
      <c r="B171" s="80">
        <f>'Sessional + End Term Assessment'!B176</f>
        <v/>
      </c>
      <c r="C171" s="80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7" thickBot="1">
      <c r="A172" s="64">
        <f>'Sessional + End Term Assessment'!A177</f>
        <v/>
      </c>
      <c r="B172" s="80">
        <f>'Sessional + End Term Assessment'!B177</f>
        <v/>
      </c>
      <c r="C172" s="80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7" thickBot="1">
      <c r="A173" s="64">
        <f>'Sessional + End Term Assessment'!A178</f>
        <v/>
      </c>
      <c r="B173" s="80">
        <f>'Sessional + End Term Assessment'!B178</f>
        <v/>
      </c>
      <c r="C173" s="80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7" thickBot="1">
      <c r="A174" s="64">
        <f>'Sessional + End Term Assessment'!A179</f>
        <v/>
      </c>
      <c r="B174" s="80">
        <f>'Sessional + End Term Assessment'!B179</f>
        <v/>
      </c>
      <c r="C174" s="80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7" thickBot="1">
      <c r="A175" s="64">
        <f>'Sessional + End Term Assessment'!A180</f>
        <v/>
      </c>
      <c r="B175" s="80">
        <f>'Sessional + End Term Assessment'!B180</f>
        <v/>
      </c>
      <c r="C175" s="80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7" thickBot="1">
      <c r="A176" s="64">
        <f>'Sessional + End Term Assessment'!A181</f>
        <v/>
      </c>
      <c r="B176" s="80">
        <f>'Sessional + End Term Assessment'!B181</f>
        <v/>
      </c>
      <c r="C176" s="80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7" thickBot="1">
      <c r="A177" s="64">
        <f>'Sessional + End Term Assessment'!A182</f>
        <v/>
      </c>
      <c r="B177" s="80">
        <f>'Sessional + End Term Assessment'!B182</f>
        <v/>
      </c>
      <c r="C177" s="80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7" thickBot="1">
      <c r="A178" s="64">
        <f>'Sessional + End Term Assessment'!A183</f>
        <v/>
      </c>
      <c r="B178" s="80">
        <f>'Sessional + End Term Assessment'!B183</f>
        <v/>
      </c>
      <c r="C178" s="80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7">
      <c r="A179" s="50" t="n"/>
      <c r="B179" s="50" t="n"/>
      <c r="C179" s="50" t="n"/>
      <c r="D179" s="44" t="n"/>
      <c r="E179" s="44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7">
      <c r="A180" s="50" t="n"/>
      <c r="B180" s="50" t="n"/>
      <c r="C180" s="50" t="n"/>
      <c r="D180" s="44" t="n"/>
      <c r="E180" s="44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7">
      <c r="A181" s="50" t="n"/>
      <c r="B181" s="50" t="n"/>
      <c r="C181" s="50" t="n"/>
      <c r="D181" s="44" t="n"/>
      <c r="E181" s="44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7">
      <c r="A182" s="50" t="n"/>
      <c r="B182" s="50" t="n"/>
      <c r="C182" s="50" t="n"/>
      <c r="D182" s="44" t="n"/>
      <c r="E182" s="44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7">
      <c r="A183" s="50" t="n"/>
      <c r="B183" s="50" t="n"/>
      <c r="C183" s="50" t="n"/>
      <c r="D183" s="44" t="n"/>
      <c r="E183" s="44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7">
      <c r="A184" s="50" t="n"/>
      <c r="B184" s="50" t="n"/>
      <c r="C184" s="50" t="n"/>
      <c r="D184" s="44" t="n"/>
      <c r="E184" s="44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7">
      <c r="A185" s="50" t="n"/>
      <c r="B185" s="50" t="n"/>
      <c r="C185" s="50" t="n"/>
      <c r="D185" s="44" t="n"/>
      <c r="E185" s="44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7">
      <c r="A186" s="50" t="n"/>
      <c r="B186" s="50" t="n"/>
      <c r="C186" s="50" t="n"/>
      <c r="D186" s="44" t="n"/>
      <c r="E186" s="44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7">
      <c r="A187" s="50" t="n"/>
      <c r="B187" s="50" t="n"/>
      <c r="C187" s="50" t="n"/>
      <c r="D187" s="44" t="n"/>
      <c r="E187" s="44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7">
      <c r="A188" s="50" t="n"/>
      <c r="B188" s="50" t="n"/>
      <c r="C188" s="50" t="n"/>
      <c r="D188" s="44" t="n"/>
      <c r="E188" s="44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7">
      <c r="A189" s="50" t="n"/>
      <c r="B189" s="50" t="n"/>
      <c r="C189" s="50" t="n"/>
      <c r="D189" s="44" t="n"/>
      <c r="E189" s="44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7">
      <c r="A190" s="50" t="n"/>
      <c r="B190" s="50" t="n"/>
      <c r="C190" s="50" t="n"/>
      <c r="D190" s="44" t="n"/>
      <c r="E190" s="44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7">
      <c r="A191" s="50" t="n"/>
      <c r="B191" s="50" t="n"/>
      <c r="C191" s="50" t="n"/>
      <c r="D191" s="44" t="n"/>
      <c r="E191" s="44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7">
      <c r="A192" s="50" t="n"/>
      <c r="B192" s="50" t="n"/>
      <c r="C192" s="50" t="n"/>
      <c r="D192" s="44" t="n"/>
      <c r="E192" s="44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7">
      <c r="A193" s="50" t="n"/>
      <c r="B193" s="50" t="n"/>
      <c r="C193" s="50" t="n"/>
      <c r="D193" s="44" t="n"/>
      <c r="E193" s="44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7">
      <c r="A194" s="50" t="n"/>
      <c r="B194" s="50" t="n"/>
      <c r="C194" s="50" t="n"/>
      <c r="D194" s="44" t="n"/>
      <c r="E194" s="44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7">
      <c r="A195" s="50" t="n"/>
      <c r="B195" s="50" t="n"/>
      <c r="C195" s="50" t="n"/>
      <c r="D195" s="44" t="n"/>
      <c r="E195" s="44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7">
      <c r="A196" s="50" t="n"/>
      <c r="B196" s="50" t="n"/>
      <c r="C196" s="50" t="n"/>
      <c r="D196" s="44" t="n"/>
      <c r="E196" s="44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7">
      <c r="A197" s="50" t="n"/>
      <c r="B197" s="50" t="n"/>
      <c r="C197" s="50" t="n"/>
      <c r="D197" s="44" t="n"/>
      <c r="E197" s="44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7">
      <c r="A198" s="50" t="n"/>
      <c r="B198" s="50" t="n"/>
      <c r="C198" s="50" t="n"/>
      <c r="D198" s="44" t="n"/>
      <c r="E198" s="44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7">
      <c r="A199" s="50" t="n"/>
      <c r="B199" s="50" t="n"/>
      <c r="C199" s="50" t="n"/>
      <c r="D199" s="44" t="n"/>
      <c r="E199" s="44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7">
      <c r="A200" s="50" t="n"/>
      <c r="B200" s="50" t="n"/>
      <c r="C200" s="50" t="n"/>
      <c r="D200" s="44" t="n"/>
      <c r="E200" s="44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7">
      <c r="A201" s="50" t="n"/>
      <c r="B201" s="50" t="n"/>
      <c r="C201" s="50" t="n"/>
      <c r="D201" s="44" t="n"/>
      <c r="E201" s="44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7">
      <c r="A202" s="50" t="n"/>
      <c r="B202" s="50" t="n"/>
      <c r="C202" s="50" t="n"/>
      <c r="D202" s="44" t="n"/>
      <c r="E202" s="44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7">
      <c r="A203" s="50" t="n"/>
      <c r="B203" s="50" t="n"/>
      <c r="C203" s="50" t="n"/>
      <c r="D203" s="44" t="n"/>
      <c r="E203" s="44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7">
      <c r="A204" s="50" t="n"/>
      <c r="B204" s="50" t="n"/>
      <c r="C204" s="50" t="n"/>
      <c r="D204" s="44" t="n"/>
      <c r="E204" s="44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7">
      <c r="A205" s="50" t="n"/>
      <c r="B205" s="50" t="n"/>
      <c r="C205" s="50" t="n"/>
      <c r="D205" s="44" t="n"/>
      <c r="E205" s="44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7">
      <c r="A206" s="50" t="n"/>
      <c r="B206" s="50" t="n"/>
      <c r="C206" s="50" t="n"/>
      <c r="D206" s="44" t="n"/>
      <c r="E206" s="44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7">
      <c r="A207" s="50" t="n"/>
      <c r="B207" s="50" t="n"/>
      <c r="C207" s="50" t="n"/>
      <c r="D207" s="44" t="n"/>
      <c r="E207" s="44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7">
      <c r="A208" s="50" t="n"/>
      <c r="B208" s="50" t="n"/>
      <c r="C208" s="50" t="n"/>
      <c r="D208" s="44" t="n"/>
      <c r="E208" s="44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7">
      <c r="A209" s="50" t="n"/>
      <c r="B209" s="50" t="n"/>
      <c r="C209" s="50" t="n"/>
      <c r="D209" s="44" t="n"/>
      <c r="E209" s="44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7">
      <c r="A210" s="50" t="n"/>
      <c r="B210" s="50" t="n"/>
      <c r="C210" s="50" t="n"/>
      <c r="D210" s="44" t="n"/>
      <c r="E210" s="44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7">
      <c r="A211" s="50" t="n"/>
      <c r="B211" s="50" t="n"/>
      <c r="C211" s="50" t="n"/>
      <c r="D211" s="44" t="n"/>
      <c r="E211" s="44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7">
      <c r="A212" s="50" t="n"/>
      <c r="B212" s="50" t="n"/>
      <c r="C212" s="50" t="n"/>
      <c r="D212" s="44" t="n"/>
      <c r="E212" s="44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7">
      <c r="A213" s="50" t="n"/>
      <c r="B213" s="50" t="n"/>
      <c r="C213" s="50" t="n"/>
      <c r="D213" s="44" t="n"/>
      <c r="E213" s="44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7">
      <c r="A214" s="50" t="n"/>
      <c r="B214" s="50" t="n"/>
      <c r="C214" s="50" t="n"/>
      <c r="D214" s="44" t="n"/>
      <c r="E214" s="44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7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7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7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7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7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7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7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7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7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7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7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7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7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7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7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7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7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7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7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7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7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7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7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7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7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7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7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7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7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7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7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7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7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7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7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7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7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7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7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7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7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7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7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7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7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7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7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7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7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7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7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7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7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7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7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7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7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7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7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7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7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7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7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7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7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7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7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7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7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7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7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7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7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7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7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7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7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7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7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7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7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7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7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7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7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7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7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7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7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7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7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7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7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7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7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7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7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7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7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7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7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7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7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7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7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7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7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7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7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7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7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7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7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7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7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7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7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7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7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7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7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7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7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7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7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</sheetData>
  <autoFilter ref="E1:E121"/>
  <mergeCells count="1">
    <mergeCell ref="A1:E1"/>
  </mergeCells>
  <conditionalFormatting sqref="E3:E178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8"/>
  <sheetViews>
    <sheetView topLeftCell="A174" workbookViewId="0">
      <selection activeCell="A183" sqref="A183:XFD187"/>
    </sheetView>
  </sheetViews>
  <sheetFormatPr baseColWidth="8" defaultColWidth="12.59765625" defaultRowHeight="15" customHeight="1"/>
  <cols>
    <col width="5.69921875" customWidth="1" style="97" min="1" max="1"/>
    <col width="14.19921875" customWidth="1" style="97" min="2" max="2"/>
    <col width="27.8984375" customWidth="1" style="97" min="3" max="3"/>
    <col width="13.3984375" customWidth="1" style="97" min="4" max="4"/>
    <col width="13.19921875" customWidth="1" style="97" min="5" max="17"/>
    <col width="6.3984375" customWidth="1" style="97" min="18" max="18"/>
    <col width="8" customWidth="1" style="97" min="19" max="30"/>
  </cols>
  <sheetData>
    <row r="1" ht="19.5" customHeight="1" s="97">
      <c r="A1" s="15">
        <f>'CO-PO Mapping'!A1:P1</f>
        <v/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5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7">
      <c r="A2" s="15" t="inlineStr">
        <is>
          <t>MID TERM II EXAM MARK RECORD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4" t="n"/>
      <c r="Q2" s="124" t="n"/>
      <c r="R2" s="125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7">
      <c r="A3" s="15">
        <f>'CO-PO Mapping'!A3:P3</f>
        <v/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4" t="n"/>
      <c r="Q3" s="124" t="n"/>
      <c r="R3" s="125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7">
      <c r="A4" s="88" t="inlineStr">
        <is>
          <t>S.NO.</t>
        </is>
      </c>
      <c r="B4" s="114" t="inlineStr">
        <is>
          <t>RTU ROLL
NUMBER</t>
        </is>
      </c>
      <c r="C4" s="15" t="inlineStr">
        <is>
          <t>NAME OF STUDENT</t>
        </is>
      </c>
      <c r="D4" s="15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5" t="n"/>
      <c r="O4" s="82" t="n"/>
      <c r="P4" s="124" t="n"/>
      <c r="Q4" s="124" t="n"/>
      <c r="R4" s="88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7">
      <c r="A5" s="135" t="n"/>
      <c r="B5" s="135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4" t="inlineStr">
        <is>
          <t xml:space="preserve">Target 50% students attain 70% marks (1) </t>
        </is>
      </c>
      <c r="H5" s="114" t="inlineStr">
        <is>
          <t>Target 50% students attain 80% marks (2)</t>
        </is>
      </c>
      <c r="I5" s="114" t="inlineStr">
        <is>
          <t>Target 50% students attain 90% marks (3)</t>
        </is>
      </c>
      <c r="J5" s="18" t="inlineStr">
        <is>
          <t>CO4</t>
        </is>
      </c>
      <c r="K5" s="114" t="inlineStr">
        <is>
          <t xml:space="preserve">Target 50% students attain 70% marks (1) </t>
        </is>
      </c>
      <c r="L5" s="114" t="inlineStr">
        <is>
          <t>Target 50% students attain 80% marks (2)</t>
        </is>
      </c>
      <c r="M5" s="114" t="inlineStr">
        <is>
          <t>Target 50% students attain 90% marks (3)</t>
        </is>
      </c>
      <c r="N5" s="18" t="inlineStr">
        <is>
          <t>CO5</t>
        </is>
      </c>
      <c r="O5" s="114" t="inlineStr">
        <is>
          <t xml:space="preserve">Target 50% students attain 70% marks (1) </t>
        </is>
      </c>
      <c r="P5" s="114" t="inlineStr">
        <is>
          <t>Target 50% students attain 80% marks (2)</t>
        </is>
      </c>
      <c r="Q5" s="114" t="inlineStr">
        <is>
          <t>Target 50% students attain 90% marks (3)</t>
        </is>
      </c>
      <c r="R5" s="135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7">
      <c r="A6" s="135" t="n"/>
      <c r="B6" s="135" t="n"/>
      <c r="C6" s="52" t="inlineStr">
        <is>
          <t>MAX MARKS</t>
        </is>
      </c>
      <c r="D6" s="45" t="n"/>
      <c r="E6" s="45" t="n"/>
      <c r="F6" s="45" t="n">
        <v>14</v>
      </c>
      <c r="G6" s="135" t="n"/>
      <c r="H6" s="135" t="n"/>
      <c r="I6" s="135" t="n"/>
      <c r="J6" s="45" t="n">
        <v>28</v>
      </c>
      <c r="K6" s="135" t="n"/>
      <c r="L6" s="135" t="n"/>
      <c r="M6" s="135" t="n"/>
      <c r="N6" s="45" t="n">
        <v>28</v>
      </c>
      <c r="O6" s="135" t="n"/>
      <c r="P6" s="135" t="n"/>
      <c r="Q6" s="135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7">
      <c r="A7" s="47">
        <f>'Sessional + End Term Assessment'!A8</f>
        <v/>
      </c>
      <c r="B7" s="80">
        <f>'Sessional + End Term Assessment'!B8</f>
        <v/>
      </c>
      <c r="C7" s="80">
        <f>'Sessional + End Term Assessment'!C8</f>
        <v/>
      </c>
      <c r="D7" s="53" t="n"/>
      <c r="E7" s="53" t="n"/>
      <c r="F7" s="79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79" t="n">
        <v>25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79" t="n">
        <v>26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79" t="n">
        <v>65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7">
      <c r="A8" s="47">
        <f>'Sessional + End Term Assessment'!A9</f>
        <v/>
      </c>
      <c r="B8" s="80">
        <f>'Sessional + End Term Assessment'!B9</f>
        <v/>
      </c>
      <c r="C8" s="80">
        <f>'Sessional + End Term Assessment'!C9</f>
        <v/>
      </c>
      <c r="D8" s="53" t="n"/>
      <c r="E8" s="53" t="n"/>
      <c r="F8" s="79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79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79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7">
      <c r="A9" s="47">
        <f>'Sessional + End Term Assessment'!A10</f>
        <v/>
      </c>
      <c r="B9" s="80">
        <f>'Sessional + End Term Assessment'!B10</f>
        <v/>
      </c>
      <c r="C9" s="80">
        <f>'Sessional + End Term Assessment'!C10</f>
        <v/>
      </c>
      <c r="D9" s="53" t="n"/>
      <c r="E9" s="53" t="n"/>
      <c r="F9" s="79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79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79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79" t="n">
        <v>53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7">
      <c r="A10" s="47">
        <f>'Sessional + End Term Assessment'!A11</f>
        <v/>
      </c>
      <c r="B10" s="80">
        <f>'Sessional + End Term Assessment'!B11</f>
        <v/>
      </c>
      <c r="C10" s="80">
        <f>'Sessional + End Term Assessment'!C11</f>
        <v/>
      </c>
      <c r="D10" s="53" t="n"/>
      <c r="E10" s="53" t="n"/>
      <c r="F10" s="79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79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79" t="n">
        <v>28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79" t="n">
        <v>70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7">
      <c r="A11" s="47">
        <f>'Sessional + End Term Assessment'!A12</f>
        <v/>
      </c>
      <c r="B11" s="80">
        <f>'Sessional + End Term Assessment'!B12</f>
        <v/>
      </c>
      <c r="C11" s="80">
        <f>'Sessional + End Term Assessment'!C12</f>
        <v/>
      </c>
      <c r="D11" s="53" t="n"/>
      <c r="E11" s="53" t="n"/>
      <c r="F11" s="79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79" t="n">
        <v>22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79" t="n">
        <v>19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79" t="n">
        <v>52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7">
      <c r="A12" s="47">
        <f>'Sessional + End Term Assessment'!A13</f>
        <v/>
      </c>
      <c r="B12" s="80">
        <f>'Sessional + End Term Assessment'!B13</f>
        <v/>
      </c>
      <c r="C12" s="80">
        <f>'Sessional + End Term Assessment'!C13</f>
        <v/>
      </c>
      <c r="D12" s="53" t="n"/>
      <c r="E12" s="53" t="n"/>
      <c r="F12" s="79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79" t="n">
        <v>24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79" t="n">
        <v>24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61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7">
      <c r="A13" s="47">
        <f>'Sessional + End Term Assessment'!A14</f>
        <v/>
      </c>
      <c r="B13" s="80">
        <f>'Sessional + End Term Assessment'!B14</f>
        <v/>
      </c>
      <c r="C13" s="80">
        <f>'Sessional + End Term Assessment'!C14</f>
        <v/>
      </c>
      <c r="D13" s="53" t="n"/>
      <c r="E13" s="53" t="n"/>
      <c r="F13" s="79" t="n">
        <v>13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79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79" t="n">
        <v>26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79" t="n">
        <v>63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7">
      <c r="A14" s="47">
        <f>'Sessional + End Term Assessment'!A15</f>
        <v/>
      </c>
      <c r="B14" s="80">
        <f>'Sessional + End Term Assessment'!B15</f>
        <v/>
      </c>
      <c r="C14" s="80">
        <f>'Sessional + End Term Assessment'!C15</f>
        <v/>
      </c>
      <c r="D14" s="53" t="n"/>
      <c r="E14" s="53" t="n"/>
      <c r="F14" s="79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79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79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79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7">
      <c r="A15" s="47">
        <f>'Sessional + End Term Assessment'!A16</f>
        <v/>
      </c>
      <c r="B15" s="80">
        <f>'Sessional + End Term Assessment'!B16</f>
        <v/>
      </c>
      <c r="C15" s="80">
        <f>'Sessional + End Term Assessment'!C16</f>
        <v/>
      </c>
      <c r="D15" s="53" t="n"/>
      <c r="E15" s="53" t="n"/>
      <c r="F15" s="79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79" t="n">
        <v>25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79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7">
      <c r="A16" s="47">
        <f>'Sessional + End Term Assessment'!A17</f>
        <v/>
      </c>
      <c r="B16" s="80">
        <f>'Sessional + End Term Assessment'!B17</f>
        <v/>
      </c>
      <c r="C16" s="80">
        <f>'Sessional + End Term Assessment'!C17</f>
        <v/>
      </c>
      <c r="D16" s="53" t="n"/>
      <c r="E16" s="53" t="n"/>
      <c r="F16" s="79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79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79" t="n">
        <v>28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79" t="n">
        <v>70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7">
      <c r="A17" s="47">
        <f>'Sessional + End Term Assessment'!A18</f>
        <v/>
      </c>
      <c r="B17" s="80">
        <f>'Sessional + End Term Assessment'!B18</f>
        <v/>
      </c>
      <c r="C17" s="80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28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28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70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7">
      <c r="A18" s="47">
        <f>'Sessional + End Term Assessment'!A19</f>
        <v/>
      </c>
      <c r="B18" s="80">
        <f>'Sessional + End Term Assessment'!B19</f>
        <v/>
      </c>
      <c r="C18" s="80">
        <f>'Sessional + End Term Assessment'!C19</f>
        <v/>
      </c>
      <c r="D18" s="53" t="n"/>
      <c r="E18" s="53" t="n"/>
      <c r="F18" s="79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79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79" t="n">
        <v>27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65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7">
      <c r="A19" s="47">
        <f>'Sessional + End Term Assessment'!A20</f>
        <v/>
      </c>
      <c r="B19" s="80">
        <f>'Sessional + End Term Assessment'!B20</f>
        <v/>
      </c>
      <c r="C19" s="80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23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22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58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7">
      <c r="A20" s="47">
        <f>'Sessional + End Term Assessment'!A21</f>
        <v/>
      </c>
      <c r="B20" s="80">
        <f>'Sessional + End Term Assessment'!B21</f>
        <v/>
      </c>
      <c r="C20" s="80">
        <f>'Sessional + End Term Assessment'!C21</f>
        <v/>
      </c>
      <c r="D20" s="53" t="n"/>
      <c r="E20" s="53" t="n"/>
      <c r="F20" s="79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79" t="n">
        <v>27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79" t="n">
        <v>24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79" t="n">
        <v>64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7">
      <c r="A21" s="47">
        <f>'Sessional + End Term Assessment'!A22</f>
        <v/>
      </c>
      <c r="B21" s="80">
        <f>'Sessional + End Term Assessment'!B22</f>
        <v/>
      </c>
      <c r="C21" s="80">
        <f>'Sessional + End Term Assessment'!C22</f>
        <v/>
      </c>
      <c r="D21" s="53" t="n"/>
      <c r="E21" s="53" t="n"/>
      <c r="F21" s="79" t="n">
        <v>11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79" t="n">
        <v>21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79" t="n">
        <v>21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79" t="n">
        <v>53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7">
      <c r="A22" s="47">
        <f>'Sessional + End Term Assessment'!A23</f>
        <v/>
      </c>
      <c r="B22" s="80">
        <f>'Sessional + End Term Assessment'!B23</f>
        <v/>
      </c>
      <c r="C22" s="80">
        <f>'Sessional + End Term Assessment'!C23</f>
        <v/>
      </c>
      <c r="D22" s="53" t="n"/>
      <c r="E22" s="53" t="n"/>
      <c r="F22" s="79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79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79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7">
      <c r="A23" s="47">
        <f>'Sessional + End Term Assessment'!A24</f>
        <v/>
      </c>
      <c r="B23" s="80">
        <f>'Sessional + End Term Assessment'!B24</f>
        <v/>
      </c>
      <c r="C23" s="80">
        <f>'Sessional + End Term Assessment'!C24</f>
        <v/>
      </c>
      <c r="D23" s="53" t="n"/>
      <c r="E23" s="53" t="n"/>
      <c r="F23" s="79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79" t="n">
        <v>23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79" t="n">
        <v>25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79" t="n">
        <v>61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7">
      <c r="A24" s="47">
        <f>'Sessional + End Term Assessment'!A25</f>
        <v/>
      </c>
      <c r="B24" s="80">
        <f>'Sessional + End Term Assessment'!B25</f>
        <v/>
      </c>
      <c r="C24" s="80">
        <f>'Sessional + End Term Assessment'!C25</f>
        <v/>
      </c>
      <c r="D24" s="53" t="n"/>
      <c r="E24" s="53" t="n"/>
      <c r="F24" s="79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79" t="n">
        <v>23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79" t="n">
        <v>22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79" t="n">
        <v>58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7">
      <c r="A25" s="47">
        <f>'Sessional + End Term Assessment'!A26</f>
        <v/>
      </c>
      <c r="B25" s="80">
        <f>'Sessional + End Term Assessment'!B26</f>
        <v/>
      </c>
      <c r="C25" s="80">
        <f>'Sessional + End Term Assessment'!C26</f>
        <v/>
      </c>
      <c r="D25" s="53" t="n"/>
      <c r="E25" s="53" t="n"/>
      <c r="F25" s="79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79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79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79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7">
      <c r="A26" s="47">
        <f>'Sessional + End Term Assessment'!A27</f>
        <v/>
      </c>
      <c r="B26" s="80">
        <f>'Sessional + End Term Assessment'!B27</f>
        <v/>
      </c>
      <c r="C26" s="80">
        <f>'Sessional + End Term Assessment'!C27</f>
        <v/>
      </c>
      <c r="D26" s="53" t="n"/>
      <c r="E26" s="53" t="n"/>
      <c r="F26" s="79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79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79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79" t="n">
        <v>69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7">
      <c r="A27" s="47">
        <f>'Sessional + End Term Assessment'!A28</f>
        <v/>
      </c>
      <c r="B27" s="80">
        <f>'Sessional + End Term Assessment'!B28</f>
        <v/>
      </c>
      <c r="C27" s="80">
        <f>'Sessional + End Term Assessment'!C28</f>
        <v/>
      </c>
      <c r="D27" s="53" t="n"/>
      <c r="E27" s="53" t="n"/>
      <c r="F27" s="79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79" t="n">
        <v>24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79" t="n">
        <v>25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62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7">
      <c r="A28" s="47">
        <f>'Sessional + End Term Assessment'!A29</f>
        <v/>
      </c>
      <c r="B28" s="80">
        <f>'Sessional + End Term Assessment'!B29</f>
        <v/>
      </c>
      <c r="C28" s="80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22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25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7">
      <c r="A29" s="47">
        <f>'Sessional + End Term Assessment'!A30</f>
        <v/>
      </c>
      <c r="B29" s="80">
        <f>'Sessional + End Term Assessment'!B30</f>
        <v/>
      </c>
      <c r="C29" s="80">
        <f>'Sessional + End Term Assessment'!C30</f>
        <v/>
      </c>
      <c r="D29" s="53" t="n"/>
      <c r="E29" s="53" t="n"/>
      <c r="F29" s="79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79" t="n">
        <v>26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79" t="n">
        <v>24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63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7">
      <c r="A30" s="47">
        <f>'Sessional + End Term Assessment'!A31</f>
        <v/>
      </c>
      <c r="B30" s="80">
        <f>'Sessional + End Term Assessment'!B31</f>
        <v/>
      </c>
      <c r="C30" s="80">
        <f>'Sessional + End Term Assessment'!C31</f>
        <v/>
      </c>
      <c r="D30" s="53" t="n"/>
      <c r="E30" s="53" t="n"/>
      <c r="F30" s="79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79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79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79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7">
      <c r="A31" s="47">
        <f>'Sessional + End Term Assessment'!A32</f>
        <v/>
      </c>
      <c r="B31" s="80">
        <f>'Sessional + End Term Assessment'!B32</f>
        <v/>
      </c>
      <c r="C31" s="80">
        <f>'Sessional + End Term Assessment'!C32</f>
        <v/>
      </c>
      <c r="D31" s="53" t="n"/>
      <c r="E31" s="53" t="n"/>
      <c r="F31" s="79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79" t="n">
        <v>25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79" t="n">
        <v>25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79" t="n">
        <v>63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7">
      <c r="A32" s="47">
        <f>'Sessional + End Term Assessment'!A33</f>
        <v/>
      </c>
      <c r="B32" s="80">
        <f>'Sessional + End Term Assessment'!B33</f>
        <v/>
      </c>
      <c r="C32" s="80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22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22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57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7">
      <c r="A33" s="47">
        <f>'Sessional + End Term Assessment'!A34</f>
        <v/>
      </c>
      <c r="B33" s="80">
        <f>'Sessional + End Term Assessment'!B34</f>
        <v/>
      </c>
      <c r="C33" s="80">
        <f>'Sessional + End Term Assessment'!C34</f>
        <v/>
      </c>
      <c r="D33" s="53" t="n"/>
      <c r="E33" s="53" t="n"/>
      <c r="F33" s="79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79" t="n">
        <v>28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79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79" t="n">
        <v>70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7">
      <c r="A34" s="47">
        <f>'Sessional + End Term Assessment'!A35</f>
        <v/>
      </c>
      <c r="B34" s="80">
        <f>'Sessional + End Term Assessment'!B35</f>
        <v/>
      </c>
      <c r="C34" s="80">
        <f>'Sessional + End Term Assessment'!C35</f>
        <v/>
      </c>
      <c r="D34" s="53" t="n"/>
      <c r="E34" s="53" t="n"/>
      <c r="F34" s="79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79" t="n">
        <v>24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79" t="n">
        <v>23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60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7">
      <c r="A35" s="47">
        <f>'Sessional + End Term Assessment'!A36</f>
        <v/>
      </c>
      <c r="B35" s="80">
        <f>'Sessional + End Term Assessment'!B36</f>
        <v/>
      </c>
      <c r="C35" s="80">
        <f>'Sessional + End Term Assessment'!C36</f>
        <v/>
      </c>
      <c r="D35" s="53" t="n"/>
      <c r="E35" s="53" t="n"/>
      <c r="F35" s="79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79" t="n">
        <v>24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79" t="n">
        <v>24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79" t="n">
        <v>61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7">
      <c r="A36" s="47">
        <f>'Sessional + End Term Assessment'!A37</f>
        <v/>
      </c>
      <c r="B36" s="80">
        <f>'Sessional + End Term Assessment'!B37</f>
        <v/>
      </c>
      <c r="C36" s="80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61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7">
      <c r="A37" s="47">
        <f>'Sessional + End Term Assessment'!A38</f>
        <v/>
      </c>
      <c r="B37" s="80">
        <f>'Sessional + End Term Assessment'!B38</f>
        <v/>
      </c>
      <c r="C37" s="80">
        <f>'Sessional + End Term Assessment'!C38</f>
        <v/>
      </c>
      <c r="D37" s="53" t="n"/>
      <c r="E37" s="53" t="n"/>
      <c r="F37" s="79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79" t="n">
        <v>27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79" t="n">
        <v>27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79" t="n">
        <v>68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7">
      <c r="A38" s="47">
        <f>'Sessional + End Term Assessment'!A39</f>
        <v/>
      </c>
      <c r="B38" s="80">
        <f>'Sessional + End Term Assessment'!B39</f>
        <v/>
      </c>
      <c r="C38" s="80">
        <f>'Sessional + End Term Assessment'!C39</f>
        <v/>
      </c>
      <c r="D38" s="53" t="n"/>
      <c r="E38" s="53" t="n"/>
      <c r="F38" s="79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79" t="n">
        <v>22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79" t="n">
        <v>24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79" t="n">
        <v>59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7">
      <c r="A39" s="47">
        <f>'Sessional + End Term Assessment'!A40</f>
        <v/>
      </c>
      <c r="B39" s="80">
        <f>'Sessional + End Term Assessment'!B40</f>
        <v/>
      </c>
      <c r="C39" s="80">
        <f>'Sessional + End Term Assessment'!C40</f>
        <v/>
      </c>
      <c r="D39" s="53" t="n"/>
      <c r="E39" s="53" t="n"/>
      <c r="F39" s="79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79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79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7">
      <c r="A40" s="47">
        <f>'Sessional + End Term Assessment'!A41</f>
        <v/>
      </c>
      <c r="B40" s="80">
        <f>'Sessional + End Term Assessment'!B41</f>
        <v/>
      </c>
      <c r="C40" s="80">
        <f>'Sessional + End Term Assessment'!C41</f>
        <v/>
      </c>
      <c r="D40" s="53" t="n"/>
      <c r="E40" s="53" t="n"/>
      <c r="F40" s="79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79" t="n">
        <v>27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79" t="n">
        <v>24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65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7">
      <c r="A41" s="47">
        <f>'Sessional + End Term Assessment'!A42</f>
        <v/>
      </c>
      <c r="B41" s="80">
        <f>'Sessional + End Term Assessment'!B42</f>
        <v/>
      </c>
      <c r="C41" s="80">
        <f>'Sessional + End Term Assessment'!C42</f>
        <v/>
      </c>
      <c r="D41" s="53" t="n"/>
      <c r="E41" s="53" t="n"/>
      <c r="F41" s="79" t="n">
        <v>11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79" t="n">
        <v>22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79" t="n">
        <v>19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79" t="n">
        <v>52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7">
      <c r="A42" s="47">
        <f>'Sessional + End Term Assessment'!A43</f>
        <v/>
      </c>
      <c r="B42" s="80">
        <f>'Sessional + End Term Assessment'!B43</f>
        <v/>
      </c>
      <c r="C42" s="80">
        <f>'Sessional + End Term Assessment'!C43</f>
        <v/>
      </c>
      <c r="D42" s="53" t="n"/>
      <c r="E42" s="53" t="n"/>
      <c r="F42" s="79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79" t="n">
        <v>24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79" t="n">
        <v>24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79" t="n">
        <v>61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7">
      <c r="A43" s="47">
        <f>'Sessional + End Term Assessment'!A44</f>
        <v/>
      </c>
      <c r="B43" s="80">
        <f>'Sessional + End Term Assessment'!B44</f>
        <v/>
      </c>
      <c r="C43" s="80">
        <f>'Sessional + End Term Assessment'!C44</f>
        <v/>
      </c>
      <c r="D43" s="53" t="n"/>
      <c r="E43" s="53" t="n"/>
      <c r="F43" s="79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79" t="n">
        <v>20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79" t="n">
        <v>23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56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7">
      <c r="A44" s="47">
        <f>'Sessional + End Term Assessment'!A45</f>
        <v/>
      </c>
      <c r="B44" s="80">
        <f>'Sessional + End Term Assessment'!B45</f>
        <v/>
      </c>
      <c r="C44" s="80">
        <f>'Sessional + End Term Assessment'!C45</f>
        <v/>
      </c>
      <c r="D44" s="53" t="n"/>
      <c r="E44" s="53" t="n"/>
      <c r="F44" s="79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79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79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79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7">
      <c r="A45" s="47">
        <f>'Sessional + End Term Assessment'!A46</f>
        <v/>
      </c>
      <c r="B45" s="80">
        <f>'Sessional + End Term Assessment'!B46</f>
        <v/>
      </c>
      <c r="C45" s="80">
        <f>'Sessional + End Term Assessment'!C46</f>
        <v/>
      </c>
      <c r="D45" s="53" t="n"/>
      <c r="E45" s="53" t="n"/>
      <c r="F45" s="79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79" t="n">
        <v>27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79" t="n">
        <v>24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79" t="n">
        <v>64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7">
      <c r="A46" s="47">
        <f>'Sessional + End Term Assessment'!A47</f>
        <v/>
      </c>
      <c r="B46" s="80">
        <f>'Sessional + End Term Assessment'!B47</f>
        <v/>
      </c>
      <c r="C46" s="80">
        <f>'Sessional + End Term Assessment'!C47</f>
        <v/>
      </c>
      <c r="D46" s="53" t="n"/>
      <c r="E46" s="53" t="n"/>
      <c r="F46" s="79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79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79" t="n">
        <v>25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79" t="n">
        <v>67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7">
      <c r="A47" s="47">
        <f>'Sessional + End Term Assessment'!A48</f>
        <v/>
      </c>
      <c r="B47" s="80">
        <f>'Sessional + End Term Assessment'!B48</f>
        <v/>
      </c>
      <c r="C47" s="80">
        <f>'Sessional + End Term Assessment'!C48</f>
        <v/>
      </c>
      <c r="D47" s="53" t="n"/>
      <c r="E47" s="53" t="n"/>
      <c r="F47" s="79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79" t="n">
        <v>26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79" t="n">
        <v>26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79" t="n">
        <v>66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7">
      <c r="A48" s="47">
        <f>'Sessional + End Term Assessment'!A49</f>
        <v/>
      </c>
      <c r="B48" s="80">
        <f>'Sessional + End Term Assessment'!B49</f>
        <v/>
      </c>
      <c r="C48" s="80">
        <f>'Sessional + End Term Assessment'!C49</f>
        <v/>
      </c>
      <c r="D48" s="53" t="n"/>
      <c r="E48" s="53" t="n"/>
      <c r="F48" s="79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79" t="n">
        <v>20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79" t="n">
        <v>23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56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7">
      <c r="A49" s="47">
        <f>'Sessional + End Term Assessment'!A50</f>
        <v/>
      </c>
      <c r="B49" s="80">
        <f>'Sessional + End Term Assessment'!B50</f>
        <v/>
      </c>
      <c r="C49" s="80">
        <f>'Sessional + End Term Assessment'!C50</f>
        <v/>
      </c>
      <c r="D49" s="53" t="n"/>
      <c r="E49" s="53" t="n"/>
      <c r="F49" s="79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79" t="n">
        <v>23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79" t="n">
        <v>22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79" t="n">
        <v>58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7">
      <c r="A50" s="47">
        <f>'Sessional + End Term Assessment'!A51</f>
        <v/>
      </c>
      <c r="B50" s="80">
        <f>'Sessional + End Term Assessment'!B51</f>
        <v/>
      </c>
      <c r="C50" s="80">
        <f>'Sessional + End Term Assessment'!C51</f>
        <v/>
      </c>
      <c r="D50" s="53" t="n"/>
      <c r="E50" s="53" t="n"/>
      <c r="F50" s="79" t="n">
        <v>13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79" t="n">
        <v>27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79" t="n">
        <v>24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64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7">
      <c r="A51" s="47">
        <f>'Sessional + End Term Assessment'!A52</f>
        <v/>
      </c>
      <c r="B51" s="80">
        <f>'Sessional + End Term Assessment'!B52</f>
        <v/>
      </c>
      <c r="C51" s="80">
        <f>'Sessional + End Term Assessment'!C52</f>
        <v/>
      </c>
      <c r="D51" s="53" t="n"/>
      <c r="E51" s="53" t="n"/>
      <c r="F51" s="79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79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79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79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7">
      <c r="A52" s="47">
        <f>'Sessional + End Term Assessment'!A53</f>
        <v/>
      </c>
      <c r="B52" s="80">
        <f>'Sessional + End Term Assessment'!B53</f>
        <v/>
      </c>
      <c r="C52" s="80">
        <f>'Sessional + End Term Assessment'!C53</f>
        <v/>
      </c>
      <c r="D52" s="53" t="n"/>
      <c r="E52" s="53" t="n"/>
      <c r="F52" s="79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79" t="n">
        <v>25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79" t="n">
        <v>25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63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7">
      <c r="A53" s="47">
        <f>'Sessional + End Term Assessment'!A54</f>
        <v/>
      </c>
      <c r="B53" s="80">
        <f>'Sessional + End Term Assessment'!B54</f>
        <v/>
      </c>
      <c r="C53" s="80">
        <f>'Sessional + End Term Assessment'!C54</f>
        <v/>
      </c>
      <c r="D53" s="53" t="n"/>
      <c r="E53" s="53" t="n"/>
      <c r="F53" s="79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79" t="n">
        <v>22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79" t="n">
        <v>24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59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7">
      <c r="A54" s="47">
        <f>'Sessional + End Term Assessment'!A55</f>
        <v/>
      </c>
      <c r="B54" s="80">
        <f>'Sessional + End Term Assessment'!B55</f>
        <v/>
      </c>
      <c r="C54" s="80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23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22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79" t="n">
        <v>58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7">
      <c r="A55" s="47">
        <f>'Sessional + End Term Assessment'!A56</f>
        <v/>
      </c>
      <c r="B55" s="80">
        <f>'Sessional + End Term Assessment'!B56</f>
        <v/>
      </c>
      <c r="C55" s="80">
        <f>'Sessional + End Term Assessment'!C56</f>
        <v/>
      </c>
      <c r="D55" s="53" t="n"/>
      <c r="E55" s="53" t="n"/>
      <c r="F55" t="n">
        <v>13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24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21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79" t="n">
        <v>58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7">
      <c r="A56" s="47">
        <f>'Sessional + End Term Assessment'!A57</f>
        <v/>
      </c>
      <c r="B56" s="80">
        <f>'Sessional + End Term Assessment'!B57</f>
        <v/>
      </c>
      <c r="C56" s="80">
        <f>'Sessional + End Term Assessment'!C57</f>
        <v/>
      </c>
      <c r="D56" s="53" t="n"/>
      <c r="E56" s="53" t="n"/>
      <c r="F56" s="79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79" t="n">
        <v>26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79" t="n">
        <v>26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79" t="n">
        <v>66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7">
      <c r="A57" s="47">
        <f>'Sessional + End Term Assessment'!A58</f>
        <v/>
      </c>
      <c r="B57" s="80">
        <f>'Sessional + End Term Assessment'!B58</f>
        <v/>
      </c>
      <c r="C57" s="80">
        <f>'Sessional + End Term Assessment'!C58</f>
        <v/>
      </c>
      <c r="D57" s="53" t="n"/>
      <c r="E57" s="53" t="n"/>
      <c r="F57" s="79" t="n">
        <v>11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79" t="n">
        <v>19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79" t="n">
        <v>20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79" t="n">
        <v>50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7">
      <c r="A58" s="47">
        <f>'Sessional + End Term Assessment'!A59</f>
        <v/>
      </c>
      <c r="B58" s="80">
        <f>'Sessional + End Term Assessment'!B59</f>
        <v/>
      </c>
      <c r="C58" s="80">
        <f>'Sessional + End Term Assessment'!C59</f>
        <v/>
      </c>
      <c r="D58" s="53" t="n"/>
      <c r="E58" s="53" t="n"/>
      <c r="F58" s="79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79" t="n">
        <v>24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79" t="n">
        <v>27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65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7">
      <c r="A59" s="47">
        <f>'Sessional + End Term Assessment'!A60</f>
        <v/>
      </c>
      <c r="B59" s="80">
        <f>'Sessional + End Term Assessment'!B60</f>
        <v/>
      </c>
      <c r="C59" s="80">
        <f>'Sessional + End Term Assessment'!C60</f>
        <v/>
      </c>
      <c r="D59" s="53" t="n"/>
      <c r="E59" s="53" t="n"/>
      <c r="F59" s="79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79" t="n">
        <v>22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79" t="n">
        <v>21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79" t="n">
        <v>56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7">
      <c r="A60" s="47">
        <f>'Sessional + End Term Assessment'!A61</f>
        <v/>
      </c>
      <c r="B60" s="80">
        <f>'Sessional + End Term Assessment'!B61</f>
        <v/>
      </c>
      <c r="C60" s="80">
        <f>'Sessional + End Term Assessment'!C61</f>
        <v/>
      </c>
      <c r="D60" s="53" t="n"/>
      <c r="E60" s="53" t="n"/>
      <c r="F60" s="79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79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79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79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7">
      <c r="A61" s="47">
        <f>'Sessional + End Term Assessment'!A62</f>
        <v/>
      </c>
      <c r="B61" s="80">
        <f>'Sessional + End Term Assessment'!B62</f>
        <v/>
      </c>
      <c r="C61" s="80">
        <f>'Sessional + End Term Assessment'!C62</f>
        <v/>
      </c>
      <c r="D61" s="53" t="n"/>
      <c r="E61" s="53" t="n"/>
      <c r="F61" s="79" t="n">
        <v>13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79" t="n">
        <v>24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79" t="n">
        <v>21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58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7">
      <c r="A62" s="47">
        <f>'Sessional + End Term Assessment'!A63</f>
        <v/>
      </c>
      <c r="B62" s="80">
        <f>'Sessional + End Term Assessment'!B63</f>
        <v/>
      </c>
      <c r="C62" s="80">
        <f>'Sessional + End Term Assessment'!C63</f>
        <v/>
      </c>
      <c r="D62" s="53" t="n"/>
      <c r="E62" s="53" t="n"/>
      <c r="F62" s="79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79" t="n">
        <v>26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79" t="n">
        <v>26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79" t="n">
        <v>66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7">
      <c r="A63" s="47">
        <f>'Sessional + End Term Assessment'!A64</f>
        <v/>
      </c>
      <c r="B63" s="80">
        <f>'Sessional + End Term Assessment'!B64</f>
        <v/>
      </c>
      <c r="C63" s="80">
        <f>'Sessional + End Term Assessment'!C64</f>
        <v/>
      </c>
      <c r="D63" s="53" t="n"/>
      <c r="E63" s="53" t="n"/>
      <c r="F63" s="79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79" t="n">
        <v>23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79" t="n">
        <v>26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79" t="n">
        <v>62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7">
      <c r="A64" s="47">
        <f>'Sessional + End Term Assessment'!A65</f>
        <v/>
      </c>
      <c r="B64" s="80">
        <f>'Sessional + End Term Assessment'!B65</f>
        <v/>
      </c>
      <c r="C64" s="80">
        <f>'Sessional + End Term Assessment'!C65</f>
        <v/>
      </c>
      <c r="D64" s="53" t="n"/>
      <c r="E64" s="53" t="n"/>
      <c r="F64" s="79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79" t="n">
        <v>26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79" t="n">
        <v>24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79" t="n">
        <v>63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7">
      <c r="A65" s="47">
        <f>'Sessional + End Term Assessment'!A66</f>
        <v/>
      </c>
      <c r="B65" s="80">
        <f>'Sessional + End Term Assessment'!B66</f>
        <v/>
      </c>
      <c r="C65" s="80">
        <f>'Sessional + End Term Assessment'!C66</f>
        <v/>
      </c>
      <c r="D65" s="53" t="n"/>
      <c r="E65" s="53" t="n"/>
      <c r="F65" s="79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79" t="n">
        <v>24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79" t="n">
        <v>24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61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7">
      <c r="A66" s="47">
        <f>'Sessional + End Term Assessment'!A67</f>
        <v/>
      </c>
      <c r="B66" s="80">
        <f>'Sessional + End Term Assessment'!B67</f>
        <v/>
      </c>
      <c r="C66" s="80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24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21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58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7">
      <c r="A67" s="47">
        <f>'Sessional + End Term Assessment'!A68</f>
        <v/>
      </c>
      <c r="B67" s="80">
        <f>'Sessional + End Term Assessment'!B68</f>
        <v/>
      </c>
      <c r="C67" s="80">
        <f>'Sessional + End Term Assessment'!C68</f>
        <v/>
      </c>
      <c r="D67" s="53" t="n"/>
      <c r="E67" s="53" t="n"/>
      <c r="F67" s="79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79" t="n">
        <v>27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79" t="n">
        <v>27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79" t="n">
        <v>68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7">
      <c r="A68" s="47">
        <f>'Sessional + End Term Assessment'!A69</f>
        <v/>
      </c>
      <c r="B68" s="80">
        <f>'Sessional + End Term Assessment'!B69</f>
        <v/>
      </c>
      <c r="C68" s="80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24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27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64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7">
      <c r="A69" s="47">
        <f>'Sessional + End Term Assessment'!A70</f>
        <v/>
      </c>
      <c r="B69" s="80">
        <f>'Sessional + End Term Assessment'!B70</f>
        <v/>
      </c>
      <c r="C69" s="80">
        <f>'Sessional + End Term Assessment'!C70</f>
        <v/>
      </c>
      <c r="D69" s="53" t="n"/>
      <c r="E69" s="53" t="n"/>
      <c r="F69" s="79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79" t="n">
        <v>26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79" t="n">
        <v>25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79" t="n">
        <v>64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7">
      <c r="A70" s="47">
        <f>'Sessional + End Term Assessment'!A71</f>
        <v/>
      </c>
      <c r="B70" s="80">
        <f>'Sessional + End Term Assessment'!B71</f>
        <v/>
      </c>
      <c r="C70" s="80">
        <f>'Sessional + End Term Assessment'!C71</f>
        <v/>
      </c>
      <c r="D70" s="53" t="n"/>
      <c r="E70" s="53" t="n"/>
      <c r="F70" s="79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79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79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7">
      <c r="A71" s="47">
        <f>'Sessional + End Term Assessment'!A72</f>
        <v/>
      </c>
      <c r="B71" s="80">
        <f>'Sessional + End Term Assessment'!B72</f>
        <v/>
      </c>
      <c r="C71" s="80">
        <f>'Sessional + End Term Assessment'!C72</f>
        <v/>
      </c>
      <c r="D71" s="53" t="n"/>
      <c r="E71" s="53" t="n"/>
      <c r="F71" s="79" t="n">
        <v>14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79" t="n">
        <v>28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79" t="n">
        <v>28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79" t="n">
        <v>70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7">
      <c r="A72" s="47">
        <f>'Sessional + End Term Assessment'!A73</f>
        <v/>
      </c>
      <c r="B72" s="80">
        <f>'Sessional + End Term Assessment'!B73</f>
        <v/>
      </c>
      <c r="C72" s="80">
        <f>'Sessional + End Term Assessment'!C73</f>
        <v/>
      </c>
      <c r="D72" s="53" t="n"/>
      <c r="E72" s="53" t="n"/>
      <c r="F72" s="79" t="n">
        <v>14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79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79" t="n">
        <v>26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79" t="n">
        <v>65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7">
      <c r="A73" s="47">
        <f>'Sessional + End Term Assessment'!A74</f>
        <v/>
      </c>
      <c r="B73" s="80">
        <f>'Sessional + End Term Assessment'!B74</f>
        <v/>
      </c>
      <c r="C73" s="80">
        <f>'Sessional + End Term Assessment'!C74</f>
        <v/>
      </c>
      <c r="D73" s="53" t="n"/>
      <c r="E73" s="53" t="n"/>
      <c r="F73" s="79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79" t="n">
        <v>28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79" t="n">
        <v>28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79" t="n">
        <v>70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7">
      <c r="A74" s="47">
        <f>'Sessional + End Term Assessment'!A75</f>
        <v/>
      </c>
      <c r="B74" s="80">
        <f>'Sessional + End Term Assessment'!B75</f>
        <v/>
      </c>
      <c r="C74" s="80">
        <f>'Sessional + End Term Assessment'!C75</f>
        <v/>
      </c>
      <c r="D74" s="53" t="n"/>
      <c r="E74" s="53" t="n"/>
      <c r="F74" s="79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79" t="n">
        <v>26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79" t="n">
        <v>25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64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7">
      <c r="A75" s="47">
        <f>'Sessional + End Term Assessment'!A76</f>
        <v/>
      </c>
      <c r="B75" s="80">
        <f>'Sessional + End Term Assessment'!B76</f>
        <v/>
      </c>
      <c r="C75" s="80">
        <f>'Sessional + End Term Assessment'!C76</f>
        <v/>
      </c>
      <c r="D75" s="53" t="n"/>
      <c r="E75" s="53" t="n"/>
      <c r="F75" s="79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79" t="n">
        <v>26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79" t="n">
        <v>23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79" t="n">
        <v>62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7">
      <c r="A76" s="47">
        <f>'Sessional + End Term Assessment'!A77</f>
        <v/>
      </c>
      <c r="B76" s="80">
        <f>'Sessional + End Term Assessment'!B77</f>
        <v/>
      </c>
      <c r="C76" s="80">
        <f>'Sessional + End Term Assessment'!C77</f>
        <v/>
      </c>
      <c r="D76" s="53" t="n"/>
      <c r="E76" s="53" t="n"/>
      <c r="F76" s="79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79" t="n">
        <v>25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79" t="n">
        <v>22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60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7">
      <c r="A77" s="47">
        <f>'Sessional + End Term Assessment'!A78</f>
        <v/>
      </c>
      <c r="B77" s="80">
        <f>'Sessional + End Term Assessment'!B78</f>
        <v/>
      </c>
      <c r="C77" s="80">
        <f>'Sessional + End Term Assessment'!C78</f>
        <v/>
      </c>
      <c r="D77" s="53" t="n"/>
      <c r="E77" s="53" t="n"/>
      <c r="F77" s="79" t="n">
        <v>11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79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79" t="n">
        <v>22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79" t="n">
        <v>54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7">
      <c r="A78" s="47">
        <f>'Sessional + End Term Assessment'!A79</f>
        <v/>
      </c>
      <c r="B78" s="80">
        <f>'Sessional + End Term Assessment'!B79</f>
        <v/>
      </c>
      <c r="C78" s="80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7">
      <c r="A79" s="47">
        <f>'Sessional + End Term Assessment'!A80</f>
        <v/>
      </c>
      <c r="B79" s="80">
        <f>'Sessional + End Term Assessment'!B80</f>
        <v/>
      </c>
      <c r="C79" s="80">
        <f>'Sessional + End Term Assessment'!C80</f>
        <v/>
      </c>
      <c r="D79" s="53" t="n"/>
      <c r="E79" s="53" t="n"/>
      <c r="F79" s="79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79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79" t="n">
        <v>24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79" t="n">
        <v>63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7">
      <c r="A80" s="47">
        <f>'Sessional + End Term Assessment'!A81</f>
        <v/>
      </c>
      <c r="B80" s="80">
        <f>'Sessional + End Term Assessment'!B81</f>
        <v/>
      </c>
      <c r="C80" s="80">
        <f>'Sessional + End Term Assessment'!C81</f>
        <v/>
      </c>
      <c r="D80" s="53" t="n"/>
      <c r="E80" s="53" t="n"/>
      <c r="F80" s="79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79" t="n">
        <v>22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79" t="n">
        <v>22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57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7">
      <c r="A81" s="47">
        <f>'Sessional + End Term Assessment'!A82</f>
        <v/>
      </c>
      <c r="B81" s="80">
        <f>'Sessional + End Term Assessment'!B82</f>
        <v/>
      </c>
      <c r="C81" s="80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21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21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79" t="n">
        <v>55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7">
      <c r="A82" s="47">
        <f>'Sessional + End Term Assessment'!A83</f>
        <v/>
      </c>
      <c r="B82" s="80">
        <f>'Sessional + End Term Assessment'!B83</f>
        <v/>
      </c>
      <c r="C82" s="80">
        <f>'Sessional + End Term Assessment'!C83</f>
        <v/>
      </c>
      <c r="D82" s="53" t="n"/>
      <c r="E82" s="53" t="n"/>
      <c r="F82" s="79" t="n">
        <v>11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79" t="n">
        <v>21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79" t="n">
        <v>21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53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7">
      <c r="A83" s="47">
        <f>'Sessional + End Term Assessment'!A84</f>
        <v/>
      </c>
      <c r="B83" s="80">
        <f>'Sessional + End Term Assessment'!B84</f>
        <v/>
      </c>
      <c r="C83" s="80">
        <f>'Sessional + End Term Assessment'!C84</f>
        <v/>
      </c>
      <c r="D83" s="53" t="n"/>
      <c r="E83" s="53" t="n"/>
      <c r="F83" s="79" t="n">
        <v>14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79" t="n">
        <v>25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79" t="n">
        <v>27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66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7">
      <c r="A84" s="47">
        <f>'Sessional + End Term Assessment'!A85</f>
        <v/>
      </c>
      <c r="B84" s="80">
        <f>'Sessional + End Term Assessment'!B85</f>
        <v/>
      </c>
      <c r="C84" s="80">
        <f>'Sessional + End Term Assessment'!C85</f>
        <v/>
      </c>
      <c r="D84" s="53" t="n"/>
      <c r="E84" s="53" t="n"/>
      <c r="F84" s="79" t="n">
        <v>14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79" t="n">
        <v>28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79" t="n">
        <v>26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68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7">
      <c r="A85" s="47">
        <f>'Sessional + End Term Assessment'!A86</f>
        <v/>
      </c>
      <c r="B85" s="80">
        <f>'Sessional + End Term Assessment'!B86</f>
        <v/>
      </c>
      <c r="C85" s="80">
        <f>'Sessional + End Term Assessment'!C86</f>
        <v/>
      </c>
      <c r="D85" s="53" t="n"/>
      <c r="E85" s="53" t="n"/>
      <c r="F85" s="79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79" t="n">
        <v>27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79" t="n">
        <v>27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68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7">
      <c r="A86" s="47">
        <f>'Sessional + End Term Assessment'!A87</f>
        <v/>
      </c>
      <c r="B86" s="80">
        <f>'Sessional + End Term Assessment'!B87</f>
        <v/>
      </c>
      <c r="C86" s="80">
        <f>'Sessional + End Term Assessment'!C87</f>
        <v/>
      </c>
      <c r="D86" s="53" t="n"/>
      <c r="E86" s="53" t="n"/>
      <c r="F86" s="79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79" t="n">
        <v>27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79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79" t="n">
        <v>69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7">
      <c r="A87" s="47">
        <f>'Sessional + End Term Assessment'!A88</f>
        <v/>
      </c>
      <c r="B87" s="80">
        <f>'Sessional + End Term Assessment'!B88</f>
        <v/>
      </c>
      <c r="C87" s="80">
        <f>'Sessional + End Term Assessment'!C88</f>
        <v/>
      </c>
      <c r="D87" s="53" t="n"/>
      <c r="E87" s="53" t="n"/>
      <c r="F87" s="79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79" t="n">
        <v>22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79" t="n">
        <v>22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79" t="n">
        <v>57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7">
      <c r="A88" s="47">
        <f>'Sessional + End Term Assessment'!A89</f>
        <v/>
      </c>
      <c r="B88" s="80">
        <f>'Sessional + End Term Assessment'!B89</f>
        <v/>
      </c>
      <c r="C88" s="80">
        <f>'Sessional + End Term Assessment'!C89</f>
        <v/>
      </c>
      <c r="D88" s="53" t="n"/>
      <c r="E88" s="53" t="n"/>
      <c r="F88" s="79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79" t="n">
        <v>24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79" t="n">
        <v>27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79" t="n">
        <v>65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7">
      <c r="A89" s="47">
        <f>'Sessional + End Term Assessment'!A90</f>
        <v/>
      </c>
      <c r="B89" s="80">
        <f>'Sessional + End Term Assessment'!B90</f>
        <v/>
      </c>
      <c r="C89" s="80">
        <f>'Sessional + End Term Assessment'!C90</f>
        <v/>
      </c>
      <c r="D89" s="53" t="n"/>
      <c r="E89" s="53" t="n"/>
      <c r="F89" s="79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79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79" t="n">
        <v>28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79" t="n">
        <v>70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7">
      <c r="A90" s="47">
        <f>'Sessional + End Term Assessment'!A91</f>
        <v/>
      </c>
      <c r="B90" s="80">
        <f>'Sessional + End Term Assessment'!B91</f>
        <v/>
      </c>
      <c r="C90" s="80">
        <f>'Sessional + End Term Assessment'!C91</f>
        <v/>
      </c>
      <c r="D90" s="53" t="n"/>
      <c r="E90" s="53" t="n"/>
      <c r="F90" s="79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79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79" t="n">
        <v>27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79" t="n">
        <v>68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7">
      <c r="A91" s="47">
        <f>'Sessional + End Term Assessment'!A92</f>
        <v/>
      </c>
      <c r="B91" s="80">
        <f>'Sessional + End Term Assessment'!B92</f>
        <v/>
      </c>
      <c r="C91" s="80">
        <f>'Sessional + End Term Assessment'!C92</f>
        <v/>
      </c>
      <c r="D91" s="53" t="n"/>
      <c r="E91" s="53" t="n"/>
      <c r="F91" s="79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79" t="n">
        <v>25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79" t="n">
        <v>25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63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7">
      <c r="A92" s="47">
        <f>'Sessional + End Term Assessment'!A93</f>
        <v/>
      </c>
      <c r="B92" s="80">
        <f>'Sessional + End Term Assessment'!B93</f>
        <v/>
      </c>
      <c r="C92" s="80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26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79" t="n">
        <v>66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7">
      <c r="A93" s="47">
        <f>'Sessional + End Term Assessment'!A94</f>
        <v/>
      </c>
      <c r="B93" s="80">
        <f>'Sessional + End Term Assessment'!B94</f>
        <v/>
      </c>
      <c r="C93" s="80">
        <f>'Sessional + End Term Assessment'!C94</f>
        <v/>
      </c>
      <c r="D93" s="53" t="n"/>
      <c r="E93" s="53" t="n"/>
      <c r="F93" s="79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79" t="n">
        <v>24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79" t="n">
        <v>27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79" t="n">
        <v>64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7">
      <c r="A94" s="47">
        <f>'Sessional + End Term Assessment'!A95</f>
        <v/>
      </c>
      <c r="B94" s="80">
        <f>'Sessional + End Term Assessment'!B95</f>
        <v/>
      </c>
      <c r="C94" s="80">
        <f>'Sessional + End Term Assessment'!C95</f>
        <v/>
      </c>
      <c r="D94" s="53" t="n"/>
      <c r="E94" s="53" t="n"/>
      <c r="F94" s="79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79" t="n">
        <v>28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79" t="n">
        <v>28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79" t="n">
        <v>70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7">
      <c r="A95" s="47">
        <f>'Sessional + End Term Assessment'!A96</f>
        <v/>
      </c>
      <c r="B95" s="80">
        <f>'Sessional + End Term Assessment'!B96</f>
        <v/>
      </c>
      <c r="C95" s="80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25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25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79" t="n">
        <v>63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7">
      <c r="A96" s="47">
        <f>'Sessional + End Term Assessment'!A97</f>
        <v/>
      </c>
      <c r="B96" s="80">
        <f>'Sessional + End Term Assessment'!B97</f>
        <v/>
      </c>
      <c r="C96" s="80">
        <f>'Sessional + End Term Assessment'!C97</f>
        <v/>
      </c>
      <c r="D96" s="53" t="n"/>
      <c r="E96" s="53" t="n"/>
      <c r="F96" s="79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79" t="n">
        <v>25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79" t="n">
        <v>25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79" t="n">
        <v>63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7">
      <c r="A97" s="47">
        <f>'Sessional + End Term Assessment'!A98</f>
        <v/>
      </c>
      <c r="B97" s="80">
        <f>'Sessional + End Term Assessment'!B98</f>
        <v/>
      </c>
      <c r="C97" s="80">
        <f>'Sessional + End Term Assessment'!C98</f>
        <v/>
      </c>
      <c r="D97" s="53" t="n"/>
      <c r="E97" s="53" t="n"/>
      <c r="F97" s="79" t="n">
        <v>14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79" t="n">
        <v>28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79" t="n">
        <v>28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79" t="n">
        <v>70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7">
      <c r="A98" s="47">
        <f>'Sessional + End Term Assessment'!A99</f>
        <v/>
      </c>
      <c r="B98" s="80">
        <f>'Sessional + End Term Assessment'!B99</f>
        <v/>
      </c>
      <c r="C98" s="80">
        <f>'Sessional + End Term Assessment'!C99</f>
        <v/>
      </c>
      <c r="D98" s="53" t="n"/>
      <c r="E98" s="53" t="n"/>
      <c r="F98" s="79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79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79" t="n">
        <v>28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70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7">
      <c r="A99" s="47">
        <f>'Sessional + End Term Assessment'!A100</f>
        <v/>
      </c>
      <c r="B99" s="80">
        <f>'Sessional + End Term Assessment'!B100</f>
        <v/>
      </c>
      <c r="C99" s="80">
        <f>'Sessional + End Term Assessment'!C100</f>
        <v/>
      </c>
      <c r="D99" s="53" t="n"/>
      <c r="E99" s="53" t="n"/>
      <c r="F99" s="79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79" t="n">
        <v>27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79" t="n">
        <v>26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67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7">
      <c r="A100" s="47">
        <f>'Sessional + End Term Assessment'!A101</f>
        <v/>
      </c>
      <c r="B100" s="80">
        <f>'Sessional + End Term Assessment'!B101</f>
        <v/>
      </c>
      <c r="C100" s="80">
        <f>'Sessional + End Term Assessment'!C101</f>
        <v/>
      </c>
      <c r="D100" s="53" t="n"/>
      <c r="E100" s="53" t="n"/>
      <c r="F100" s="79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79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79" t="n">
        <v>28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70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7">
      <c r="A101" s="47">
        <f>'Sessional + End Term Assessment'!A102</f>
        <v/>
      </c>
      <c r="B101" s="80">
        <f>'Sessional + End Term Assessment'!B102</f>
        <v/>
      </c>
      <c r="C101" s="80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26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26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66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7">
      <c r="A102" s="47">
        <f>'Sessional + End Term Assessment'!A103</f>
        <v/>
      </c>
      <c r="B102" s="80">
        <f>'Sessional + End Term Assessment'!B103</f>
        <v/>
      </c>
      <c r="C102" s="80">
        <f>'Sessional + End Term Assessment'!C103</f>
        <v/>
      </c>
      <c r="D102" s="53" t="n"/>
      <c r="E102" s="53" t="n"/>
      <c r="F102" s="79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79" t="n">
        <v>27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79" t="n">
        <v>27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68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7">
      <c r="A103" s="47">
        <f>'Sessional + End Term Assessment'!A104</f>
        <v/>
      </c>
      <c r="B103" s="80">
        <f>'Sessional + End Term Assessment'!B104</f>
        <v/>
      </c>
      <c r="C103" s="80">
        <f>'Sessional + End Term Assessment'!C104</f>
        <v/>
      </c>
      <c r="D103" s="53" t="n"/>
      <c r="E103" s="53" t="n"/>
      <c r="F103" s="79" t="n">
        <v>13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79" t="n">
        <v>24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79" t="n">
        <v>26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63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7">
      <c r="A104" s="47">
        <f>'Sessional + End Term Assessment'!A105</f>
        <v/>
      </c>
      <c r="B104" s="80">
        <f>'Sessional + End Term Assessment'!B105</f>
        <v/>
      </c>
      <c r="C104" s="80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27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79" t="n">
        <v>66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7">
      <c r="A105" s="47">
        <f>'Sessional + End Term Assessment'!A106</f>
        <v/>
      </c>
      <c r="B105" s="80">
        <f>'Sessional + End Term Assessment'!B106</f>
        <v/>
      </c>
      <c r="C105" s="80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25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67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7">
      <c r="A106" s="47">
        <f>'Sessional + End Term Assessment'!A107</f>
        <v/>
      </c>
      <c r="B106" s="80">
        <f>'Sessional + End Term Assessment'!B107</f>
        <v/>
      </c>
      <c r="C106" s="80">
        <f>'Sessional + End Term Assessment'!C107</f>
        <v/>
      </c>
      <c r="D106" s="53" t="n"/>
      <c r="E106" s="53" t="n"/>
      <c r="F106" s="79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79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79" t="n">
        <v>28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79" t="n">
        <v>70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7">
      <c r="A107" s="47">
        <f>'Sessional + End Term Assessment'!A108</f>
        <v/>
      </c>
      <c r="B107" s="80">
        <f>'Sessional + End Term Assessment'!B108</f>
        <v/>
      </c>
      <c r="C107" s="80">
        <f>'Sessional + End Term Assessment'!C108</f>
        <v/>
      </c>
      <c r="D107" s="53" t="n"/>
      <c r="E107" s="53" t="n"/>
      <c r="F107" t="n">
        <v>14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26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26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66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7">
      <c r="A108" s="47">
        <f>'Sessional + End Term Assessment'!A109</f>
        <v/>
      </c>
      <c r="B108" s="80">
        <f>'Sessional + End Term Assessment'!B109</f>
        <v/>
      </c>
      <c r="C108" s="80">
        <f>'Sessional + End Term Assessment'!C109</f>
        <v/>
      </c>
      <c r="D108" s="53" t="n"/>
      <c r="E108" s="53" t="n"/>
      <c r="F108" s="79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79" t="n">
        <v>26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79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79" t="n">
        <v>68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7">
      <c r="A109" s="47">
        <f>'Sessional + End Term Assessment'!A110</f>
        <v/>
      </c>
      <c r="B109" s="80">
        <f>'Sessional + End Term Assessment'!B110</f>
        <v/>
      </c>
      <c r="C109" s="80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26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65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7">
      <c r="A110" s="47">
        <f>'Sessional + End Term Assessment'!A111</f>
        <v/>
      </c>
      <c r="B110" s="80">
        <f>'Sessional + End Term Assessment'!B111</f>
        <v/>
      </c>
      <c r="C110" s="80">
        <f>'Sessional + End Term Assessment'!C111</f>
        <v/>
      </c>
      <c r="D110" s="53" t="n"/>
      <c r="E110" s="53" t="n"/>
      <c r="F110" s="79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79" t="n">
        <v>28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79" t="n">
        <v>28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79" t="n">
        <v>70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7">
      <c r="A111" s="47">
        <f>'Sessional + End Term Assessment'!A112</f>
        <v/>
      </c>
      <c r="B111" s="80">
        <f>'Sessional + End Term Assessment'!B112</f>
        <v/>
      </c>
      <c r="C111" s="80">
        <f>'Sessional + End Term Assessment'!C112</f>
        <v/>
      </c>
      <c r="D111" s="53" t="n"/>
      <c r="E111" s="53" t="n"/>
      <c r="F111" s="79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79" t="n">
        <v>22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79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79" t="n">
        <v>57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7">
      <c r="A112" s="47">
        <f>'Sessional + End Term Assessment'!A113</f>
        <v/>
      </c>
      <c r="B112" s="80">
        <f>'Sessional + End Term Assessment'!B113</f>
        <v/>
      </c>
      <c r="C112" s="80">
        <f>'Sessional + End Term Assessment'!C113</f>
        <v/>
      </c>
      <c r="D112" s="53" t="n"/>
      <c r="E112" s="53" t="n"/>
      <c r="F112" t="n">
        <v>13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22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23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79" t="n">
        <v>58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7">
      <c r="A113" s="47">
        <f>'Sessional + End Term Assessment'!A114</f>
        <v/>
      </c>
      <c r="B113" s="80">
        <f>'Sessional + End Term Assessment'!B114</f>
        <v/>
      </c>
      <c r="C113" s="80">
        <f>'Sessional + End Term Assessment'!C114</f>
        <v/>
      </c>
      <c r="D113" s="53" t="n"/>
      <c r="E113" s="53" t="n"/>
      <c r="F113" s="79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79" t="n">
        <v>24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79" t="n">
        <v>26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63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7">
      <c r="A114" s="47">
        <f>'Sessional + End Term Assessment'!A115</f>
        <v/>
      </c>
      <c r="B114" s="80">
        <f>'Sessional + End Term Assessment'!B115</f>
        <v/>
      </c>
      <c r="C114" s="80">
        <f>'Sessional + End Term Assessment'!C115</f>
        <v/>
      </c>
      <c r="D114" s="53" t="n"/>
      <c r="E114" s="53" t="n"/>
      <c r="F114" s="79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79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79" t="n">
        <v>25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79" t="n">
        <v>65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7">
      <c r="A115" s="47">
        <f>'Sessional + End Term Assessment'!A116</f>
        <v/>
      </c>
      <c r="B115" s="80">
        <f>'Sessional + End Term Assessment'!B116</f>
        <v/>
      </c>
      <c r="C115" s="80">
        <f>'Sessional + End Term Assessment'!C116</f>
        <v/>
      </c>
      <c r="D115" s="53" t="n"/>
      <c r="E115" s="53" t="n"/>
      <c r="F115" s="79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79" t="n">
        <v>27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79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79" t="n">
        <v>65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7">
      <c r="A116" s="47">
        <f>'Sessional + End Term Assessment'!A117</f>
        <v/>
      </c>
      <c r="B116" s="80">
        <f>'Sessional + End Term Assessment'!B117</f>
        <v/>
      </c>
      <c r="C116" s="80">
        <f>'Sessional + End Term Assessment'!C117</f>
        <v/>
      </c>
      <c r="D116" s="53" t="n"/>
      <c r="E116" s="53" t="n"/>
      <c r="F116" s="79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79" t="n">
        <v>27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79" t="n">
        <v>24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79" t="n">
        <v>64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7">
      <c r="A117" s="47">
        <f>'Sessional + End Term Assessment'!A118</f>
        <v/>
      </c>
      <c r="B117" s="80">
        <f>'Sessional + End Term Assessment'!B118</f>
        <v/>
      </c>
      <c r="C117" s="80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25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26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79" t="n">
        <v>64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7">
      <c r="A118" s="47">
        <f>'Sessional + End Term Assessment'!A119</f>
        <v/>
      </c>
      <c r="B118" s="80">
        <f>'Sessional + End Term Assessment'!B119</f>
        <v/>
      </c>
      <c r="C118" s="80">
        <f>'Sessional + End Term Assessment'!C119</f>
        <v/>
      </c>
      <c r="D118" s="49" t="n"/>
      <c r="E118" s="23" t="n"/>
      <c r="F118" s="79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79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79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79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7">
      <c r="A119" s="47">
        <f>'Sessional + End Term Assessment'!A120</f>
        <v/>
      </c>
      <c r="B119" s="80">
        <f>'Sessional + End Term Assessment'!B120</f>
        <v/>
      </c>
      <c r="C119" s="80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28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28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70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7">
      <c r="A120" s="47">
        <f>'Sessional + End Term Assessment'!A121</f>
        <v/>
      </c>
      <c r="B120" s="80">
        <f>'Sessional + End Term Assessment'!B121</f>
        <v/>
      </c>
      <c r="C120" s="80">
        <f>'Sessional + End Term Assessment'!C121</f>
        <v/>
      </c>
      <c r="D120" s="49" t="n"/>
      <c r="E120" s="23" t="n"/>
      <c r="F120" s="79" t="n">
        <v>14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79" t="n">
        <v>27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79" t="n">
        <v>27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68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7">
      <c r="A121" s="47">
        <f>'Sessional + End Term Assessment'!A122</f>
        <v/>
      </c>
      <c r="B121" s="80">
        <f>'Sessional + End Term Assessment'!B122</f>
        <v/>
      </c>
      <c r="C121" s="80">
        <f>'Sessional + End Term Assessment'!C122</f>
        <v/>
      </c>
      <c r="D121" s="49" t="n"/>
      <c r="E121" s="23" t="n"/>
      <c r="F121" s="79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79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79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7">
      <c r="A122" s="47">
        <f>'Sessional + End Term Assessment'!A123</f>
        <v/>
      </c>
      <c r="B122" s="80">
        <f>'Sessional + End Term Assessment'!B123</f>
        <v/>
      </c>
      <c r="C122" s="80">
        <f>'Sessional + End Term Assessment'!C123</f>
        <v/>
      </c>
      <c r="D122" s="49" t="n"/>
      <c r="E122" s="23" t="n"/>
      <c r="F122" s="79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79" t="n">
        <v>28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79" t="n">
        <v>28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79" t="n">
        <v>70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7">
      <c r="A123" s="47">
        <f>'Sessional + End Term Assessment'!A124</f>
        <v/>
      </c>
      <c r="B123" s="80">
        <f>'Sessional + End Term Assessment'!B124</f>
        <v/>
      </c>
      <c r="C123" s="80">
        <f>'Sessional + End Term Assessment'!C124</f>
        <v/>
      </c>
      <c r="D123" s="49" t="n"/>
      <c r="E123" s="23" t="n"/>
      <c r="F123" s="79" t="n">
        <v>13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79" t="n">
        <v>23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79" t="n">
        <v>26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62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7">
      <c r="A124" s="47">
        <f>'Sessional + End Term Assessment'!A125</f>
        <v/>
      </c>
      <c r="B124" s="80">
        <f>'Sessional + End Term Assessment'!B125</f>
        <v/>
      </c>
      <c r="C124" s="80">
        <f>'Sessional + End Term Assessment'!C125</f>
        <v/>
      </c>
      <c r="D124" s="49" t="n"/>
      <c r="E124" s="49" t="n"/>
      <c r="F124" s="79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79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79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7">
      <c r="A125" s="47">
        <f>'Sessional + End Term Assessment'!A126</f>
        <v/>
      </c>
      <c r="B125" s="80">
        <f>'Sessional + End Term Assessment'!B126</f>
        <v/>
      </c>
      <c r="C125" s="80">
        <f>'Sessional + End Term Assessment'!C126</f>
        <v/>
      </c>
      <c r="D125" s="49" t="n"/>
      <c r="E125" s="49" t="n"/>
      <c r="F125" s="79" t="n">
        <v>13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79" t="n">
        <v>25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79" t="n">
        <v>25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79" t="n">
        <v>63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7">
      <c r="A126" s="47">
        <f>'Sessional + End Term Assessment'!A127</f>
        <v/>
      </c>
      <c r="B126" s="80">
        <f>'Sessional + End Term Assessment'!B127</f>
        <v/>
      </c>
      <c r="C126" s="80">
        <f>'Sessional + End Term Assessment'!C127</f>
        <v/>
      </c>
      <c r="D126" s="49" t="n"/>
      <c r="E126" s="49" t="n"/>
      <c r="F126" s="79" t="n">
        <v>13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79" t="n">
        <v>24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79" t="n">
        <v>24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79" t="n">
        <v>61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7">
      <c r="A127" s="47">
        <f>'Sessional + End Term Assessment'!A128</f>
        <v/>
      </c>
      <c r="B127" s="80">
        <f>'Sessional + End Term Assessment'!B128</f>
        <v/>
      </c>
      <c r="C127" s="80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22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23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79" t="n">
        <v>58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7">
      <c r="A128" s="47">
        <f>'Sessional + End Term Assessment'!A129</f>
        <v/>
      </c>
      <c r="B128" s="80">
        <f>'Sessional + End Term Assessment'!B129</f>
        <v/>
      </c>
      <c r="C128" s="80">
        <f>'Sessional + End Term Assessment'!C129</f>
        <v/>
      </c>
      <c r="D128" s="49" t="n"/>
      <c r="E128" s="49" t="n"/>
      <c r="F128" s="79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79" t="n">
        <v>25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79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66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7">
      <c r="A129" s="47">
        <f>'Sessional + End Term Assessment'!A130</f>
        <v/>
      </c>
      <c r="B129" s="80">
        <f>'Sessional + End Term Assessment'!B130</f>
        <v/>
      </c>
      <c r="C129" s="80">
        <f>'Sessional + End Term Assessment'!C130</f>
        <v/>
      </c>
      <c r="D129" s="49" t="n"/>
      <c r="E129" s="49" t="n"/>
      <c r="F129" t="n">
        <v>13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25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24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79" t="n">
        <v>62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7">
      <c r="A130" s="47">
        <f>'Sessional + End Term Assessment'!A131</f>
        <v/>
      </c>
      <c r="B130" s="80">
        <f>'Sessional + End Term Assessment'!B131</f>
        <v/>
      </c>
      <c r="C130" s="80">
        <f>'Sessional + End Term Assessment'!C131</f>
        <v/>
      </c>
      <c r="D130" s="49" t="n"/>
      <c r="E130" s="49" t="n"/>
      <c r="F130" s="79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79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79" t="n">
        <v>25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79" t="n">
        <v>67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7">
      <c r="A131" s="47">
        <f>'Sessional + End Term Assessment'!A132</f>
        <v/>
      </c>
      <c r="B131" s="80">
        <f>'Sessional + End Term Assessment'!B132</f>
        <v/>
      </c>
      <c r="C131" s="80">
        <f>'Sessional + End Term Assessment'!C132</f>
        <v/>
      </c>
      <c r="D131" s="49" t="n"/>
      <c r="E131" s="49" t="n"/>
      <c r="F131" s="79" t="n">
        <v>14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79" t="n">
        <v>28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79" t="n">
        <v>28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79" t="n">
        <v>70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7">
      <c r="A132" s="47">
        <f>'Sessional + End Term Assessment'!A133</f>
        <v/>
      </c>
      <c r="B132" s="80">
        <f>'Sessional + End Term Assessment'!B133</f>
        <v/>
      </c>
      <c r="C132" s="80">
        <f>'Sessional + End Term Assessment'!C133</f>
        <v/>
      </c>
      <c r="D132" s="49" t="n"/>
      <c r="E132" s="49" t="n"/>
      <c r="F132" t="n">
        <v>13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25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25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79" t="n">
        <v>63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7">
      <c r="A133" s="47">
        <f>'Sessional + End Term Assessment'!A134</f>
        <v/>
      </c>
      <c r="B133" s="80">
        <f>'Sessional + End Term Assessment'!B134</f>
        <v/>
      </c>
      <c r="C133" s="80">
        <f>'Sessional + End Term Assessment'!C134</f>
        <v/>
      </c>
      <c r="D133" s="49" t="n"/>
      <c r="E133" s="49" t="n"/>
      <c r="F133" t="n">
        <v>11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19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21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51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7">
      <c r="A134" s="47">
        <f>'Sessional + End Term Assessment'!A135</f>
        <v/>
      </c>
      <c r="B134" s="80">
        <f>'Sessional + End Term Assessment'!B135</f>
        <v/>
      </c>
      <c r="C134" s="80">
        <f>'Sessional + End Term Assessment'!C135</f>
        <v/>
      </c>
      <c r="D134" s="49" t="n"/>
      <c r="E134" s="49" t="n"/>
      <c r="F134" s="79" t="n">
        <v>13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79" t="n">
        <v>26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79" t="n">
        <v>25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79" t="n">
        <v>64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7">
      <c r="A135" s="47">
        <f>'Sessional + End Term Assessment'!A136</f>
        <v/>
      </c>
      <c r="B135" s="80">
        <f>'Sessional + End Term Assessment'!B136</f>
        <v/>
      </c>
      <c r="C135" s="80">
        <f>'Sessional + End Term Assessment'!C136</f>
        <v/>
      </c>
      <c r="D135" s="49" t="n"/>
      <c r="E135" s="49" t="n"/>
      <c r="F135" t="n">
        <v>14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28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28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79" t="n">
        <v>70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7">
      <c r="A136" s="47">
        <f>'Sessional + End Term Assessment'!A137</f>
        <v/>
      </c>
      <c r="B136" s="80">
        <f>'Sessional + End Term Assessment'!B137</f>
        <v/>
      </c>
      <c r="C136" s="80">
        <f>'Sessional + End Term Assessment'!C137</f>
        <v/>
      </c>
      <c r="D136" s="49" t="n"/>
      <c r="E136" s="49" t="n"/>
      <c r="F136" t="n">
        <v>14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28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28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79" t="n">
        <v>70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7">
      <c r="A137" s="47">
        <f>'Sessional + End Term Assessment'!A138</f>
        <v/>
      </c>
      <c r="B137" s="80">
        <f>'Sessional + End Term Assessment'!B138</f>
        <v/>
      </c>
      <c r="C137" s="80">
        <f>'Sessional + End Term Assessment'!C138</f>
        <v/>
      </c>
      <c r="D137" s="49" t="n"/>
      <c r="E137" s="49" t="n"/>
      <c r="F137" s="79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79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79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79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7">
      <c r="A138" s="47">
        <f>'Sessional + End Term Assessment'!A139</f>
        <v/>
      </c>
      <c r="B138" s="80">
        <f>'Sessional + End Term Assessment'!B139</f>
        <v/>
      </c>
      <c r="C138" s="80">
        <f>'Sessional + End Term Assessment'!C139</f>
        <v/>
      </c>
      <c r="D138" s="49" t="n"/>
      <c r="E138" s="49" t="n"/>
      <c r="F138" s="79" t="n">
        <v>13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79" t="n">
        <v>23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79" t="n">
        <v>25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79" t="n">
        <v>61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7">
      <c r="A139" s="47">
        <f>'Sessional + End Term Assessment'!A140</f>
        <v/>
      </c>
      <c r="B139" s="80">
        <f>'Sessional + End Term Assessment'!B140</f>
        <v/>
      </c>
      <c r="C139" s="80">
        <f>'Sessional + End Term Assessment'!C140</f>
        <v/>
      </c>
      <c r="D139" s="49" t="n"/>
      <c r="E139" s="49" t="n"/>
      <c r="F139" s="79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79" t="n">
        <v>26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79" t="n">
        <v>24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79" t="n">
        <v>63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7">
      <c r="A140" s="47">
        <f>'Sessional + End Term Assessment'!A141</f>
        <v/>
      </c>
      <c r="B140" s="80">
        <f>'Sessional + End Term Assessment'!B141</f>
        <v/>
      </c>
      <c r="C140" s="80">
        <f>'Sessional + End Term Assessment'!C141</f>
        <v/>
      </c>
      <c r="D140" s="49" t="n"/>
      <c r="E140" s="49" t="n"/>
      <c r="F140" s="79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79" t="n">
        <v>28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79" t="n">
        <v>28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79" t="n">
        <v>70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7">
      <c r="A141" s="47">
        <f>'Sessional + End Term Assessment'!A142</f>
        <v/>
      </c>
      <c r="B141" s="80">
        <f>'Sessional + End Term Assessment'!B142</f>
        <v/>
      </c>
      <c r="C141" s="80">
        <f>'Sessional + End Term Assessment'!C142</f>
        <v/>
      </c>
      <c r="D141" s="49" t="n"/>
      <c r="E141" s="49" t="n"/>
      <c r="F141" t="n">
        <v>14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28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28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70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7">
      <c r="A142" s="47">
        <f>'Sessional + End Term Assessment'!A143</f>
        <v/>
      </c>
      <c r="B142" s="80">
        <f>'Sessional + End Term Assessment'!B143</f>
        <v/>
      </c>
      <c r="C142" s="80">
        <f>'Sessional + End Term Assessment'!C143</f>
        <v/>
      </c>
      <c r="D142" s="49" t="n"/>
      <c r="E142" s="49" t="n"/>
      <c r="F142" s="79" t="n">
        <v>13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79" t="n">
        <v>23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79" t="n">
        <v>24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79" t="n">
        <v>60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7">
      <c r="A143" s="47">
        <f>'Sessional + End Term Assessment'!A144</f>
        <v/>
      </c>
      <c r="B143" s="80">
        <f>'Sessional + End Term Assessment'!B144</f>
        <v/>
      </c>
      <c r="C143" s="80">
        <f>'Sessional + End Term Assessment'!C144</f>
        <v/>
      </c>
      <c r="D143" s="49" t="n"/>
      <c r="E143" s="49" t="n"/>
      <c r="F143" s="79" t="n">
        <v>11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79" t="n">
        <v>18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79" t="n">
        <v>20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79" t="n">
        <v>49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7">
      <c r="A144" s="47">
        <f>'Sessional + End Term Assessment'!A145</f>
        <v/>
      </c>
      <c r="B144" s="80">
        <f>'Sessional + End Term Assessment'!B145</f>
        <v/>
      </c>
      <c r="C144" s="80">
        <f>'Sessional + End Term Assessment'!C145</f>
        <v/>
      </c>
      <c r="D144" s="49" t="n"/>
      <c r="E144" s="49" t="n"/>
      <c r="F144" s="79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79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79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70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7">
      <c r="A145" s="47">
        <f>'Sessional + End Term Assessment'!A146</f>
        <v/>
      </c>
      <c r="B145" s="80">
        <f>'Sessional + End Term Assessment'!B146</f>
        <v/>
      </c>
      <c r="C145" s="80">
        <f>'Sessional + End Term Assessment'!C146</f>
        <v/>
      </c>
      <c r="D145" s="49" t="n"/>
      <c r="E145" s="49" t="n"/>
      <c r="F145" s="79" t="n">
        <v>13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79" t="n">
        <v>25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79" t="n">
        <v>25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63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7">
      <c r="A146" s="47">
        <f>'Sessional + End Term Assessment'!A147</f>
        <v/>
      </c>
      <c r="B146" s="80">
        <f>'Sessional + End Term Assessment'!B147</f>
        <v/>
      </c>
      <c r="C146" s="80">
        <f>'Sessional + End Term Assessment'!C147</f>
        <v/>
      </c>
      <c r="D146" s="49" t="n"/>
      <c r="E146" s="49" t="n"/>
      <c r="F146" s="79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79" t="n">
        <v>27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79" t="n">
        <v>24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64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7">
      <c r="A147" s="47">
        <f>'Sessional + End Term Assessment'!A148</f>
        <v/>
      </c>
      <c r="B147" s="80">
        <f>'Sessional + End Term Assessment'!B148</f>
        <v/>
      </c>
      <c r="C147" s="80">
        <f>'Sessional + End Term Assessment'!C148</f>
        <v/>
      </c>
      <c r="D147" s="49" t="n"/>
      <c r="E147" s="49" t="n"/>
      <c r="F147" s="79" t="n">
        <v>13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79" t="n">
        <v>25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79" t="n">
        <v>26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64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7">
      <c r="A148" s="47">
        <f>'Sessional + End Term Assessment'!A149</f>
        <v/>
      </c>
      <c r="B148" s="80">
        <f>'Sessional + End Term Assessment'!B149</f>
        <v/>
      </c>
      <c r="C148" s="80">
        <f>'Sessional + End Term Assessment'!C149</f>
        <v/>
      </c>
      <c r="D148" s="49" t="n"/>
      <c r="E148" s="49" t="n"/>
      <c r="F148" s="79" t="n">
        <v>13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79" t="n">
        <v>22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79" t="n">
        <v>25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79" t="n">
        <v>60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7">
      <c r="A149" s="47">
        <f>'Sessional + End Term Assessment'!A150</f>
        <v/>
      </c>
      <c r="B149" s="80">
        <f>'Sessional + End Term Assessment'!B150</f>
        <v/>
      </c>
      <c r="C149" s="80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25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23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79" t="n">
        <v>61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7">
      <c r="A150" s="47">
        <f>'Sessional + End Term Assessment'!A151</f>
        <v/>
      </c>
      <c r="B150" s="80">
        <f>'Sessional + End Term Assessment'!B151</f>
        <v/>
      </c>
      <c r="C150" s="80">
        <f>'Sessional + End Term Assessment'!C151</f>
        <v/>
      </c>
      <c r="D150" s="49" t="n"/>
      <c r="E150" s="49" t="n"/>
      <c r="F150" s="79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79" t="n">
        <v>28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79" t="n">
        <v>28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79" t="n">
        <v>70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7">
      <c r="A151" s="47">
        <f>'Sessional + End Term Assessment'!A152</f>
        <v/>
      </c>
      <c r="B151" s="80">
        <f>'Sessional + End Term Assessment'!B152</f>
        <v/>
      </c>
      <c r="C151" s="80">
        <f>'Sessional + End Term Assessment'!C152</f>
        <v/>
      </c>
      <c r="D151" s="49" t="n"/>
      <c r="E151" s="49" t="n"/>
      <c r="F151" s="79" t="n">
        <v>14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79" t="n">
        <v>27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79" t="n">
        <v>27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79" t="n">
        <v>68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7">
      <c r="A152" s="47">
        <f>'Sessional + End Term Assessment'!A153</f>
        <v/>
      </c>
      <c r="B152" s="80">
        <f>'Sessional + End Term Assessment'!B153</f>
        <v/>
      </c>
      <c r="C152" s="80">
        <f>'Sessional + End Term Assessment'!C153</f>
        <v/>
      </c>
      <c r="D152" s="49" t="n"/>
      <c r="E152" s="49" t="n"/>
      <c r="F152" s="79" t="n">
        <v>14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79" t="n">
        <v>27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79" t="n">
        <v>28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79" t="n">
        <v>69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7">
      <c r="A153" s="47">
        <f>'Sessional + End Term Assessment'!A154</f>
        <v/>
      </c>
      <c r="B153" s="80">
        <f>'Sessional + End Term Assessment'!B154</f>
        <v/>
      </c>
      <c r="C153" s="80">
        <f>'Sessional + End Term Assessment'!C154</f>
        <v/>
      </c>
      <c r="D153" s="49" t="n"/>
      <c r="E153" s="49" t="n"/>
      <c r="F153" t="n">
        <v>14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25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28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79" t="n">
        <v>67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7">
      <c r="A154" s="47">
        <f>'Sessional + End Term Assessment'!A155</f>
        <v/>
      </c>
      <c r="B154" s="80">
        <f>'Sessional + End Term Assessment'!B155</f>
        <v/>
      </c>
      <c r="C154" s="80">
        <f>'Sessional + End Term Assessment'!C155</f>
        <v/>
      </c>
      <c r="D154" s="49" t="n"/>
      <c r="E154" s="49" t="n"/>
      <c r="F154" t="n">
        <v>14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28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28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70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7">
      <c r="A155" s="47">
        <f>'Sessional + End Term Assessment'!A156</f>
        <v/>
      </c>
      <c r="B155" s="80">
        <f>'Sessional + End Term Assessment'!B156</f>
        <v/>
      </c>
      <c r="C155" s="80">
        <f>'Sessional + End Term Assessment'!C156</f>
        <v/>
      </c>
      <c r="D155" s="49" t="n"/>
      <c r="E155" s="49" t="n"/>
      <c r="F155" s="79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79" t="n">
        <v>24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79" t="n">
        <v>24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79" t="n">
        <v>61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7">
      <c r="A156" s="47">
        <f>'Sessional + End Term Assessment'!A157</f>
        <v/>
      </c>
      <c r="B156" s="80">
        <f>'Sessional + End Term Assessment'!B157</f>
        <v/>
      </c>
      <c r="C156" s="80">
        <f>'Sessional + End Term Assessment'!C157</f>
        <v/>
      </c>
      <c r="D156" s="49" t="n"/>
      <c r="E156" s="49" t="n"/>
      <c r="F156" s="79" t="n">
        <v>14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79" t="n">
        <v>27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79" t="n">
        <v>24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65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7">
      <c r="A157" s="47">
        <f>'Sessional + End Term Assessment'!A158</f>
        <v/>
      </c>
      <c r="B157" s="80">
        <f>'Sessional + End Term Assessment'!B158</f>
        <v/>
      </c>
      <c r="C157" s="80">
        <f>'Sessional + End Term Assessment'!C158</f>
        <v/>
      </c>
      <c r="D157" s="49" t="n"/>
      <c r="E157" s="49" t="n"/>
      <c r="F157" s="79" t="n">
        <v>14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79" t="n">
        <v>25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79" t="n">
        <v>26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79" t="n">
        <v>65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7">
      <c r="A158" s="47">
        <f>'Sessional + End Term Assessment'!A159</f>
        <v/>
      </c>
      <c r="B158" s="80">
        <f>'Sessional + End Term Assessment'!B159</f>
        <v/>
      </c>
      <c r="C158" s="80">
        <f>'Sessional + End Term Assessment'!C159</f>
        <v/>
      </c>
      <c r="D158" s="49" t="n"/>
      <c r="E158" s="49" t="n"/>
      <c r="F158" s="79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79" t="n">
        <v>24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79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64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7">
      <c r="A159" s="47">
        <f>'Sessional + End Term Assessment'!A160</f>
        <v/>
      </c>
      <c r="B159" s="80">
        <f>'Sessional + End Term Assessment'!B160</f>
        <v/>
      </c>
      <c r="C159" s="80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26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25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64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7">
      <c r="A160" s="47">
        <f>'Sessional + End Term Assessment'!A161</f>
        <v/>
      </c>
      <c r="B160" s="80">
        <f>'Sessional + End Term Assessment'!B161</f>
        <v/>
      </c>
      <c r="C160" s="80">
        <f>'Sessional + End Term Assessment'!C161</f>
        <v/>
      </c>
      <c r="D160" s="49" t="n"/>
      <c r="E160" s="49" t="n"/>
      <c r="F160" s="79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79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79" t="n">
        <v>28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7">
      <c r="A161" s="47">
        <f>'Sessional + End Term Assessment'!A162</f>
        <v/>
      </c>
      <c r="B161" s="80">
        <f>'Sessional + End Term Assessment'!B162</f>
        <v/>
      </c>
      <c r="C161" s="80">
        <f>'Sessional + End Term Assessment'!C162</f>
        <v/>
      </c>
      <c r="D161" s="49" t="n"/>
      <c r="E161" s="49" t="n"/>
      <c r="F161" s="79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79" t="n">
        <v>25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79" t="n">
        <v>25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79" t="n">
        <v>63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7">
      <c r="A162" s="47">
        <f>'Sessional + End Term Assessment'!A163</f>
        <v/>
      </c>
      <c r="B162" s="80">
        <f>'Sessional + End Term Assessment'!B163</f>
        <v/>
      </c>
      <c r="C162" s="80">
        <f>'Sessional + End Term Assessment'!C163</f>
        <v/>
      </c>
      <c r="D162" s="49" t="n"/>
      <c r="E162" s="49" t="n"/>
      <c r="F162" s="79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79" t="n">
        <v>20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79" t="n">
        <v>20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79" t="n">
        <v>51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7">
      <c r="A163" s="47">
        <f>'Sessional + End Term Assessment'!A164</f>
        <v/>
      </c>
      <c r="B163" s="80">
        <f>'Sessional + End Term Assessment'!B164</f>
        <v/>
      </c>
      <c r="C163" s="80">
        <f>'Sessional + End Term Assessment'!C164</f>
        <v/>
      </c>
      <c r="D163" s="49" t="n"/>
      <c r="E163" s="49" t="n"/>
      <c r="F163" s="79" t="n">
        <v>14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79" t="n">
        <v>28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79" t="n">
        <v>28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70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7">
      <c r="A164" s="47">
        <f>'Sessional + End Term Assessment'!A165</f>
        <v/>
      </c>
      <c r="B164" s="80">
        <f>'Sessional + End Term Assessment'!B165</f>
        <v/>
      </c>
      <c r="C164" s="80">
        <f>'Sessional + End Term Assessment'!C165</f>
        <v/>
      </c>
      <c r="D164" s="49" t="n"/>
      <c r="E164" s="49" t="n"/>
      <c r="F164" s="79" t="n">
        <v>13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79" t="n">
        <v>25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79" t="n">
        <v>24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79" t="n">
        <v>62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7">
      <c r="A165" s="47">
        <f>'Sessional + End Term Assessment'!A166</f>
        <v/>
      </c>
      <c r="B165" s="80">
        <f>'Sessional + End Term Assessment'!B166</f>
        <v/>
      </c>
      <c r="C165" s="80">
        <f>'Sessional + End Term Assessment'!C166</f>
        <v/>
      </c>
      <c r="D165" s="49" t="n"/>
      <c r="E165" s="49" t="n"/>
      <c r="F165" s="79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79" t="n">
        <v>22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79" t="n">
        <v>22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57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7">
      <c r="A166" s="47">
        <f>'Sessional + End Term Assessment'!A167</f>
        <v/>
      </c>
      <c r="B166" s="80">
        <f>'Sessional + End Term Assessment'!B167</f>
        <v/>
      </c>
      <c r="C166" s="80">
        <f>'Sessional + End Term Assessment'!C167</f>
        <v/>
      </c>
      <c r="D166" s="49" t="n"/>
      <c r="E166" s="49" t="n"/>
      <c r="F166" s="79" t="n">
        <v>14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79" t="n">
        <v>27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79" t="n">
        <v>24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79" t="n">
        <v>65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7">
      <c r="A167" s="47">
        <f>'Sessional + End Term Assessment'!A168</f>
        <v/>
      </c>
      <c r="B167" s="80">
        <f>'Sessional + End Term Assessment'!B168</f>
        <v/>
      </c>
      <c r="C167" s="80">
        <f>'Sessional + End Term Assessment'!C168</f>
        <v/>
      </c>
      <c r="D167" s="49" t="n"/>
      <c r="E167" s="49" t="n"/>
      <c r="F167" s="79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79" t="n">
        <v>25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79" t="n">
        <v>25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63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7">
      <c r="A168" s="47">
        <f>'Sessional + End Term Assessment'!A169</f>
        <v/>
      </c>
      <c r="B168" s="80">
        <f>'Sessional + End Term Assessment'!B169</f>
        <v/>
      </c>
      <c r="C168" s="80">
        <f>'Sessional + End Term Assessment'!C169</f>
        <v/>
      </c>
      <c r="D168" s="49" t="n"/>
      <c r="E168" s="49" t="n"/>
      <c r="F168" s="79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79" t="n">
        <v>24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79" t="n">
        <v>26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79" t="n">
        <v>63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7">
      <c r="A169" s="47">
        <f>'Sessional + End Term Assessment'!A170</f>
        <v/>
      </c>
      <c r="B169" s="80">
        <f>'Sessional + End Term Assessment'!B170</f>
        <v/>
      </c>
      <c r="C169" s="80">
        <f>'Sessional + End Term Assessment'!C170</f>
        <v/>
      </c>
      <c r="D169" s="49" t="n"/>
      <c r="E169" s="49" t="n"/>
      <c r="F169" s="79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79" t="n">
        <v>23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79" t="n">
        <v>22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79" t="n">
        <v>58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7">
      <c r="A170" s="47">
        <f>'Sessional + End Term Assessment'!A171</f>
        <v/>
      </c>
      <c r="B170" s="80">
        <f>'Sessional + End Term Assessment'!B171</f>
        <v/>
      </c>
      <c r="C170" s="80">
        <f>'Sessional + End Term Assessment'!C171</f>
        <v/>
      </c>
      <c r="D170" s="49" t="n"/>
      <c r="E170" s="49" t="n"/>
      <c r="F170" s="79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79" t="n">
        <v>27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79" t="n">
        <v>28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69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7">
      <c r="A171" s="47">
        <f>'Sessional + End Term Assessment'!A172</f>
        <v/>
      </c>
      <c r="B171" s="80">
        <f>'Sessional + End Term Assessment'!B172</f>
        <v/>
      </c>
      <c r="C171" s="80">
        <f>'Sessional + End Term Assessment'!C172</f>
        <v/>
      </c>
      <c r="D171" s="49" t="n"/>
      <c r="E171" s="49" t="n"/>
      <c r="F171" s="79" t="n">
        <v>11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79" t="n">
        <v>21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79" t="n">
        <v>18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79" t="n">
        <v>50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7">
      <c r="A172" s="47">
        <f>'Sessional + End Term Assessment'!A173</f>
        <v/>
      </c>
      <c r="B172" s="80">
        <f>'Sessional + End Term Assessment'!B173</f>
        <v/>
      </c>
      <c r="C172" s="80">
        <f>'Sessional + End Term Assessment'!C173</f>
        <v/>
      </c>
      <c r="D172" s="49" t="n"/>
      <c r="E172" s="49" t="n"/>
      <c r="F172" s="79" t="n">
        <v>11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79" t="n">
        <v>20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79" t="n">
        <v>20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51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7">
      <c r="A173" s="47">
        <f>'Sessional + End Term Assessment'!A174</f>
        <v/>
      </c>
      <c r="B173" s="80">
        <f>'Sessional + End Term Assessment'!B174</f>
        <v/>
      </c>
      <c r="C173" s="80">
        <f>'Sessional + End Term Assessment'!C174</f>
        <v/>
      </c>
      <c r="D173" s="49" t="n"/>
      <c r="E173" s="49" t="n"/>
      <c r="F173" s="79" t="n">
        <v>14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79" t="n">
        <v>28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79" t="n">
        <v>28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70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7">
      <c r="A174" s="47">
        <f>'Sessional + End Term Assessment'!A175</f>
        <v/>
      </c>
      <c r="B174" s="80">
        <f>'Sessional + End Term Assessment'!B175</f>
        <v/>
      </c>
      <c r="C174" s="80">
        <f>'Sessional + End Term Assessment'!C175</f>
        <v/>
      </c>
      <c r="D174" s="49" t="n"/>
      <c r="E174" s="49" t="n"/>
      <c r="F174" s="79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79" t="n">
        <v>28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79" t="n">
        <v>28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79" t="n">
        <v>70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7">
      <c r="A175" s="47">
        <f>'Sessional + End Term Assessment'!A176</f>
        <v/>
      </c>
      <c r="B175" s="80">
        <f>'Sessional + End Term Assessment'!B176</f>
        <v/>
      </c>
      <c r="C175" s="80">
        <f>'Sessional + End Term Assessment'!C176</f>
        <v/>
      </c>
      <c r="D175" s="49" t="n"/>
      <c r="E175" s="49" t="n"/>
      <c r="F175" s="79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79" t="n">
        <v>25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79" t="n">
        <v>25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79" t="n">
        <v>63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7">
      <c r="A176" s="47">
        <f>'Sessional + End Term Assessment'!A177</f>
        <v/>
      </c>
      <c r="B176" s="80">
        <f>'Sessional + End Term Assessment'!B177</f>
        <v/>
      </c>
      <c r="C176" s="80">
        <f>'Sessional + End Term Assessment'!C177</f>
        <v/>
      </c>
      <c r="D176" s="49" t="n"/>
      <c r="E176" s="49" t="n"/>
      <c r="F176" s="79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79" t="n">
        <v>26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79" t="n">
        <v>26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66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7">
      <c r="A177" s="47">
        <f>'Sessional + End Term Assessment'!A178</f>
        <v/>
      </c>
      <c r="B177" s="80">
        <f>'Sessional + End Term Assessment'!B178</f>
        <v/>
      </c>
      <c r="C177" s="80">
        <f>'Sessional + End Term Assessment'!C178</f>
        <v/>
      </c>
      <c r="D177" s="49" t="n"/>
      <c r="E177" s="49" t="n"/>
      <c r="F177" s="79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79" t="n">
        <v>25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79" t="n">
        <v>26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64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7">
      <c r="A178" s="47">
        <f>'Sessional + End Term Assessment'!A179</f>
        <v/>
      </c>
      <c r="B178" s="80">
        <f>'Sessional + End Term Assessment'!B179</f>
        <v/>
      </c>
      <c r="C178" s="80">
        <f>'Sessional + End Term Assessment'!C179</f>
        <v/>
      </c>
      <c r="D178" s="49" t="n"/>
      <c r="E178" s="49" t="n"/>
      <c r="F178" s="79" t="n">
        <v>11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79" t="n">
        <v>20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79" t="n">
        <v>22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79" t="n">
        <v>53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7">
      <c r="A179" s="47">
        <f>'Sessional + End Term Assessment'!A180</f>
        <v/>
      </c>
      <c r="B179" s="80">
        <f>'Sessional + End Term Assessment'!B180</f>
        <v/>
      </c>
      <c r="C179" s="80">
        <f>'Sessional + End Term Assessment'!C180</f>
        <v/>
      </c>
      <c r="D179" s="49" t="n"/>
      <c r="E179" s="49" t="n"/>
      <c r="F179" s="79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79" t="n">
        <v>26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79" t="n">
        <v>24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63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7">
      <c r="A180" s="47">
        <f>'Sessional + End Term Assessment'!A181</f>
        <v/>
      </c>
      <c r="B180" s="80">
        <f>'Sessional + End Term Assessment'!B181</f>
        <v/>
      </c>
      <c r="C180" s="80">
        <f>'Sessional + End Term Assessment'!C181</f>
        <v/>
      </c>
      <c r="D180" s="49" t="n"/>
      <c r="E180" s="49" t="n"/>
      <c r="F180" s="79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79" t="n">
        <v>24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79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79" t="n">
        <v>61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7">
      <c r="A181" s="47">
        <f>'Sessional + End Term Assessment'!A182</f>
        <v/>
      </c>
      <c r="B181" s="80">
        <f>'Sessional + End Term Assessment'!B182</f>
        <v/>
      </c>
      <c r="C181" s="80">
        <f>'Sessional + End Term Assessment'!C182</f>
        <v/>
      </c>
      <c r="D181" s="49" t="n"/>
      <c r="E181" s="49" t="n"/>
      <c r="F181" s="79" t="n">
        <v>13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79" t="n">
        <v>24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79" t="n">
        <v>24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61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7">
      <c r="A182" s="47">
        <f>'Sessional + End Term Assessment'!A183</f>
        <v/>
      </c>
      <c r="B182" s="80">
        <f>'Sessional + End Term Assessment'!B183</f>
        <v/>
      </c>
      <c r="C182" s="80">
        <f>'Sessional + End Term Assessment'!C183</f>
        <v/>
      </c>
      <c r="D182" s="49" t="n"/>
      <c r="E182" s="49" t="n"/>
      <c r="F182" s="79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79" t="n">
        <v>25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79" t="n">
        <v>26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79" t="n">
        <v>64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7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7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7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7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7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7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7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7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7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7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7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7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7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7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7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7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7">
      <c r="A201" s="44" t="n"/>
      <c r="B201" s="44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7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7">
      <c r="A203" s="44" t="n"/>
      <c r="B203" s="44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7">
      <c r="A204" s="44" t="n"/>
      <c r="B204" s="44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7">
      <c r="A205" s="44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7">
      <c r="A206" s="44" t="n"/>
      <c r="B206" s="44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7">
      <c r="A207" s="44" t="n"/>
      <c r="B207" s="44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7">
      <c r="A208" s="44" t="n"/>
      <c r="B208" s="44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7">
      <c r="A209" s="44" t="n"/>
      <c r="B209" s="44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7">
      <c r="A210" s="44" t="n"/>
      <c r="B210" s="44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7">
      <c r="A211" s="44" t="n"/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7">
      <c r="A212" s="44" t="n"/>
      <c r="B212" s="44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7">
      <c r="A213" s="44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7">
      <c r="A214" s="44" t="n"/>
      <c r="B214" s="44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7">
      <c r="A215" s="44" t="n"/>
      <c r="B215" s="44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7">
      <c r="A216" s="44" t="n"/>
      <c r="B216" s="44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7">
      <c r="A217" s="44" t="n"/>
      <c r="B217" s="44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7">
      <c r="A218" s="44" t="n"/>
      <c r="B218" s="44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7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7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7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7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7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7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7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7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7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7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</sheetData>
  <mergeCells count="17">
    <mergeCell ref="A3:R3"/>
    <mergeCell ref="O5:O6"/>
    <mergeCell ref="P5:P6"/>
    <mergeCell ref="Q5:Q6"/>
    <mergeCell ref="A4:A6"/>
    <mergeCell ref="R4:R5"/>
    <mergeCell ref="G5:G6"/>
    <mergeCell ref="B4:B6"/>
    <mergeCell ref="H5:H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182 K7:M182 O7:Q182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26"/>
  <sheetViews>
    <sheetView topLeftCell="A168" workbookViewId="0">
      <selection activeCell="A179" sqref="A179:XFD182"/>
    </sheetView>
  </sheetViews>
  <sheetFormatPr baseColWidth="8" defaultColWidth="12.59765625" defaultRowHeight="15" customHeight="1"/>
  <cols>
    <col width="8.69921875" customWidth="1" style="97" min="1" max="1"/>
    <col width="14" customWidth="1" style="97" min="2" max="2"/>
    <col width="26.19921875" customWidth="1" style="97" min="3" max="3"/>
    <col width="10.8984375" customWidth="1" style="97" min="4" max="4"/>
    <col width="11.5" customWidth="1" style="97" min="5" max="5"/>
    <col width="8.69921875" customWidth="1" style="97" min="6" max="25"/>
    <col width="12.69921875" customWidth="1" style="97" min="26" max="26"/>
  </cols>
  <sheetData>
    <row r="1" ht="13.5" customHeight="1" s="97">
      <c r="A1" s="110" t="inlineStr">
        <is>
          <t>Marks and Gap Analysis of Mid-Term 2</t>
        </is>
      </c>
      <c r="B1" s="132" t="n"/>
      <c r="C1" s="132" t="n"/>
      <c r="D1" s="132" t="n"/>
      <c r="E1" s="132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7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7" thickBot="1">
      <c r="A3" s="61">
        <f>'Sessional + End Term Assessment'!A8</f>
        <v/>
      </c>
      <c r="B3" s="80">
        <f>'Sessional + End Term Assessment'!B8</f>
        <v/>
      </c>
      <c r="C3" s="80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7" thickBot="1">
      <c r="A4" s="61">
        <f>'Sessional + End Term Assessment'!A9</f>
        <v/>
      </c>
      <c r="B4" s="80">
        <f>'Sessional + End Term Assessment'!B9</f>
        <v/>
      </c>
      <c r="C4" s="80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7" thickBot="1">
      <c r="A5" s="61">
        <f>'Sessional + End Term Assessment'!A10</f>
        <v/>
      </c>
      <c r="B5" s="80">
        <f>'Sessional + End Term Assessment'!B10</f>
        <v/>
      </c>
      <c r="C5" s="80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7" thickBot="1">
      <c r="A6" s="61">
        <f>'Sessional + End Term Assessment'!A11</f>
        <v/>
      </c>
      <c r="B6" s="80">
        <f>'Sessional + End Term Assessment'!B11</f>
        <v/>
      </c>
      <c r="C6" s="80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7" thickBot="1">
      <c r="A7" s="61">
        <f>'Sessional + End Term Assessment'!A12</f>
        <v/>
      </c>
      <c r="B7" s="80">
        <f>'Sessional + End Term Assessment'!B12</f>
        <v/>
      </c>
      <c r="C7" s="80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7" thickBot="1">
      <c r="A8" s="61">
        <f>'Sessional + End Term Assessment'!A13</f>
        <v/>
      </c>
      <c r="B8" s="80">
        <f>'Sessional + End Term Assessment'!B13</f>
        <v/>
      </c>
      <c r="C8" s="80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7" thickBot="1">
      <c r="A9" s="61">
        <f>'Sessional + End Term Assessment'!A14</f>
        <v/>
      </c>
      <c r="B9" s="80">
        <f>'Sessional + End Term Assessment'!B14</f>
        <v/>
      </c>
      <c r="C9" s="80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7" thickBot="1">
      <c r="A10" s="61">
        <f>'Sessional + End Term Assessment'!A15</f>
        <v/>
      </c>
      <c r="B10" s="80">
        <f>'Sessional + End Term Assessment'!B15</f>
        <v/>
      </c>
      <c r="C10" s="80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7" thickBot="1">
      <c r="A11" s="61">
        <f>'Sessional + End Term Assessment'!A16</f>
        <v/>
      </c>
      <c r="B11" s="80">
        <f>'Sessional + End Term Assessment'!B16</f>
        <v/>
      </c>
      <c r="C11" s="80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7" thickBot="1">
      <c r="A12" s="61">
        <f>'Sessional + End Term Assessment'!A17</f>
        <v/>
      </c>
      <c r="B12" s="80">
        <f>'Sessional + End Term Assessment'!B17</f>
        <v/>
      </c>
      <c r="C12" s="80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7" thickBot="1">
      <c r="A13" s="61">
        <f>'Sessional + End Term Assessment'!A18</f>
        <v/>
      </c>
      <c r="B13" s="80">
        <f>'Sessional + End Term Assessment'!B18</f>
        <v/>
      </c>
      <c r="C13" s="80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7" thickBot="1">
      <c r="A14" s="61">
        <f>'Sessional + End Term Assessment'!A19</f>
        <v/>
      </c>
      <c r="B14" s="80">
        <f>'Sessional + End Term Assessment'!B19</f>
        <v/>
      </c>
      <c r="C14" s="80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7" thickBot="1">
      <c r="A15" s="61">
        <f>'Sessional + End Term Assessment'!A20</f>
        <v/>
      </c>
      <c r="B15" s="80">
        <f>'Sessional + End Term Assessment'!B20</f>
        <v/>
      </c>
      <c r="C15" s="80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7" thickBot="1">
      <c r="A16" s="61">
        <f>'Sessional + End Term Assessment'!A21</f>
        <v/>
      </c>
      <c r="B16" s="80">
        <f>'Sessional + End Term Assessment'!B21</f>
        <v/>
      </c>
      <c r="C16" s="80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7" thickBot="1">
      <c r="A17" s="61">
        <f>'Sessional + End Term Assessment'!A22</f>
        <v/>
      </c>
      <c r="B17" s="80">
        <f>'Sessional + End Term Assessment'!B22</f>
        <v/>
      </c>
      <c r="C17" s="80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7" thickBot="1">
      <c r="A18" s="61">
        <f>'Sessional + End Term Assessment'!A23</f>
        <v/>
      </c>
      <c r="B18" s="80">
        <f>'Sessional + End Term Assessment'!B23</f>
        <v/>
      </c>
      <c r="C18" s="80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7" thickBot="1">
      <c r="A19" s="61">
        <f>'Sessional + End Term Assessment'!A24</f>
        <v/>
      </c>
      <c r="B19" s="80">
        <f>'Sessional + End Term Assessment'!B24</f>
        <v/>
      </c>
      <c r="C19" s="80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7" thickBot="1">
      <c r="A20" s="61">
        <f>'Sessional + End Term Assessment'!A25</f>
        <v/>
      </c>
      <c r="B20" s="80">
        <f>'Sessional + End Term Assessment'!B25</f>
        <v/>
      </c>
      <c r="C20" s="80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7" thickBot="1">
      <c r="A21" s="61">
        <f>'Sessional + End Term Assessment'!A26</f>
        <v/>
      </c>
      <c r="B21" s="80">
        <f>'Sessional + End Term Assessment'!B26</f>
        <v/>
      </c>
      <c r="C21" s="80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7" thickBot="1">
      <c r="A22" s="61">
        <f>'Sessional + End Term Assessment'!A27</f>
        <v/>
      </c>
      <c r="B22" s="80">
        <f>'Sessional + End Term Assessment'!B27</f>
        <v/>
      </c>
      <c r="C22" s="80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7" thickBot="1">
      <c r="A23" s="61">
        <f>'Sessional + End Term Assessment'!A28</f>
        <v/>
      </c>
      <c r="B23" s="80">
        <f>'Sessional + End Term Assessment'!B28</f>
        <v/>
      </c>
      <c r="C23" s="80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7" thickBot="1">
      <c r="A24" s="61">
        <f>'Sessional + End Term Assessment'!A29</f>
        <v/>
      </c>
      <c r="B24" s="80">
        <f>'Sessional + End Term Assessment'!B29</f>
        <v/>
      </c>
      <c r="C24" s="80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7" thickBot="1">
      <c r="A25" s="61">
        <f>'Sessional + End Term Assessment'!A30</f>
        <v/>
      </c>
      <c r="B25" s="80">
        <f>'Sessional + End Term Assessment'!B30</f>
        <v/>
      </c>
      <c r="C25" s="80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7" thickBot="1">
      <c r="A26" s="61">
        <f>'Sessional + End Term Assessment'!A31</f>
        <v/>
      </c>
      <c r="B26" s="80">
        <f>'Sessional + End Term Assessment'!B31</f>
        <v/>
      </c>
      <c r="C26" s="80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7" thickBot="1">
      <c r="A27" s="61">
        <f>'Sessional + End Term Assessment'!A32</f>
        <v/>
      </c>
      <c r="B27" s="80">
        <f>'Sessional + End Term Assessment'!B32</f>
        <v/>
      </c>
      <c r="C27" s="80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7" thickBot="1">
      <c r="A28" s="61">
        <f>'Sessional + End Term Assessment'!A33</f>
        <v/>
      </c>
      <c r="B28" s="80">
        <f>'Sessional + End Term Assessment'!B33</f>
        <v/>
      </c>
      <c r="C28" s="80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7" thickBot="1">
      <c r="A29" s="61">
        <f>'Sessional + End Term Assessment'!A34</f>
        <v/>
      </c>
      <c r="B29" s="80">
        <f>'Sessional + End Term Assessment'!B34</f>
        <v/>
      </c>
      <c r="C29" s="80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7" thickBot="1">
      <c r="A30" s="61">
        <f>'Sessional + End Term Assessment'!A35</f>
        <v/>
      </c>
      <c r="B30" s="80">
        <f>'Sessional + End Term Assessment'!B35</f>
        <v/>
      </c>
      <c r="C30" s="80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7" thickBot="1">
      <c r="A31" s="61">
        <f>'Sessional + End Term Assessment'!A36</f>
        <v/>
      </c>
      <c r="B31" s="80">
        <f>'Sessional + End Term Assessment'!B36</f>
        <v/>
      </c>
      <c r="C31" s="80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7" thickBot="1">
      <c r="A32" s="61">
        <f>'Sessional + End Term Assessment'!A37</f>
        <v/>
      </c>
      <c r="B32" s="80">
        <f>'Sessional + End Term Assessment'!B37</f>
        <v/>
      </c>
      <c r="C32" s="80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7" thickBot="1">
      <c r="A33" s="61">
        <f>'Sessional + End Term Assessment'!A38</f>
        <v/>
      </c>
      <c r="B33" s="80">
        <f>'Sessional + End Term Assessment'!B38</f>
        <v/>
      </c>
      <c r="C33" s="80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7" thickBot="1">
      <c r="A34" s="61">
        <f>'Sessional + End Term Assessment'!A39</f>
        <v/>
      </c>
      <c r="B34" s="80">
        <f>'Sessional + End Term Assessment'!B39</f>
        <v/>
      </c>
      <c r="C34" s="80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7" thickBot="1">
      <c r="A35" s="61">
        <f>'Sessional + End Term Assessment'!A40</f>
        <v/>
      </c>
      <c r="B35" s="80">
        <f>'Sessional + End Term Assessment'!B40</f>
        <v/>
      </c>
      <c r="C35" s="80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7" thickBot="1">
      <c r="A36" s="61">
        <f>'Sessional + End Term Assessment'!A41</f>
        <v/>
      </c>
      <c r="B36" s="80">
        <f>'Sessional + End Term Assessment'!B41</f>
        <v/>
      </c>
      <c r="C36" s="80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7" thickBot="1">
      <c r="A37" s="61">
        <f>'Sessional + End Term Assessment'!A42</f>
        <v/>
      </c>
      <c r="B37" s="80">
        <f>'Sessional + End Term Assessment'!B42</f>
        <v/>
      </c>
      <c r="C37" s="80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7" thickBot="1">
      <c r="A38" s="61">
        <f>'Sessional + End Term Assessment'!A43</f>
        <v/>
      </c>
      <c r="B38" s="80">
        <f>'Sessional + End Term Assessment'!B43</f>
        <v/>
      </c>
      <c r="C38" s="80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7" thickBot="1">
      <c r="A39" s="61">
        <f>'Sessional + End Term Assessment'!A44</f>
        <v/>
      </c>
      <c r="B39" s="80">
        <f>'Sessional + End Term Assessment'!B44</f>
        <v/>
      </c>
      <c r="C39" s="80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7" thickBot="1">
      <c r="A40" s="61">
        <f>'Sessional + End Term Assessment'!A45</f>
        <v/>
      </c>
      <c r="B40" s="80">
        <f>'Sessional + End Term Assessment'!B45</f>
        <v/>
      </c>
      <c r="C40" s="80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7" thickBot="1">
      <c r="A41" s="61">
        <f>'Sessional + End Term Assessment'!A46</f>
        <v/>
      </c>
      <c r="B41" s="80">
        <f>'Sessional + End Term Assessment'!B46</f>
        <v/>
      </c>
      <c r="C41" s="80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7" thickBot="1">
      <c r="A42" s="61">
        <f>'Sessional + End Term Assessment'!A47</f>
        <v/>
      </c>
      <c r="B42" s="80">
        <f>'Sessional + End Term Assessment'!B47</f>
        <v/>
      </c>
      <c r="C42" s="80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7" thickBot="1">
      <c r="A43" s="61">
        <f>'Sessional + End Term Assessment'!A48</f>
        <v/>
      </c>
      <c r="B43" s="80">
        <f>'Sessional + End Term Assessment'!B48</f>
        <v/>
      </c>
      <c r="C43" s="80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7" thickBot="1">
      <c r="A44" s="61">
        <f>'Sessional + End Term Assessment'!A49</f>
        <v/>
      </c>
      <c r="B44" s="80">
        <f>'Sessional + End Term Assessment'!B49</f>
        <v/>
      </c>
      <c r="C44" s="80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7" thickBot="1">
      <c r="A45" s="61">
        <f>'Sessional + End Term Assessment'!A50</f>
        <v/>
      </c>
      <c r="B45" s="80">
        <f>'Sessional + End Term Assessment'!B50</f>
        <v/>
      </c>
      <c r="C45" s="80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7" thickBot="1">
      <c r="A46" s="61">
        <f>'Sessional + End Term Assessment'!A51</f>
        <v/>
      </c>
      <c r="B46" s="80">
        <f>'Sessional + End Term Assessment'!B51</f>
        <v/>
      </c>
      <c r="C46" s="80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7" thickBot="1">
      <c r="A47" s="61">
        <f>'Sessional + End Term Assessment'!A52</f>
        <v/>
      </c>
      <c r="B47" s="80">
        <f>'Sessional + End Term Assessment'!B52</f>
        <v/>
      </c>
      <c r="C47" s="80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7" thickBot="1">
      <c r="A48" s="61">
        <f>'Sessional + End Term Assessment'!A53</f>
        <v/>
      </c>
      <c r="B48" s="80">
        <f>'Sessional + End Term Assessment'!B53</f>
        <v/>
      </c>
      <c r="C48" s="80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7" thickBot="1">
      <c r="A49" s="61">
        <f>'Sessional + End Term Assessment'!A54</f>
        <v/>
      </c>
      <c r="B49" s="80">
        <f>'Sessional + End Term Assessment'!B54</f>
        <v/>
      </c>
      <c r="C49" s="80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7" thickBot="1">
      <c r="A50" s="61">
        <f>'Sessional + End Term Assessment'!A55</f>
        <v/>
      </c>
      <c r="B50" s="80">
        <f>'Sessional + End Term Assessment'!B55</f>
        <v/>
      </c>
      <c r="C50" s="80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7" thickBot="1">
      <c r="A51" s="61">
        <f>'Sessional + End Term Assessment'!A56</f>
        <v/>
      </c>
      <c r="B51" s="80">
        <f>'Sessional + End Term Assessment'!B56</f>
        <v/>
      </c>
      <c r="C51" s="80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7" thickBot="1">
      <c r="A52" s="61">
        <f>'Sessional + End Term Assessment'!A57</f>
        <v/>
      </c>
      <c r="B52" s="80">
        <f>'Sessional + End Term Assessment'!B57</f>
        <v/>
      </c>
      <c r="C52" s="80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7" thickBot="1">
      <c r="A53" s="61">
        <f>'Sessional + End Term Assessment'!A58</f>
        <v/>
      </c>
      <c r="B53" s="80">
        <f>'Sessional + End Term Assessment'!B58</f>
        <v/>
      </c>
      <c r="C53" s="80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7" thickBot="1">
      <c r="A54" s="61">
        <f>'Sessional + End Term Assessment'!A59</f>
        <v/>
      </c>
      <c r="B54" s="80">
        <f>'Sessional + End Term Assessment'!B59</f>
        <v/>
      </c>
      <c r="C54" s="80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7" thickBot="1">
      <c r="A55" s="61">
        <f>'Sessional + End Term Assessment'!A60</f>
        <v/>
      </c>
      <c r="B55" s="80">
        <f>'Sessional + End Term Assessment'!B60</f>
        <v/>
      </c>
      <c r="C55" s="80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7" thickBot="1">
      <c r="A56" s="61">
        <f>'Sessional + End Term Assessment'!A61</f>
        <v/>
      </c>
      <c r="B56" s="80">
        <f>'Sessional + End Term Assessment'!B61</f>
        <v/>
      </c>
      <c r="C56" s="80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7" thickBot="1">
      <c r="A57" s="61">
        <f>'Sessional + End Term Assessment'!A62</f>
        <v/>
      </c>
      <c r="B57" s="80">
        <f>'Sessional + End Term Assessment'!B62</f>
        <v/>
      </c>
      <c r="C57" s="80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7" thickBot="1">
      <c r="A58" s="61">
        <f>'Sessional + End Term Assessment'!A63</f>
        <v/>
      </c>
      <c r="B58" s="80">
        <f>'Sessional + End Term Assessment'!B63</f>
        <v/>
      </c>
      <c r="C58" s="80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7" thickBot="1">
      <c r="A59" s="61">
        <f>'Sessional + End Term Assessment'!A64</f>
        <v/>
      </c>
      <c r="B59" s="80">
        <f>'Sessional + End Term Assessment'!B64</f>
        <v/>
      </c>
      <c r="C59" s="80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7" thickBot="1">
      <c r="A60" s="61">
        <f>'Sessional + End Term Assessment'!A65</f>
        <v/>
      </c>
      <c r="B60" s="80">
        <f>'Sessional + End Term Assessment'!B65</f>
        <v/>
      </c>
      <c r="C60" s="80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7" thickBot="1">
      <c r="A61" s="61">
        <f>'Sessional + End Term Assessment'!A66</f>
        <v/>
      </c>
      <c r="B61" s="80">
        <f>'Sessional + End Term Assessment'!B66</f>
        <v/>
      </c>
      <c r="C61" s="80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7" thickBot="1">
      <c r="A62" s="61">
        <f>'Sessional + End Term Assessment'!A67</f>
        <v/>
      </c>
      <c r="B62" s="80">
        <f>'Sessional + End Term Assessment'!B67</f>
        <v/>
      </c>
      <c r="C62" s="80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7" thickBot="1">
      <c r="A63" s="61">
        <f>'Sessional + End Term Assessment'!A68</f>
        <v/>
      </c>
      <c r="B63" s="80">
        <f>'Sessional + End Term Assessment'!B68</f>
        <v/>
      </c>
      <c r="C63" s="80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7" thickBot="1">
      <c r="A64" s="61">
        <f>'Sessional + End Term Assessment'!A69</f>
        <v/>
      </c>
      <c r="B64" s="80">
        <f>'Sessional + End Term Assessment'!B69</f>
        <v/>
      </c>
      <c r="C64" s="80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7" thickBot="1">
      <c r="A65" s="61">
        <f>'Sessional + End Term Assessment'!A70</f>
        <v/>
      </c>
      <c r="B65" s="80">
        <f>'Sessional + End Term Assessment'!B70</f>
        <v/>
      </c>
      <c r="C65" s="80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7" thickBot="1">
      <c r="A66" s="61">
        <f>'Sessional + End Term Assessment'!A71</f>
        <v/>
      </c>
      <c r="B66" s="80">
        <f>'Sessional + End Term Assessment'!B71</f>
        <v/>
      </c>
      <c r="C66" s="80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7" thickBot="1">
      <c r="A67" s="61">
        <f>'Sessional + End Term Assessment'!A72</f>
        <v/>
      </c>
      <c r="B67" s="80">
        <f>'Sessional + End Term Assessment'!B72</f>
        <v/>
      </c>
      <c r="C67" s="80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7" thickBot="1">
      <c r="A68" s="61">
        <f>'Sessional + End Term Assessment'!A73</f>
        <v/>
      </c>
      <c r="B68" s="80">
        <f>'Sessional + End Term Assessment'!B73</f>
        <v/>
      </c>
      <c r="C68" s="80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7" thickBot="1">
      <c r="A69" s="61">
        <f>'Sessional + End Term Assessment'!A74</f>
        <v/>
      </c>
      <c r="B69" s="80">
        <f>'Sessional + End Term Assessment'!B74</f>
        <v/>
      </c>
      <c r="C69" s="80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7" thickBot="1">
      <c r="A70" s="61">
        <f>'Sessional + End Term Assessment'!A75</f>
        <v/>
      </c>
      <c r="B70" s="80">
        <f>'Sessional + End Term Assessment'!B75</f>
        <v/>
      </c>
      <c r="C70" s="80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7" thickBot="1">
      <c r="A71" s="61">
        <f>'Sessional + End Term Assessment'!A76</f>
        <v/>
      </c>
      <c r="B71" s="80">
        <f>'Sessional + End Term Assessment'!B76</f>
        <v/>
      </c>
      <c r="C71" s="80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7" thickBot="1">
      <c r="A72" s="61">
        <f>'Sessional + End Term Assessment'!A77</f>
        <v/>
      </c>
      <c r="B72" s="80">
        <f>'Sessional + End Term Assessment'!B77</f>
        <v/>
      </c>
      <c r="C72" s="80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7" thickBot="1">
      <c r="A73" s="61">
        <f>'Sessional + End Term Assessment'!A78</f>
        <v/>
      </c>
      <c r="B73" s="80">
        <f>'Sessional + End Term Assessment'!B78</f>
        <v/>
      </c>
      <c r="C73" s="80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7" thickBot="1">
      <c r="A74" s="61">
        <f>'Sessional + End Term Assessment'!A79</f>
        <v/>
      </c>
      <c r="B74" s="80">
        <f>'Sessional + End Term Assessment'!B79</f>
        <v/>
      </c>
      <c r="C74" s="80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7" thickBot="1">
      <c r="A75" s="61">
        <f>'Sessional + End Term Assessment'!A80</f>
        <v/>
      </c>
      <c r="B75" s="80">
        <f>'Sessional + End Term Assessment'!B80</f>
        <v/>
      </c>
      <c r="C75" s="80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7" thickBot="1">
      <c r="A76" s="61">
        <f>'Sessional + End Term Assessment'!A81</f>
        <v/>
      </c>
      <c r="B76" s="80">
        <f>'Sessional + End Term Assessment'!B81</f>
        <v/>
      </c>
      <c r="C76" s="80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7" thickBot="1">
      <c r="A77" s="61">
        <f>'Sessional + End Term Assessment'!A82</f>
        <v/>
      </c>
      <c r="B77" s="80">
        <f>'Sessional + End Term Assessment'!B82</f>
        <v/>
      </c>
      <c r="C77" s="80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7" thickBot="1">
      <c r="A78" s="61">
        <f>'Sessional + End Term Assessment'!A83</f>
        <v/>
      </c>
      <c r="B78" s="80">
        <f>'Sessional + End Term Assessment'!B83</f>
        <v/>
      </c>
      <c r="C78" s="80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7" thickBot="1">
      <c r="A79" s="61">
        <f>'Sessional + End Term Assessment'!A84</f>
        <v/>
      </c>
      <c r="B79" s="80">
        <f>'Sessional + End Term Assessment'!B84</f>
        <v/>
      </c>
      <c r="C79" s="80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7" thickBot="1">
      <c r="A80" s="61">
        <f>'Sessional + End Term Assessment'!A85</f>
        <v/>
      </c>
      <c r="B80" s="80">
        <f>'Sessional + End Term Assessment'!B85</f>
        <v/>
      </c>
      <c r="C80" s="80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7" thickBot="1">
      <c r="A81" s="61">
        <f>'Sessional + End Term Assessment'!A86</f>
        <v/>
      </c>
      <c r="B81" s="80">
        <f>'Sessional + End Term Assessment'!B86</f>
        <v/>
      </c>
      <c r="C81" s="80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7" thickBot="1">
      <c r="A82" s="61">
        <f>'Sessional + End Term Assessment'!A87</f>
        <v/>
      </c>
      <c r="B82" s="80">
        <f>'Sessional + End Term Assessment'!B87</f>
        <v/>
      </c>
      <c r="C82" s="80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7" thickBot="1">
      <c r="A83" s="61">
        <f>'Sessional + End Term Assessment'!A88</f>
        <v/>
      </c>
      <c r="B83" s="80">
        <f>'Sessional + End Term Assessment'!B88</f>
        <v/>
      </c>
      <c r="C83" s="80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7" thickBot="1">
      <c r="A84" s="61">
        <f>'Sessional + End Term Assessment'!A89</f>
        <v/>
      </c>
      <c r="B84" s="80">
        <f>'Sessional + End Term Assessment'!B89</f>
        <v/>
      </c>
      <c r="C84" s="80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7" thickBot="1">
      <c r="A85" s="61">
        <f>'Sessional + End Term Assessment'!A90</f>
        <v/>
      </c>
      <c r="B85" s="80">
        <f>'Sessional + End Term Assessment'!B90</f>
        <v/>
      </c>
      <c r="C85" s="80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7" thickBot="1">
      <c r="A86" s="61">
        <f>'Sessional + End Term Assessment'!A91</f>
        <v/>
      </c>
      <c r="B86" s="80">
        <f>'Sessional + End Term Assessment'!B91</f>
        <v/>
      </c>
      <c r="C86" s="80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7" thickBot="1">
      <c r="A87" s="61">
        <f>'Sessional + End Term Assessment'!A92</f>
        <v/>
      </c>
      <c r="B87" s="80">
        <f>'Sessional + End Term Assessment'!B92</f>
        <v/>
      </c>
      <c r="C87" s="80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7" thickBot="1">
      <c r="A88" s="61">
        <f>'Sessional + End Term Assessment'!A93</f>
        <v/>
      </c>
      <c r="B88" s="80">
        <f>'Sessional + End Term Assessment'!B93</f>
        <v/>
      </c>
      <c r="C88" s="80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7" thickBot="1">
      <c r="A89" s="61">
        <f>'Sessional + End Term Assessment'!A94</f>
        <v/>
      </c>
      <c r="B89" s="80">
        <f>'Sessional + End Term Assessment'!B94</f>
        <v/>
      </c>
      <c r="C89" s="80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7" thickBot="1">
      <c r="A90" s="61">
        <f>'Sessional + End Term Assessment'!A95</f>
        <v/>
      </c>
      <c r="B90" s="80">
        <f>'Sessional + End Term Assessment'!B95</f>
        <v/>
      </c>
      <c r="C90" s="80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7" thickBot="1">
      <c r="A91" s="61">
        <f>'Sessional + End Term Assessment'!A96</f>
        <v/>
      </c>
      <c r="B91" s="80">
        <f>'Sessional + End Term Assessment'!B96</f>
        <v/>
      </c>
      <c r="C91" s="80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7" thickBot="1">
      <c r="A92" s="61">
        <f>'Sessional + End Term Assessment'!A97</f>
        <v/>
      </c>
      <c r="B92" s="80">
        <f>'Sessional + End Term Assessment'!B97</f>
        <v/>
      </c>
      <c r="C92" s="80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7" thickBot="1">
      <c r="A93" s="61">
        <f>'Sessional + End Term Assessment'!A98</f>
        <v/>
      </c>
      <c r="B93" s="80">
        <f>'Sessional + End Term Assessment'!B98</f>
        <v/>
      </c>
      <c r="C93" s="80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7" thickBot="1">
      <c r="A94" s="61">
        <f>'Sessional + End Term Assessment'!A99</f>
        <v/>
      </c>
      <c r="B94" s="80">
        <f>'Sessional + End Term Assessment'!B99</f>
        <v/>
      </c>
      <c r="C94" s="80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7" thickBot="1">
      <c r="A95" s="61">
        <f>'Sessional + End Term Assessment'!A100</f>
        <v/>
      </c>
      <c r="B95" s="80">
        <f>'Sessional + End Term Assessment'!B100</f>
        <v/>
      </c>
      <c r="C95" s="80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7" thickBot="1">
      <c r="A96" s="61">
        <f>'Sessional + End Term Assessment'!A101</f>
        <v/>
      </c>
      <c r="B96" s="80">
        <f>'Sessional + End Term Assessment'!B101</f>
        <v/>
      </c>
      <c r="C96" s="80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7" thickBot="1">
      <c r="A97" s="61">
        <f>'Sessional + End Term Assessment'!A102</f>
        <v/>
      </c>
      <c r="B97" s="80">
        <f>'Sessional + End Term Assessment'!B102</f>
        <v/>
      </c>
      <c r="C97" s="80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7" thickBot="1">
      <c r="A98" s="61">
        <f>'Sessional + End Term Assessment'!A103</f>
        <v/>
      </c>
      <c r="B98" s="80">
        <f>'Sessional + End Term Assessment'!B103</f>
        <v/>
      </c>
      <c r="C98" s="80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7" thickBot="1">
      <c r="A99" s="61">
        <f>'Sessional + End Term Assessment'!A104</f>
        <v/>
      </c>
      <c r="B99" s="80">
        <f>'Sessional + End Term Assessment'!B104</f>
        <v/>
      </c>
      <c r="C99" s="80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7" thickBot="1">
      <c r="A100" s="61">
        <f>'Sessional + End Term Assessment'!A105</f>
        <v/>
      </c>
      <c r="B100" s="80">
        <f>'Sessional + End Term Assessment'!B105</f>
        <v/>
      </c>
      <c r="C100" s="80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7" thickBot="1">
      <c r="A101" s="61">
        <f>'Sessional + End Term Assessment'!A106</f>
        <v/>
      </c>
      <c r="B101" s="80">
        <f>'Sessional + End Term Assessment'!B106</f>
        <v/>
      </c>
      <c r="C101" s="80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7" thickBot="1">
      <c r="A102" s="61">
        <f>'Sessional + End Term Assessment'!A107</f>
        <v/>
      </c>
      <c r="B102" s="80">
        <f>'Sessional + End Term Assessment'!B107</f>
        <v/>
      </c>
      <c r="C102" s="80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7" thickBot="1">
      <c r="A103" s="61">
        <f>'Sessional + End Term Assessment'!A108</f>
        <v/>
      </c>
      <c r="B103" s="80">
        <f>'Sessional + End Term Assessment'!B108</f>
        <v/>
      </c>
      <c r="C103" s="80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7" thickBot="1">
      <c r="A104" s="61">
        <f>'Sessional + End Term Assessment'!A109</f>
        <v/>
      </c>
      <c r="B104" s="80">
        <f>'Sessional + End Term Assessment'!B109</f>
        <v/>
      </c>
      <c r="C104" s="80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7" thickBot="1">
      <c r="A105" s="61">
        <f>'Sessional + End Term Assessment'!A110</f>
        <v/>
      </c>
      <c r="B105" s="80">
        <f>'Sessional + End Term Assessment'!B110</f>
        <v/>
      </c>
      <c r="C105" s="80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7" thickBot="1">
      <c r="A106" s="61">
        <f>'Sessional + End Term Assessment'!A111</f>
        <v/>
      </c>
      <c r="B106" s="80">
        <f>'Sessional + End Term Assessment'!B111</f>
        <v/>
      </c>
      <c r="C106" s="80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7" thickBot="1">
      <c r="A107" s="61">
        <f>'Sessional + End Term Assessment'!A112</f>
        <v/>
      </c>
      <c r="B107" s="80">
        <f>'Sessional + End Term Assessment'!B112</f>
        <v/>
      </c>
      <c r="C107" s="80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7" thickBot="1">
      <c r="A108" s="61">
        <f>'Sessional + End Term Assessment'!A113</f>
        <v/>
      </c>
      <c r="B108" s="80">
        <f>'Sessional + End Term Assessment'!B113</f>
        <v/>
      </c>
      <c r="C108" s="80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7" thickBot="1">
      <c r="A109" s="61">
        <f>'Sessional + End Term Assessment'!A114</f>
        <v/>
      </c>
      <c r="B109" s="80">
        <f>'Sessional + End Term Assessment'!B114</f>
        <v/>
      </c>
      <c r="C109" s="80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7" thickBot="1">
      <c r="A110" s="61">
        <f>'Sessional + End Term Assessment'!A115</f>
        <v/>
      </c>
      <c r="B110" s="80">
        <f>'Sessional + End Term Assessment'!B115</f>
        <v/>
      </c>
      <c r="C110" s="80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7" thickBot="1">
      <c r="A111" s="61">
        <f>'Sessional + End Term Assessment'!A116</f>
        <v/>
      </c>
      <c r="B111" s="80">
        <f>'Sessional + End Term Assessment'!B116</f>
        <v/>
      </c>
      <c r="C111" s="80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7" thickBot="1">
      <c r="A112" s="61">
        <f>'Sessional + End Term Assessment'!A117</f>
        <v/>
      </c>
      <c r="B112" s="80">
        <f>'Sessional + End Term Assessment'!B117</f>
        <v/>
      </c>
      <c r="C112" s="80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7" thickBot="1">
      <c r="A113" s="61">
        <f>'Sessional + End Term Assessment'!A118</f>
        <v/>
      </c>
      <c r="B113" s="80">
        <f>'Sessional + End Term Assessment'!B118</f>
        <v/>
      </c>
      <c r="C113" s="80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7" thickBot="1">
      <c r="A114" s="61">
        <f>'Sessional + End Term Assessment'!A119</f>
        <v/>
      </c>
      <c r="B114" s="80">
        <f>'Sessional + End Term Assessment'!B119</f>
        <v/>
      </c>
      <c r="C114" s="80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7" thickBot="1">
      <c r="A115" s="61">
        <f>'Sessional + End Term Assessment'!A120</f>
        <v/>
      </c>
      <c r="B115" s="80">
        <f>'Sessional + End Term Assessment'!B120</f>
        <v/>
      </c>
      <c r="C115" s="80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7" thickBot="1">
      <c r="A116" s="61">
        <f>'Sessional + End Term Assessment'!A121</f>
        <v/>
      </c>
      <c r="B116" s="80">
        <f>'Sessional + End Term Assessment'!B121</f>
        <v/>
      </c>
      <c r="C116" s="80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7" thickBot="1">
      <c r="A117" s="61">
        <f>'Sessional + End Term Assessment'!A122</f>
        <v/>
      </c>
      <c r="B117" s="80">
        <f>'Sessional + End Term Assessment'!B122</f>
        <v/>
      </c>
      <c r="C117" s="80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7" thickBot="1">
      <c r="A118" s="61">
        <f>'Sessional + End Term Assessment'!A123</f>
        <v/>
      </c>
      <c r="B118" s="80">
        <f>'Sessional + End Term Assessment'!B123</f>
        <v/>
      </c>
      <c r="C118" s="80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7" thickBot="1">
      <c r="A119" s="61">
        <f>'Sessional + End Term Assessment'!A124</f>
        <v/>
      </c>
      <c r="B119" s="80">
        <f>'Sessional + End Term Assessment'!B124</f>
        <v/>
      </c>
      <c r="C119" s="80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7" thickBot="1">
      <c r="A120" s="61">
        <f>'Sessional + End Term Assessment'!A125</f>
        <v/>
      </c>
      <c r="B120" s="80">
        <f>'Sessional + End Term Assessment'!B125</f>
        <v/>
      </c>
      <c r="C120" s="80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7" thickBot="1">
      <c r="A121" s="61">
        <f>'Sessional + End Term Assessment'!A126</f>
        <v/>
      </c>
      <c r="B121" s="80">
        <f>'Sessional + End Term Assessment'!B126</f>
        <v/>
      </c>
      <c r="C121" s="80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7" thickBot="1">
      <c r="A122" s="61">
        <f>'Sessional + End Term Assessment'!A127</f>
        <v/>
      </c>
      <c r="B122" s="80">
        <f>'Sessional + End Term Assessment'!B127</f>
        <v/>
      </c>
      <c r="C122" s="80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7" thickBot="1">
      <c r="A123" s="61">
        <f>'Sessional + End Term Assessment'!A128</f>
        <v/>
      </c>
      <c r="B123" s="80">
        <f>'Sessional + End Term Assessment'!B128</f>
        <v/>
      </c>
      <c r="C123" s="80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7" thickBot="1">
      <c r="A124" s="61">
        <f>'Sessional + End Term Assessment'!A129</f>
        <v/>
      </c>
      <c r="B124" s="80">
        <f>'Sessional + End Term Assessment'!B129</f>
        <v/>
      </c>
      <c r="C124" s="80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7" thickBot="1">
      <c r="A125" s="61">
        <f>'Sessional + End Term Assessment'!A130</f>
        <v/>
      </c>
      <c r="B125" s="80">
        <f>'Sessional + End Term Assessment'!B130</f>
        <v/>
      </c>
      <c r="C125" s="80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7" thickBot="1">
      <c r="A126" s="61">
        <f>'Sessional + End Term Assessment'!A131</f>
        <v/>
      </c>
      <c r="B126" s="80">
        <f>'Sessional + End Term Assessment'!B131</f>
        <v/>
      </c>
      <c r="C126" s="80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7" thickBot="1">
      <c r="A127" s="61">
        <f>'Sessional + End Term Assessment'!A132</f>
        <v/>
      </c>
      <c r="B127" s="80">
        <f>'Sessional + End Term Assessment'!B132</f>
        <v/>
      </c>
      <c r="C127" s="80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7" thickBot="1">
      <c r="A128" s="61">
        <f>'Sessional + End Term Assessment'!A133</f>
        <v/>
      </c>
      <c r="B128" s="80">
        <f>'Sessional + End Term Assessment'!B133</f>
        <v/>
      </c>
      <c r="C128" s="80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7" thickBot="1">
      <c r="A129" s="61">
        <f>'Sessional + End Term Assessment'!A134</f>
        <v/>
      </c>
      <c r="B129" s="80">
        <f>'Sessional + End Term Assessment'!B134</f>
        <v/>
      </c>
      <c r="C129" s="80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7" thickBot="1">
      <c r="A130" s="61">
        <f>'Sessional + End Term Assessment'!A135</f>
        <v/>
      </c>
      <c r="B130" s="80">
        <f>'Sessional + End Term Assessment'!B135</f>
        <v/>
      </c>
      <c r="C130" s="80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7" thickBot="1">
      <c r="A131" s="61">
        <f>'Sessional + End Term Assessment'!A136</f>
        <v/>
      </c>
      <c r="B131" s="80">
        <f>'Sessional + End Term Assessment'!B136</f>
        <v/>
      </c>
      <c r="C131" s="80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7" thickBot="1">
      <c r="A132" s="61">
        <f>'Sessional + End Term Assessment'!A137</f>
        <v/>
      </c>
      <c r="B132" s="80">
        <f>'Sessional + End Term Assessment'!B137</f>
        <v/>
      </c>
      <c r="C132" s="80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7" thickBot="1">
      <c r="A133" s="61">
        <f>'Sessional + End Term Assessment'!A138</f>
        <v/>
      </c>
      <c r="B133" s="80">
        <f>'Sessional + End Term Assessment'!B138</f>
        <v/>
      </c>
      <c r="C133" s="80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7" thickBot="1">
      <c r="A134" s="61">
        <f>'Sessional + End Term Assessment'!A139</f>
        <v/>
      </c>
      <c r="B134" s="80">
        <f>'Sessional + End Term Assessment'!B139</f>
        <v/>
      </c>
      <c r="C134" s="80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7" thickBot="1">
      <c r="A135" s="61">
        <f>'Sessional + End Term Assessment'!A140</f>
        <v/>
      </c>
      <c r="B135" s="80">
        <f>'Sessional + End Term Assessment'!B140</f>
        <v/>
      </c>
      <c r="C135" s="80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7" thickBot="1">
      <c r="A136" s="61">
        <f>'Sessional + End Term Assessment'!A141</f>
        <v/>
      </c>
      <c r="B136" s="80">
        <f>'Sessional + End Term Assessment'!B141</f>
        <v/>
      </c>
      <c r="C136" s="80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7" thickBot="1">
      <c r="A137" s="61">
        <f>'Sessional + End Term Assessment'!A142</f>
        <v/>
      </c>
      <c r="B137" s="80">
        <f>'Sessional + End Term Assessment'!B142</f>
        <v/>
      </c>
      <c r="C137" s="80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7" thickBot="1">
      <c r="A138" s="61">
        <f>'Sessional + End Term Assessment'!A143</f>
        <v/>
      </c>
      <c r="B138" s="80">
        <f>'Sessional + End Term Assessment'!B143</f>
        <v/>
      </c>
      <c r="C138" s="80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7" thickBot="1">
      <c r="A139" s="61">
        <f>'Sessional + End Term Assessment'!A144</f>
        <v/>
      </c>
      <c r="B139" s="80">
        <f>'Sessional + End Term Assessment'!B144</f>
        <v/>
      </c>
      <c r="C139" s="80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7" thickBot="1">
      <c r="A140" s="61">
        <f>'Sessional + End Term Assessment'!A145</f>
        <v/>
      </c>
      <c r="B140" s="80">
        <f>'Sessional + End Term Assessment'!B145</f>
        <v/>
      </c>
      <c r="C140" s="80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7" thickBot="1">
      <c r="A141" s="61">
        <f>'Sessional + End Term Assessment'!A146</f>
        <v/>
      </c>
      <c r="B141" s="80">
        <f>'Sessional + End Term Assessment'!B146</f>
        <v/>
      </c>
      <c r="C141" s="80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7" thickBot="1">
      <c r="A142" s="61">
        <f>'Sessional + End Term Assessment'!A147</f>
        <v/>
      </c>
      <c r="B142" s="80">
        <f>'Sessional + End Term Assessment'!B147</f>
        <v/>
      </c>
      <c r="C142" s="80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7" thickBot="1">
      <c r="A143" s="61">
        <f>'Sessional + End Term Assessment'!A148</f>
        <v/>
      </c>
      <c r="B143" s="80">
        <f>'Sessional + End Term Assessment'!B148</f>
        <v/>
      </c>
      <c r="C143" s="80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7" thickBot="1">
      <c r="A144" s="61">
        <f>'Sessional + End Term Assessment'!A149</f>
        <v/>
      </c>
      <c r="B144" s="80">
        <f>'Sessional + End Term Assessment'!B149</f>
        <v/>
      </c>
      <c r="C144" s="80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7" thickBot="1">
      <c r="A145" s="61">
        <f>'Sessional + End Term Assessment'!A150</f>
        <v/>
      </c>
      <c r="B145" s="80">
        <f>'Sessional + End Term Assessment'!B150</f>
        <v/>
      </c>
      <c r="C145" s="80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7" thickBot="1">
      <c r="A146" s="61">
        <f>'Sessional + End Term Assessment'!A151</f>
        <v/>
      </c>
      <c r="B146" s="80">
        <f>'Sessional + End Term Assessment'!B151</f>
        <v/>
      </c>
      <c r="C146" s="80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7" thickBot="1">
      <c r="A147" s="61">
        <f>'Sessional + End Term Assessment'!A152</f>
        <v/>
      </c>
      <c r="B147" s="80">
        <f>'Sessional + End Term Assessment'!B152</f>
        <v/>
      </c>
      <c r="C147" s="80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7" thickBot="1">
      <c r="A148" s="61">
        <f>'Sessional + End Term Assessment'!A153</f>
        <v/>
      </c>
      <c r="B148" s="80">
        <f>'Sessional + End Term Assessment'!B153</f>
        <v/>
      </c>
      <c r="C148" s="80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7" thickBot="1">
      <c r="A149" s="61">
        <f>'Sessional + End Term Assessment'!A154</f>
        <v/>
      </c>
      <c r="B149" s="80">
        <f>'Sessional + End Term Assessment'!B154</f>
        <v/>
      </c>
      <c r="C149" s="80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7" thickBot="1">
      <c r="A150" s="61">
        <f>'Sessional + End Term Assessment'!A155</f>
        <v/>
      </c>
      <c r="B150" s="80">
        <f>'Sessional + End Term Assessment'!B155</f>
        <v/>
      </c>
      <c r="C150" s="80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7" thickBot="1">
      <c r="A151" s="61">
        <f>'Sessional + End Term Assessment'!A156</f>
        <v/>
      </c>
      <c r="B151" s="80">
        <f>'Sessional + End Term Assessment'!B156</f>
        <v/>
      </c>
      <c r="C151" s="80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7" thickBot="1">
      <c r="A152" s="61">
        <f>'Sessional + End Term Assessment'!A157</f>
        <v/>
      </c>
      <c r="B152" s="80">
        <f>'Sessional + End Term Assessment'!B157</f>
        <v/>
      </c>
      <c r="C152" s="80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7" thickBot="1">
      <c r="A153" s="61">
        <f>'Sessional + End Term Assessment'!A158</f>
        <v/>
      </c>
      <c r="B153" s="80">
        <f>'Sessional + End Term Assessment'!B158</f>
        <v/>
      </c>
      <c r="C153" s="80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7" thickBot="1">
      <c r="A154" s="61">
        <f>'Sessional + End Term Assessment'!A159</f>
        <v/>
      </c>
      <c r="B154" s="80">
        <f>'Sessional + End Term Assessment'!B159</f>
        <v/>
      </c>
      <c r="C154" s="80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7" thickBot="1">
      <c r="A155" s="61">
        <f>'Sessional + End Term Assessment'!A160</f>
        <v/>
      </c>
      <c r="B155" s="80">
        <f>'Sessional + End Term Assessment'!B160</f>
        <v/>
      </c>
      <c r="C155" s="80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7" thickBot="1">
      <c r="A156" s="61">
        <f>'Sessional + End Term Assessment'!A161</f>
        <v/>
      </c>
      <c r="B156" s="80">
        <f>'Sessional + End Term Assessment'!B161</f>
        <v/>
      </c>
      <c r="C156" s="80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7" thickBot="1">
      <c r="A157" s="61">
        <f>'Sessional + End Term Assessment'!A162</f>
        <v/>
      </c>
      <c r="B157" s="80">
        <f>'Sessional + End Term Assessment'!B162</f>
        <v/>
      </c>
      <c r="C157" s="80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7" thickBot="1">
      <c r="A158" s="61">
        <f>'Sessional + End Term Assessment'!A163</f>
        <v/>
      </c>
      <c r="B158" s="80">
        <f>'Sessional + End Term Assessment'!B163</f>
        <v/>
      </c>
      <c r="C158" s="80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7" thickBot="1">
      <c r="A159" s="61">
        <f>'Sessional + End Term Assessment'!A164</f>
        <v/>
      </c>
      <c r="B159" s="80">
        <f>'Sessional + End Term Assessment'!B164</f>
        <v/>
      </c>
      <c r="C159" s="80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7" thickBot="1">
      <c r="A160" s="61">
        <f>'Sessional + End Term Assessment'!A165</f>
        <v/>
      </c>
      <c r="B160" s="80">
        <f>'Sessional + End Term Assessment'!B165</f>
        <v/>
      </c>
      <c r="C160" s="80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7" thickBot="1">
      <c r="A161" s="61">
        <f>'Sessional + End Term Assessment'!A166</f>
        <v/>
      </c>
      <c r="B161" s="80">
        <f>'Sessional + End Term Assessment'!B166</f>
        <v/>
      </c>
      <c r="C161" s="80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7" thickBot="1">
      <c r="A162" s="61">
        <f>'Sessional + End Term Assessment'!A167</f>
        <v/>
      </c>
      <c r="B162" s="80">
        <f>'Sessional + End Term Assessment'!B167</f>
        <v/>
      </c>
      <c r="C162" s="80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7" thickBot="1">
      <c r="A163" s="61">
        <f>'Sessional + End Term Assessment'!A168</f>
        <v/>
      </c>
      <c r="B163" s="80">
        <f>'Sessional + End Term Assessment'!B168</f>
        <v/>
      </c>
      <c r="C163" s="80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7" thickBot="1">
      <c r="A164" s="61">
        <f>'Sessional + End Term Assessment'!A169</f>
        <v/>
      </c>
      <c r="B164" s="80">
        <f>'Sessional + End Term Assessment'!B169</f>
        <v/>
      </c>
      <c r="C164" s="80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7" thickBot="1">
      <c r="A165" s="61">
        <f>'Sessional + End Term Assessment'!A170</f>
        <v/>
      </c>
      <c r="B165" s="80">
        <f>'Sessional + End Term Assessment'!B170</f>
        <v/>
      </c>
      <c r="C165" s="80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7" thickBot="1">
      <c r="A166" s="61">
        <f>'Sessional + End Term Assessment'!A171</f>
        <v/>
      </c>
      <c r="B166" s="80">
        <f>'Sessional + End Term Assessment'!B171</f>
        <v/>
      </c>
      <c r="C166" s="80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7" thickBot="1">
      <c r="A167" s="61">
        <f>'Sessional + End Term Assessment'!A172</f>
        <v/>
      </c>
      <c r="B167" s="80">
        <f>'Sessional + End Term Assessment'!B172</f>
        <v/>
      </c>
      <c r="C167" s="80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7" thickBot="1">
      <c r="A168" s="61">
        <f>'Sessional + End Term Assessment'!A173</f>
        <v/>
      </c>
      <c r="B168" s="80">
        <f>'Sessional + End Term Assessment'!B173</f>
        <v/>
      </c>
      <c r="C168" s="80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7" thickBot="1">
      <c r="A169" s="61">
        <f>'Sessional + End Term Assessment'!A174</f>
        <v/>
      </c>
      <c r="B169" s="80">
        <f>'Sessional + End Term Assessment'!B174</f>
        <v/>
      </c>
      <c r="C169" s="80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7" thickBot="1">
      <c r="A170" s="61">
        <f>'Sessional + End Term Assessment'!A175</f>
        <v/>
      </c>
      <c r="B170" s="80">
        <f>'Sessional + End Term Assessment'!B175</f>
        <v/>
      </c>
      <c r="C170" s="80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7" thickBot="1">
      <c r="A171" s="61">
        <f>'Sessional + End Term Assessment'!A176</f>
        <v/>
      </c>
      <c r="B171" s="80">
        <f>'Sessional + End Term Assessment'!B176</f>
        <v/>
      </c>
      <c r="C171" s="80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7" thickBot="1">
      <c r="A172" s="61">
        <f>'Sessional + End Term Assessment'!A177</f>
        <v/>
      </c>
      <c r="B172" s="80">
        <f>'Sessional + End Term Assessment'!B177</f>
        <v/>
      </c>
      <c r="C172" s="80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7" thickBot="1">
      <c r="A173" s="61">
        <f>'Sessional + End Term Assessment'!A178</f>
        <v/>
      </c>
      <c r="B173" s="80">
        <f>'Sessional + End Term Assessment'!B178</f>
        <v/>
      </c>
      <c r="C173" s="80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7" thickBot="1">
      <c r="A174" s="61">
        <f>'Sessional + End Term Assessment'!A179</f>
        <v/>
      </c>
      <c r="B174" s="80">
        <f>'Sessional + End Term Assessment'!B179</f>
        <v/>
      </c>
      <c r="C174" s="80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7" thickBot="1">
      <c r="A175" s="61">
        <f>'Sessional + End Term Assessment'!A180</f>
        <v/>
      </c>
      <c r="B175" s="80">
        <f>'Sessional + End Term Assessment'!B180</f>
        <v/>
      </c>
      <c r="C175" s="80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7" thickBot="1">
      <c r="A176" s="61">
        <f>'Sessional + End Term Assessment'!A181</f>
        <v/>
      </c>
      <c r="B176" s="80">
        <f>'Sessional + End Term Assessment'!B181</f>
        <v/>
      </c>
      <c r="C176" s="80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7" thickBot="1">
      <c r="A177" s="61">
        <f>'Sessional + End Term Assessment'!A182</f>
        <v/>
      </c>
      <c r="B177" s="80">
        <f>'Sessional + End Term Assessment'!B182</f>
        <v/>
      </c>
      <c r="C177" s="80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7" thickBot="1">
      <c r="A178" s="61">
        <f>'Sessional + End Term Assessment'!A183</f>
        <v/>
      </c>
      <c r="B178" s="80">
        <f>'Sessional + End Term Assessment'!B183</f>
        <v/>
      </c>
      <c r="C178" s="80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7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7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7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7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7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7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7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7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7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7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7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7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7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7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7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7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7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7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7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7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7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7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7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7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7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7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7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7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7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7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7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7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7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7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7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7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7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7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7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7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7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7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7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7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7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7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7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7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7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7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7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7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7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7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7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7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7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7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7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7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7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7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7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7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7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7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7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7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7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7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7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7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7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7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7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7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7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7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7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7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7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7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7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7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7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7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7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7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7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7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7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7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7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7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7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7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7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7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7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7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7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7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7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7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7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7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7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7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7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7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7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7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7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7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7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7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7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7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7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7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7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7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7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7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7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7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7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7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7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7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7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7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7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7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7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7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7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7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7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7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</sheetData>
  <autoFilter ref="A2:E121"/>
  <mergeCells count="1">
    <mergeCell ref="A1:E1"/>
  </mergeCells>
  <conditionalFormatting sqref="E3:E178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1"/>
  <sheetViews>
    <sheetView topLeftCell="B180" workbookViewId="0">
      <selection activeCell="J193" sqref="J193"/>
    </sheetView>
  </sheetViews>
  <sheetFormatPr baseColWidth="8" defaultColWidth="12.59765625" defaultRowHeight="15" customHeight="1"/>
  <cols>
    <col width="5.69921875" customWidth="1" style="97" min="1" max="1"/>
    <col width="13.5" customWidth="1" style="97" min="2" max="2"/>
    <col width="27.8984375" customWidth="1" style="97" min="3" max="3"/>
    <col width="14.3984375" customWidth="1" style="97" min="4" max="4"/>
    <col width="12.19921875" customWidth="1" style="97" min="5" max="13"/>
    <col width="8" customWidth="1" style="97" min="14" max="15"/>
    <col width="7.69921875" customWidth="1" style="97" min="16" max="25"/>
    <col width="12.69921875" customWidth="1" style="97" min="26" max="26"/>
  </cols>
  <sheetData>
    <row r="1" ht="19.5" customHeight="1" s="97">
      <c r="A1" s="82">
        <f>'CO-PO Mapping'!A1:P1</f>
        <v/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</row>
    <row r="2" ht="19.5" customHeight="1" s="97">
      <c r="A2" s="82" t="inlineStr">
        <is>
          <t>Course Outcome Attainment Sheet (Sessional)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</row>
    <row r="3" ht="19.5" customHeight="1" s="97">
      <c r="A3" s="82">
        <f>'CO-PO Mapping'!A3:P3</f>
        <v/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</row>
    <row r="4" ht="19.5" customHeight="1" s="97">
      <c r="A4" s="82">
        <f>'CO-PO Mapping'!A4:P4</f>
        <v/>
      </c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7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4" t="n"/>
      <c r="K5" s="124" t="n"/>
      <c r="L5" s="124" t="n"/>
      <c r="M5" s="125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7">
      <c r="A6" s="135" t="n"/>
      <c r="B6" s="135" t="n"/>
      <c r="C6" s="15" t="inlineStr">
        <is>
          <t>CO MAPPED</t>
        </is>
      </c>
      <c r="D6" s="126" t="n"/>
      <c r="E6" s="126" t="n"/>
      <c r="F6" s="126" t="n"/>
      <c r="G6" s="126" t="n"/>
      <c r="H6" s="126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5" t="n"/>
      <c r="O6" s="135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7">
      <c r="A7" s="135" t="n"/>
      <c r="B7" s="135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6" t="n"/>
      <c r="J7" s="126" t="n"/>
      <c r="K7" s="126" t="n"/>
      <c r="L7" s="126" t="n"/>
      <c r="M7" s="126" t="n"/>
      <c r="N7" s="126" t="n"/>
      <c r="O7" s="12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7">
      <c r="A8" s="126" t="n"/>
      <c r="B8" s="126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7">
      <c r="A9" s="15" t="inlineStr">
        <is>
          <t>Set Target Level</t>
        </is>
      </c>
      <c r="B9" s="124" t="n"/>
      <c r="C9" s="125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6" t="n"/>
      <c r="J9" s="126" t="n"/>
      <c r="K9" s="126" t="n"/>
      <c r="L9" s="126" t="n"/>
      <c r="M9" s="126" t="n"/>
      <c r="N9" s="126" t="n"/>
      <c r="O9" s="126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7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7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7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7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7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7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7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7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7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7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7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7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7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7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7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7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7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7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7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7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7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7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7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7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7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7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7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7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7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7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7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7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7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7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7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7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7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7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7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7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7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7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7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7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7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7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7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7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7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7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7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7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7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7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7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7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7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7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7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7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7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7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7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7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7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7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7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7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7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7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7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7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7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7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7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7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7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7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7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7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7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7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7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7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7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7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7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7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7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7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7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7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7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7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7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7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7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7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7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7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7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7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7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7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7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7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7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7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7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7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7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7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7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7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7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7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7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7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7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7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7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7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7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7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7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7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7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7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7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7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7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7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7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7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7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7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7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7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7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7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7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7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7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7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7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7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7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7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7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7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7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7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7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7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7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7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7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7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7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7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7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7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7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7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7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7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7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7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7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7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7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7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7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7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7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7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7">
      <c r="A186" s="15" t="n"/>
      <c r="B186" s="15" t="n"/>
      <c r="C186" s="15" t="inlineStr">
        <is>
          <t>Total No. of Students</t>
        </is>
      </c>
      <c r="D186" s="55" t="n">
        <v>176</v>
      </c>
      <c r="E186" s="55" t="n">
        <v>176</v>
      </c>
      <c r="F186" s="55" t="n">
        <v>176</v>
      </c>
      <c r="G186" s="55" t="n">
        <v>176</v>
      </c>
      <c r="H186" s="55" t="n">
        <v>176</v>
      </c>
      <c r="I186" s="55">
        <f>SUM(I10:I185)</f>
        <v/>
      </c>
      <c r="J186" s="55">
        <f>SUM(J10:J185)</f>
        <v/>
      </c>
      <c r="K186" s="55">
        <f>SUM(K10:K185)</f>
        <v/>
      </c>
      <c r="L186" s="55">
        <f>SUM(L10:L185)</f>
        <v/>
      </c>
      <c r="M186" s="55">
        <f>SUM(M10:M185)</f>
        <v/>
      </c>
      <c r="N186" s="55" t="n"/>
      <c r="O186" s="55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9.5" customHeight="1" s="97">
      <c r="A187" s="136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9.5" customHeight="1" s="97">
      <c r="A188" s="129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9.5" customHeight="1" s="97">
      <c r="A189" s="129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9.5" customHeight="1" s="97">
      <c r="A190" s="131" t="n"/>
      <c r="B190" s="132" t="n"/>
      <c r="C190" s="132" t="n"/>
      <c r="D190" s="132" t="n"/>
      <c r="E190" s="132" t="n"/>
      <c r="F190" s="132" t="n"/>
      <c r="G190" s="132" t="n"/>
      <c r="H190" s="132" t="n"/>
      <c r="I190" s="132" t="n"/>
      <c r="J190" s="132" t="n"/>
      <c r="K190" s="132" t="n"/>
      <c r="L190" s="132" t="n"/>
      <c r="M190" s="132" t="n"/>
      <c r="N190" s="132" t="n"/>
      <c r="O190" s="132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97">
      <c r="A191" s="33" t="inlineStr">
        <is>
          <t>CO Attainment Calculation</t>
        </is>
      </c>
      <c r="B191" s="124" t="n"/>
      <c r="C191" s="125" t="n"/>
      <c r="D191" s="32" t="inlineStr">
        <is>
          <t>% of students get &gt;= Target %</t>
        </is>
      </c>
      <c r="E191" s="32" t="inlineStr">
        <is>
          <t>CO Attainment Level</t>
        </is>
      </c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9.5" customHeight="1" s="97">
      <c r="A192" s="33" t="inlineStr">
        <is>
          <t>No. of Students Attained CO23CS201.1</t>
        </is>
      </c>
      <c r="B192" s="124" t="n"/>
      <c r="C192" s="125" t="n"/>
      <c r="D192" s="33">
        <f>ROUND((I186/D186*100),0)</f>
        <v/>
      </c>
      <c r="E192" s="32">
        <f>IF(D192&gt;100,"ERROR",IF(D192&gt;=61,3,IF(D192&gt;=46,2,IF(D192&gt;=16,1,IF(D192&gt;15,0,0)))))</f>
        <v/>
      </c>
      <c r="F192" s="33">
        <f>E192*0.2</f>
        <v/>
      </c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9.5" customHeight="1" s="97">
      <c r="A193" s="33" t="inlineStr">
        <is>
          <t>No. of Students Attained CO23CS201.2</t>
        </is>
      </c>
      <c r="B193" s="124" t="n"/>
      <c r="C193" s="125" t="n"/>
      <c r="D193" s="33">
        <f>ROUND((J186/E186*100),0)</f>
        <v/>
      </c>
      <c r="E193" s="32">
        <f>IF(D193&gt;100,"ERROR",IF(D193&gt;=61,3,IF(D193&gt;=46,2,IF(D193&gt;=16,1,IF(D193&gt;15,0,0)))))</f>
        <v/>
      </c>
      <c r="F193" s="33">
        <f>E193*0.2</f>
        <v/>
      </c>
      <c r="G193" s="33" t="n"/>
      <c r="H193" s="137" t="inlineStr">
        <is>
          <t>CO Achieved</t>
        </is>
      </c>
      <c r="I193" s="138" t="n"/>
      <c r="J193" s="56">
        <f>SUM(F192:F196)</f>
        <v/>
      </c>
      <c r="K193" s="33" t="n"/>
      <c r="L193" s="33" t="n"/>
      <c r="M193" s="33" t="n"/>
      <c r="N193" s="33" t="n"/>
      <c r="O193" s="33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9.5" customHeight="1" s="97">
      <c r="A194" s="33" t="inlineStr">
        <is>
          <t>No. of Students Attained CO23CS201.3</t>
        </is>
      </c>
      <c r="B194" s="124" t="n"/>
      <c r="C194" s="125" t="n"/>
      <c r="D194" s="33">
        <f>ROUND((K186/F186*100),0)</f>
        <v/>
      </c>
      <c r="E194" s="32">
        <f>IF(D194&gt;100,"ERROR",IF(D194&gt;=61,3,IF(D194&gt;=46,2,IF(D194&gt;=16,1,IF(D194&gt;15,0,0)))))</f>
        <v/>
      </c>
      <c r="F194" s="33">
        <f>E194*0.2</f>
        <v/>
      </c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9.5" customHeight="1" s="97">
      <c r="A195" s="33" t="inlineStr">
        <is>
          <t>No. of Students Attained CO23CS201.4</t>
        </is>
      </c>
      <c r="B195" s="124" t="n"/>
      <c r="C195" s="125" t="n"/>
      <c r="D195" s="33">
        <f>ROUND((L186/G186*100),0)</f>
        <v/>
      </c>
      <c r="E195" s="32">
        <f>IF(D195&gt;100,"ERROR",IF(D195&gt;=61,3,IF(D195&gt;=46,2,IF(D195&gt;=16,1,IF(D195&gt;15,0,0)))))</f>
        <v/>
      </c>
      <c r="F195" s="33">
        <f>E195*0.2</f>
        <v/>
      </c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9.5" customHeight="1" s="97">
      <c r="A196" s="33" t="inlineStr">
        <is>
          <t>No. of Students Attained CO23CS201.5</t>
        </is>
      </c>
      <c r="B196" s="124" t="n"/>
      <c r="C196" s="125" t="n"/>
      <c r="D196" s="33">
        <f>ROUND((M186/H186*100),0)</f>
        <v/>
      </c>
      <c r="E196" s="32">
        <f>IF(D196&gt;100,"ERROR",IF(D196&gt;=61,3,IF(D196&gt;=46,2,IF(D196&gt;=16,1,IF(D196&gt;15,0,0)))))</f>
        <v/>
      </c>
      <c r="F196" s="33">
        <f>E196*0.2</f>
        <v/>
      </c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9.5" customHeight="1" s="97">
      <c r="A197" s="139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197" s="127" t="n"/>
      <c r="C197" s="127" t="n"/>
      <c r="D197" s="127" t="n"/>
      <c r="E197" s="127" t="n"/>
      <c r="F197" s="127" t="n"/>
      <c r="G197" s="127" t="n"/>
      <c r="H197" s="128" t="n"/>
      <c r="I197" s="136" t="inlineStr">
        <is>
          <t>Signature Subject Teacher:</t>
        </is>
      </c>
      <c r="J197" s="127" t="n"/>
      <c r="K197" s="127" t="n"/>
      <c r="L197" s="127" t="n"/>
      <c r="M197" s="127" t="n"/>
      <c r="N197" s="127" t="n"/>
      <c r="O197" s="127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9.5" customHeight="1" s="97">
      <c r="A198" s="129" t="n"/>
      <c r="H198" s="130" t="n"/>
      <c r="I198" s="129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9.5" customHeight="1" s="97">
      <c r="A199" s="129" t="n"/>
      <c r="H199" s="130" t="n"/>
      <c r="I199" s="129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9.5" customHeight="1" s="97">
      <c r="A200" s="131" t="n"/>
      <c r="B200" s="132" t="n"/>
      <c r="C200" s="132" t="n"/>
      <c r="D200" s="132" t="n"/>
      <c r="E200" s="132" t="n"/>
      <c r="F200" s="132" t="n"/>
      <c r="G200" s="132" t="n"/>
      <c r="H200" s="133" t="n"/>
      <c r="I200" s="131" t="n"/>
      <c r="J200" s="132" t="n"/>
      <c r="K200" s="132" t="n"/>
      <c r="L200" s="132" t="n"/>
      <c r="M200" s="132" t="n"/>
      <c r="N200" s="132" t="n"/>
      <c r="O200" s="132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97">
      <c r="C201" s="50" t="n"/>
    </row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</sheetData>
  <mergeCells count="37">
    <mergeCell ref="E5:E6"/>
    <mergeCell ref="A193:C193"/>
    <mergeCell ref="I197:O200"/>
    <mergeCell ref="J6:J7"/>
    <mergeCell ref="A192:C192"/>
    <mergeCell ref="F5:F6"/>
    <mergeCell ref="H193:I193"/>
    <mergeCell ref="A3:O3"/>
    <mergeCell ref="A195:C195"/>
    <mergeCell ref="A2:O2"/>
    <mergeCell ref="A194:C194"/>
    <mergeCell ref="L8:L9"/>
    <mergeCell ref="N8:N9"/>
    <mergeCell ref="M6:M7"/>
    <mergeCell ref="A4:O4"/>
    <mergeCell ref="G5:G6"/>
    <mergeCell ref="A187:O190"/>
    <mergeCell ref="I8:I9"/>
    <mergeCell ref="K8:K9"/>
    <mergeCell ref="M8:M9"/>
    <mergeCell ref="O8:O9"/>
    <mergeCell ref="A9:C9"/>
    <mergeCell ref="L6:L7"/>
    <mergeCell ref="A5:A8"/>
    <mergeCell ref="I5:M5"/>
    <mergeCell ref="O5:O7"/>
    <mergeCell ref="D5:D6"/>
    <mergeCell ref="A197:H200"/>
    <mergeCell ref="B5:B8"/>
    <mergeCell ref="A191:C191"/>
    <mergeCell ref="H5:H6"/>
    <mergeCell ref="N5:N7"/>
    <mergeCell ref="J8:J9"/>
    <mergeCell ref="I6:I7"/>
    <mergeCell ref="A1:O1"/>
    <mergeCell ref="K6:K7"/>
    <mergeCell ref="A196:C196"/>
  </mergeCells>
  <conditionalFormatting sqref="D10:H186 N10:O186">
    <cfRule type="containsText" priority="2" operator="containsText" dxfId="1" text="AB">
      <formula>NOT(ISERROR(SEARCH(("AB"),(D10))))</formula>
    </cfRule>
  </conditionalFormatting>
  <conditionalFormatting sqref="I10:M186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7" min="1" max="1"/>
    <col width="7.69921875" customWidth="1" style="97" min="2" max="26"/>
  </cols>
  <sheetData>
    <row r="1" ht="19.5" customHeight="1" s="97">
      <c r="A1" s="15">
        <f>'CO-PO Mapping'!A1:P1</f>
        <v/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5" t="n"/>
    </row>
    <row r="2" ht="19.5" customHeight="1" s="97">
      <c r="A2" s="15" t="inlineStr">
        <is>
          <t>CO to PO &amp; PSO Attainment Through Sessional Assessment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</row>
    <row r="3" ht="19.5" customHeight="1" s="97">
      <c r="A3" s="15">
        <f>'CO-PO Mapping'!A3:P3</f>
        <v/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5" t="n"/>
    </row>
    <row r="4" ht="19.5" customHeight="1" s="97">
      <c r="A4" s="15">
        <f>'CO-PO Mapping'!A4:P4</f>
        <v/>
      </c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125" t="n"/>
    </row>
    <row r="5" ht="31.2" customHeight="1" s="97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7">
      <c r="A6" s="12" t="inlineStr">
        <is>
          <t>CO23CS201.1</t>
        </is>
      </c>
      <c r="B6" s="23">
        <f>'Attainment Sheet Sessional'!E192*'CO-PO Mapping'!B6/3</f>
        <v/>
      </c>
      <c r="C6" s="23">
        <f>'Attainment Sheet Sessional'!E192*'CO-PO Mapping'!C6/3</f>
        <v/>
      </c>
      <c r="D6" s="23">
        <f>'Attainment Sheet Sessional'!$E192*'CO-PO Mapping'!D6/3</f>
        <v/>
      </c>
      <c r="E6" s="23">
        <f>'Attainment Sheet Sessional'!$E192*'CO-PO Mapping'!E6/3</f>
        <v/>
      </c>
      <c r="F6" s="23">
        <f>'Attainment Sheet Sessional'!$E192*'CO-PO Mapping'!F6/3</f>
        <v/>
      </c>
      <c r="G6" s="23">
        <f>'Attainment Sheet Sessional'!$E192*'CO-PO Mapping'!G6/3</f>
        <v/>
      </c>
      <c r="H6" s="23">
        <f>'Attainment Sheet Sessional'!$E192*'CO-PO Mapping'!H6/3</f>
        <v/>
      </c>
      <c r="I6" s="23">
        <f>'Attainment Sheet Sessional'!$E192*'CO-PO Mapping'!I6/3</f>
        <v/>
      </c>
      <c r="J6" s="23">
        <f>'Attainment Sheet Sessional'!$E192*'CO-PO Mapping'!J6/3</f>
        <v/>
      </c>
      <c r="K6" s="23">
        <f>'Attainment Sheet Sessional'!$E192*'CO-PO Mapping'!K6/3</f>
        <v/>
      </c>
      <c r="L6" s="23">
        <f>'Attainment Sheet Sessional'!$E192*'CO-PO Mapping'!L6/3</f>
        <v/>
      </c>
      <c r="M6" s="23">
        <f>'Attainment Sheet Sessional'!$E192*'CO-PO Mapping'!M6/3</f>
        <v/>
      </c>
      <c r="N6" s="23">
        <f>'Attainment Sheet Sessional'!$E192*'CO-PO Mapping'!N6/3</f>
        <v/>
      </c>
      <c r="O6" s="23">
        <f>'Attainment Sheet Sessional'!$E192*'CO-PO Mapping'!O6/3</f>
        <v/>
      </c>
      <c r="P6" s="23">
        <f>'Attainment Sheet Sessional'!$E192*'CO-PO Mapping'!P6/3</f>
        <v/>
      </c>
    </row>
    <row r="7" ht="19.5" customHeight="1" s="97">
      <c r="A7" s="12" t="inlineStr">
        <is>
          <t>CO23CS201.2</t>
        </is>
      </c>
      <c r="B7" s="23">
        <f>'Attainment Sheet Sessional'!E193*'CO-PO Mapping'!B7/3</f>
        <v/>
      </c>
      <c r="C7" s="23">
        <f>'Attainment Sheet Sessional'!E193*'CO-PO Mapping'!C7/3</f>
        <v/>
      </c>
      <c r="D7" s="23">
        <f>'Attainment Sheet Sessional'!$E193*'CO-PO Mapping'!D7/3</f>
        <v/>
      </c>
      <c r="E7" s="23">
        <f>'Attainment Sheet Sessional'!$E193*'CO-PO Mapping'!E7/3</f>
        <v/>
      </c>
      <c r="F7" s="23">
        <f>'Attainment Sheet Sessional'!$E193*'CO-PO Mapping'!F7/3</f>
        <v/>
      </c>
      <c r="G7" s="23">
        <f>'Attainment Sheet Sessional'!$E193*'CO-PO Mapping'!G7/3</f>
        <v/>
      </c>
      <c r="H7" s="23">
        <f>'Attainment Sheet Sessional'!$E193*'CO-PO Mapping'!H7/3</f>
        <v/>
      </c>
      <c r="I7" s="23">
        <f>'Attainment Sheet Sessional'!$E193*'CO-PO Mapping'!I7/3</f>
        <v/>
      </c>
      <c r="J7" s="23">
        <f>'Attainment Sheet Sessional'!$E193*'CO-PO Mapping'!J7/3</f>
        <v/>
      </c>
      <c r="K7" s="23">
        <f>'Attainment Sheet Sessional'!$E193*'CO-PO Mapping'!K7/3</f>
        <v/>
      </c>
      <c r="L7" s="23">
        <f>'Attainment Sheet Sessional'!$E193*'CO-PO Mapping'!L7/3</f>
        <v/>
      </c>
      <c r="M7" s="23">
        <f>'Attainment Sheet Sessional'!$E193*'CO-PO Mapping'!M7/3</f>
        <v/>
      </c>
      <c r="N7" s="23">
        <f>'Attainment Sheet Sessional'!$E193*'CO-PO Mapping'!N7/3</f>
        <v/>
      </c>
      <c r="O7" s="23">
        <f>'Attainment Sheet Sessional'!$E193*'CO-PO Mapping'!O7/3</f>
        <v/>
      </c>
      <c r="P7" s="23">
        <f>'Attainment Sheet Sessional'!$E193*'CO-PO Mapping'!P7/3</f>
        <v/>
      </c>
    </row>
    <row r="8" ht="19.5" customHeight="1" s="97">
      <c r="A8" s="12" t="inlineStr">
        <is>
          <t>CO23CS201.3</t>
        </is>
      </c>
      <c r="B8" s="23">
        <f>'Attainment Sheet Sessional'!E194*'CO-PO Mapping'!B8/3</f>
        <v/>
      </c>
      <c r="C8" s="23">
        <f>'Attainment Sheet Sessional'!E194*'CO-PO Mapping'!C8/3</f>
        <v/>
      </c>
      <c r="D8" s="23">
        <f>'Attainment Sheet Sessional'!$E194*'CO-PO Mapping'!D8/3</f>
        <v/>
      </c>
      <c r="E8" s="23">
        <f>'Attainment Sheet Sessional'!$E194*'CO-PO Mapping'!E8/3</f>
        <v/>
      </c>
      <c r="F8" s="23">
        <f>'Attainment Sheet Sessional'!$E194*'CO-PO Mapping'!F8/3</f>
        <v/>
      </c>
      <c r="G8" s="23">
        <f>'Attainment Sheet Sessional'!$E194*'CO-PO Mapping'!G8/3</f>
        <v/>
      </c>
      <c r="H8" s="23">
        <f>'Attainment Sheet Sessional'!$E194*'CO-PO Mapping'!H8/3</f>
        <v/>
      </c>
      <c r="I8" s="23">
        <f>'Attainment Sheet Sessional'!$E194*'CO-PO Mapping'!I8/3</f>
        <v/>
      </c>
      <c r="J8" s="23">
        <f>'Attainment Sheet Sessional'!$E194*'CO-PO Mapping'!J8/3</f>
        <v/>
      </c>
      <c r="K8" s="23">
        <f>'Attainment Sheet Sessional'!$E194*'CO-PO Mapping'!K8/3</f>
        <v/>
      </c>
      <c r="L8" s="23">
        <f>'Attainment Sheet Sessional'!$E194*'CO-PO Mapping'!L8/3</f>
        <v/>
      </c>
      <c r="M8" s="23">
        <f>'Attainment Sheet Sessional'!$E194*'CO-PO Mapping'!M8/3</f>
        <v/>
      </c>
      <c r="N8" s="23">
        <f>'Attainment Sheet Sessional'!$E194*'CO-PO Mapping'!N8/3</f>
        <v/>
      </c>
      <c r="O8" s="23">
        <f>'Attainment Sheet Sessional'!$E194*'CO-PO Mapping'!O8/3</f>
        <v/>
      </c>
      <c r="P8" s="23">
        <f>'Attainment Sheet Sessional'!$E194*'CO-PO Mapping'!P8/3</f>
        <v/>
      </c>
    </row>
    <row r="9" ht="19.5" customHeight="1" s="97">
      <c r="A9" s="12" t="inlineStr">
        <is>
          <t>CO23CS201.4</t>
        </is>
      </c>
      <c r="B9" s="23">
        <f>'Attainment Sheet Sessional'!E195*'CO-PO Mapping'!B9/3</f>
        <v/>
      </c>
      <c r="C9" s="23">
        <f>'Attainment Sheet Sessional'!E195*'CO-PO Mapping'!C9/3</f>
        <v/>
      </c>
      <c r="D9" s="23">
        <f>'Attainment Sheet Sessional'!$E195*'CO-PO Mapping'!D9/3</f>
        <v/>
      </c>
      <c r="E9" s="23">
        <f>'Attainment Sheet Sessional'!$E195*'CO-PO Mapping'!E9/3</f>
        <v/>
      </c>
      <c r="F9" s="23">
        <f>'Attainment Sheet Sessional'!$E195*'CO-PO Mapping'!F9/3</f>
        <v/>
      </c>
      <c r="G9" s="23">
        <f>'Attainment Sheet Sessional'!$E195*'CO-PO Mapping'!G9/3</f>
        <v/>
      </c>
      <c r="H9" s="23">
        <f>'Attainment Sheet Sessional'!$E195*'CO-PO Mapping'!H9/3</f>
        <v/>
      </c>
      <c r="I9" s="23">
        <f>'Attainment Sheet Sessional'!$E195*'CO-PO Mapping'!I9/3</f>
        <v/>
      </c>
      <c r="J9" s="23">
        <f>'Attainment Sheet Sessional'!$E195*'CO-PO Mapping'!J9/3</f>
        <v/>
      </c>
      <c r="K9" s="23">
        <f>'Attainment Sheet Sessional'!$E195*'CO-PO Mapping'!K9/3</f>
        <v/>
      </c>
      <c r="L9" s="23">
        <f>'Attainment Sheet Sessional'!$E195*'CO-PO Mapping'!L9/3</f>
        <v/>
      </c>
      <c r="M9" s="23">
        <f>'Attainment Sheet Sessional'!$E195*'CO-PO Mapping'!M9/3</f>
        <v/>
      </c>
      <c r="N9" s="23">
        <f>'Attainment Sheet Sessional'!$E195*'CO-PO Mapping'!N9/3</f>
        <v/>
      </c>
      <c r="O9" s="23">
        <f>'Attainment Sheet Sessional'!$E195*'CO-PO Mapping'!O9/3</f>
        <v/>
      </c>
      <c r="P9" s="23">
        <f>'Attainment Sheet Sessional'!$E195*'CO-PO Mapping'!P9/3</f>
        <v/>
      </c>
    </row>
    <row r="10" ht="19.5" customHeight="1" s="97">
      <c r="A10" s="12" t="inlineStr">
        <is>
          <t>CO23CS201.5</t>
        </is>
      </c>
      <c r="B10" s="23">
        <f>'Attainment Sheet Sessional'!E196*'CO-PO Mapping'!B10/3</f>
        <v/>
      </c>
      <c r="C10" s="23">
        <f>'Attainment Sheet Sessional'!E196*'CO-PO Mapping'!C10/3</f>
        <v/>
      </c>
      <c r="D10" s="23">
        <f>'Attainment Sheet Sessional'!$E196*'CO-PO Mapping'!D10/3</f>
        <v/>
      </c>
      <c r="E10" s="23">
        <f>'Attainment Sheet Sessional'!$E196*'CO-PO Mapping'!E10/3</f>
        <v/>
      </c>
      <c r="F10" s="23">
        <f>'Attainment Sheet Sessional'!$E196*'CO-PO Mapping'!F10/3</f>
        <v/>
      </c>
      <c r="G10" s="23">
        <f>'Attainment Sheet Sessional'!$E196*'CO-PO Mapping'!G10/3</f>
        <v/>
      </c>
      <c r="H10" s="23">
        <f>'Attainment Sheet Sessional'!$E196*'CO-PO Mapping'!H10/3</f>
        <v/>
      </c>
      <c r="I10" s="23">
        <f>'Attainment Sheet Sessional'!$E196*'CO-PO Mapping'!I10/3</f>
        <v/>
      </c>
      <c r="J10" s="23">
        <f>'Attainment Sheet Sessional'!$E196*'CO-PO Mapping'!J10/3</f>
        <v/>
      </c>
      <c r="K10" s="23">
        <f>'Attainment Sheet Sessional'!$E196*'CO-PO Mapping'!K10/3</f>
        <v/>
      </c>
      <c r="L10" s="23">
        <f>'Attainment Sheet Sessional'!$E196*'CO-PO Mapping'!L10/3</f>
        <v/>
      </c>
      <c r="M10" s="23">
        <f>'Attainment Sheet Sessional'!$E196*'CO-PO Mapping'!M10/3</f>
        <v/>
      </c>
      <c r="N10" s="23">
        <f>'Attainment Sheet Sessional'!$E196*'CO-PO Mapping'!N10/3</f>
        <v/>
      </c>
      <c r="O10" s="23">
        <f>'Attainment Sheet Sessional'!$E196*'CO-PO Mapping'!O10/3</f>
        <v/>
      </c>
      <c r="P10" s="23">
        <f>'Attainment Sheet Sessional'!$E196*'CO-PO Mapping'!P10/3</f>
        <v/>
      </c>
    </row>
    <row r="11" ht="19.5" customHeight="1" s="97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7">
      <c r="A12" s="33" t="inlineStr">
        <is>
          <t>Signature Subject Teacher</t>
        </is>
      </c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5" t="n"/>
      <c r="N12" s="33" t="n"/>
      <c r="O12" s="124" t="n"/>
      <c r="P12" s="125" t="n"/>
    </row>
    <row r="16" ht="15.6" customHeight="1" s="97">
      <c r="F16" s="1" t="n"/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abSelected="1" topLeftCell="A2" workbookViewId="0">
      <selection activeCell="N18" sqref="N18"/>
    </sheetView>
  </sheetViews>
  <sheetFormatPr baseColWidth="8" defaultColWidth="12.59765625" defaultRowHeight="15" customHeight="1"/>
  <cols>
    <col width="10.8984375" customWidth="1" style="97" min="1" max="1"/>
    <col width="8" customWidth="1" style="97" min="2" max="16"/>
    <col width="7.69921875" customWidth="1" style="97" min="17" max="26"/>
  </cols>
  <sheetData>
    <row r="1" ht="19.5" customHeight="1" s="97">
      <c r="A1" s="15">
        <f>'CO-PO Mapping'!A1:P1</f>
        <v/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5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7">
      <c r="A2" s="15" t="inlineStr">
        <is>
          <t>Course to PO &amp; PSO Attainment From All Tools</t>
        </is>
      </c>
      <c r="B2" s="124" t="n"/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7">
      <c r="A3" s="15">
        <f>'CO-PO Mapping'!A3:P3</f>
        <v/>
      </c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5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7">
      <c r="A4" s="15">
        <f>'CO-PO Mapping'!A4:P4</f>
        <v/>
      </c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125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7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7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7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7">
      <c r="A8" s="33" t="inlineStr">
        <is>
          <t>Signature Subject Teacher</t>
        </is>
      </c>
      <c r="B8" s="124" t="n"/>
      <c r="C8" s="124" t="n"/>
      <c r="D8" s="124" t="n"/>
      <c r="E8" s="124" t="n"/>
      <c r="F8" s="124" t="n"/>
      <c r="G8" s="124" t="n"/>
      <c r="H8" s="124" t="n"/>
      <c r="I8" s="124" t="n"/>
      <c r="J8" s="124" t="n"/>
      <c r="K8" s="124" t="n"/>
      <c r="L8" s="124" t="n"/>
      <c r="M8" s="125" t="n"/>
      <c r="N8" s="33" t="n"/>
      <c r="O8" s="124" t="n"/>
      <c r="P8" s="125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7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7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7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7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7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7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7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7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7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2026-10-09T06:29:45Z</dcterms:modified>
  <cp:lastModifiedBy>Kalpana Fatawat</cp:lastModifiedBy>
</cp:coreProperties>
</file>
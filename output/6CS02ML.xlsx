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4" activeTab="8" autoFilterDateGrouping="1"/>
  </bookViews>
  <sheets>
    <sheet name="CO-PO Mapping" sheetId="1" state="visible" r:id="rId1"/>
    <sheet name="Sessional + End Term Assessment" sheetId="2" state="visible" r:id="rId2"/>
    <sheet name="Attainment of Subject Code" sheetId="3" state="visible" r:id="rId3"/>
    <sheet name="Attainment Tool 1 C to PO" sheetId="4" state="visible" r:id="rId4"/>
    <sheet name="MID Term 1" sheetId="5" state="visible" r:id="rId5"/>
    <sheet name="REMIDAL 1" sheetId="6" state="visible" r:id="rId6"/>
    <sheet name="MID Term 2" sheetId="7" state="visible" r:id="rId7"/>
    <sheet name="REMIDAL 2" sheetId="8" state="visible" r:id="rId8"/>
    <sheet name="Attainment Sheet Sessional" sheetId="9" state="visible" r:id="rId9"/>
    <sheet name="Attainment CO to PO Sessional" sheetId="10" state="visible" r:id="rId10"/>
    <sheet name="Attainment Tool C to PO FINAL" sheetId="11" state="visible" r:id="rId11"/>
  </sheets>
  <definedNames>
    <definedName name="_xlnm._FilterDatabase" localSheetId="5" hidden="1">'REMIDAL 1'!$E$1:$E$32</definedName>
    <definedName name="_xlnm._FilterDatabase" localSheetId="7" hidden="1">'REMIDAL 2'!$A$2:$E$32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3">
    <font>
      <name val="Arial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Calibri"/>
      <b val="1"/>
      <color theme="1"/>
      <sz val="12"/>
    </font>
    <font>
      <name val="Arial"/>
      <sz val="11"/>
    </font>
    <font>
      <name val="Calibri"/>
      <color theme="1"/>
      <sz val="12"/>
    </font>
    <font>
      <name val="Calibri"/>
      <b val="1"/>
      <color theme="1"/>
      <sz val="11"/>
    </font>
    <font>
      <name val="Calibri"/>
      <color theme="1"/>
      <sz val="11"/>
    </font>
    <font>
      <name val="Arial"/>
      <color theme="1"/>
      <sz val="12"/>
    </font>
    <font>
      <name val="Times New Roman"/>
      <color theme="1"/>
      <sz val="10"/>
    </font>
    <font>
      <name val="Arial"/>
      <color theme="1"/>
      <sz val="11"/>
    </font>
    <font>
      <name val="Calibri"/>
      <b val="1"/>
      <color rgb="FF000000"/>
      <sz val="12"/>
    </font>
    <font>
      <name val="Calibri"/>
      <b val="1"/>
      <color theme="1"/>
      <sz val="14"/>
    </font>
    <font>
      <name val="Calibri"/>
      <color rgb="FF000000"/>
      <sz val="12"/>
    </font>
    <font>
      <name val="Arial"/>
      <color rgb="FF000000"/>
      <sz val="11"/>
    </font>
    <font>
      <name val="Calibri"/>
      <color theme="1"/>
      <sz val="14"/>
    </font>
    <font>
      <name val="Arial"/>
      <family val="2"/>
      <b val="1"/>
      <color theme="3"/>
      <sz val="15"/>
      <scheme val="minor"/>
    </font>
    <font>
      <name val="Arial"/>
      <family val="2"/>
      <b val="1"/>
      <color theme="3"/>
      <sz val="13"/>
      <scheme val="minor"/>
    </font>
    <font>
      <name val="Arial"/>
      <family val="2"/>
      <b val="1"/>
      <color theme="3"/>
      <sz val="11"/>
      <scheme val="minor"/>
    </font>
    <font>
      <name val="Arial"/>
      <family val="2"/>
      <color rgb="FF006100"/>
      <sz val="11"/>
      <scheme val="minor"/>
    </font>
    <font>
      <name val="Arial"/>
      <family val="2"/>
      <color rgb="FF9C0006"/>
      <sz val="11"/>
      <scheme val="minor"/>
    </font>
    <font>
      <name val="Arial"/>
      <family val="2"/>
      <color rgb="FF3F3F76"/>
      <sz val="11"/>
      <scheme val="minor"/>
    </font>
    <font>
      <name val="Arial"/>
      <family val="2"/>
      <b val="1"/>
      <color rgb="FF3F3F3F"/>
      <sz val="11"/>
      <scheme val="minor"/>
    </font>
    <font>
      <name val="Arial"/>
      <family val="2"/>
      <b val="1"/>
      <color rgb="FFFA7D00"/>
      <sz val="11"/>
      <scheme val="minor"/>
    </font>
    <font>
      <name val="Arial"/>
      <family val="2"/>
      <color rgb="FFFA7D00"/>
      <sz val="11"/>
      <scheme val="minor"/>
    </font>
    <font>
      <name val="Arial"/>
      <family val="2"/>
      <b val="1"/>
      <color theme="0"/>
      <sz val="11"/>
      <scheme val="minor"/>
    </font>
    <font>
      <name val="Arial"/>
      <family val="2"/>
      <color rgb="FFFF0000"/>
      <sz val="11"/>
      <scheme val="minor"/>
    </font>
    <font>
      <name val="Arial"/>
      <family val="2"/>
      <i val="1"/>
      <color rgb="FF7F7F7F"/>
      <sz val="11"/>
      <scheme val="minor"/>
    </font>
    <font>
      <name val="Arial"/>
      <family val="2"/>
      <b val="1"/>
      <color theme="1"/>
      <sz val="11"/>
      <scheme val="minor"/>
    </font>
    <font>
      <name val="Arial"/>
      <family val="2"/>
      <color theme="0"/>
      <sz val="11"/>
      <scheme val="minor"/>
    </font>
    <font>
      <name val="Arial"/>
      <family val="2"/>
      <b val="1"/>
      <color theme="3"/>
      <sz val="18"/>
      <scheme val="major"/>
    </font>
    <font>
      <name val="Arial"/>
      <family val="2"/>
      <color rgb="FF9C6500"/>
      <sz val="11"/>
      <scheme val="minor"/>
    </font>
    <font>
      <name val="Arial"/>
      <sz val="8"/>
      <scheme val="minor"/>
    </font>
  </fonts>
  <fills count="40">
    <fill>
      <patternFill/>
    </fill>
    <fill>
      <patternFill patternType="gray125"/>
    </fill>
    <fill>
      <patternFill patternType="solid">
        <fgColor rgb="FF8DB3E2"/>
        <bgColor rgb="FF8DB3E2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8DB3E2"/>
      </patternFill>
    </fill>
    <fill>
      <patternFill patternType="solid">
        <fgColor theme="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4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</borders>
  <cellStyleXfs count="44">
    <xf numFmtId="0" fontId="0" fillId="0" borderId="32"/>
    <xf numFmtId="0" fontId="16" fillId="0" borderId="37"/>
    <xf numFmtId="0" fontId="17" fillId="0" borderId="38"/>
    <xf numFmtId="0" fontId="18" fillId="0" borderId="39"/>
    <xf numFmtId="0" fontId="21" fillId="12" borderId="40"/>
    <xf numFmtId="0" fontId="22" fillId="13" borderId="41"/>
    <xf numFmtId="0" fontId="23" fillId="13" borderId="40"/>
    <xf numFmtId="0" fontId="24" fillId="0" borderId="42"/>
    <xf numFmtId="0" fontId="25" fillId="14" borderId="43"/>
    <xf numFmtId="0" fontId="28" fillId="0" borderId="45"/>
    <xf numFmtId="0" fontId="2" fillId="0" borderId="32"/>
    <xf numFmtId="0" fontId="30" fillId="0" borderId="32"/>
    <xf numFmtId="0" fontId="18" fillId="0" borderId="32"/>
    <xf numFmtId="0" fontId="19" fillId="9" borderId="32"/>
    <xf numFmtId="0" fontId="20" fillId="10" borderId="32"/>
    <xf numFmtId="0" fontId="31" fillId="11" borderId="32"/>
    <xf numFmtId="0" fontId="26" fillId="0" borderId="32"/>
    <xf numFmtId="0" fontId="2" fillId="15" borderId="44"/>
    <xf numFmtId="0" fontId="27" fillId="0" borderId="32"/>
    <xf numFmtId="0" fontId="29" fillId="16" borderId="32"/>
    <xf numFmtId="0" fontId="2" fillId="17" borderId="32"/>
    <xf numFmtId="0" fontId="2" fillId="18" borderId="32"/>
    <xf numFmtId="0" fontId="29" fillId="19" borderId="32"/>
    <xf numFmtId="0" fontId="29" fillId="20" borderId="32"/>
    <xf numFmtId="0" fontId="2" fillId="21" borderId="32"/>
    <xf numFmtId="0" fontId="2" fillId="22" borderId="32"/>
    <xf numFmtId="0" fontId="29" fillId="23" borderId="32"/>
    <xf numFmtId="0" fontId="29" fillId="24" borderId="32"/>
    <xf numFmtId="0" fontId="2" fillId="25" borderId="32"/>
    <xf numFmtId="0" fontId="2" fillId="26" borderId="32"/>
    <xf numFmtId="0" fontId="29" fillId="27" borderId="32"/>
    <xf numFmtId="0" fontId="29" fillId="28" borderId="32"/>
    <xf numFmtId="0" fontId="2" fillId="29" borderId="32"/>
    <xf numFmtId="0" fontId="2" fillId="30" borderId="32"/>
    <xf numFmtId="0" fontId="29" fillId="31" borderId="32"/>
    <xf numFmtId="0" fontId="29" fillId="32" borderId="32"/>
    <xf numFmtId="0" fontId="2" fillId="33" borderId="32"/>
    <xf numFmtId="0" fontId="2" fillId="34" borderId="32"/>
    <xf numFmtId="0" fontId="29" fillId="35" borderId="32"/>
    <xf numFmtId="0" fontId="29" fillId="36" borderId="32"/>
    <xf numFmtId="0" fontId="2" fillId="37" borderId="32"/>
    <xf numFmtId="0" fontId="2" fillId="38" borderId="32"/>
    <xf numFmtId="0" fontId="29" fillId="39" borderId="32"/>
    <xf numFmtId="0" fontId="2" fillId="0" borderId="32"/>
  </cellStyleXfs>
  <cellXfs count="139">
    <xf numFmtId="0" fontId="0" fillId="0" borderId="0" pivotButton="0" quotePrefix="0" xfId="0"/>
    <xf numFmtId="0" fontId="5" fillId="0" borderId="0" pivotButton="0" quotePrefix="0" xfId="0"/>
    <xf numFmtId="0" fontId="6" fillId="3" borderId="4" applyAlignment="1" pivotButton="0" quotePrefix="0" xfId="0">
      <alignment horizontal="center"/>
    </xf>
    <xf numFmtId="0" fontId="6" fillId="3" borderId="5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8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/>
    </xf>
    <xf numFmtId="0" fontId="7" fillId="3" borderId="11" applyAlignment="1" pivotButton="0" quotePrefix="0" xfId="0">
      <alignment horizontal="center"/>
    </xf>
    <xf numFmtId="0" fontId="3" fillId="2" borderId="10" applyAlignment="1" pivotButton="0" quotePrefix="0" xfId="0">
      <alignment horizontal="center" vertical="center" wrapText="1"/>
    </xf>
    <xf numFmtId="2" fontId="8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3" fillId="2" borderId="10" applyAlignment="1" pivotButton="0" quotePrefix="0" xfId="0">
      <alignment horizontal="center" vertical="center"/>
    </xf>
    <xf numFmtId="0" fontId="3" fillId="0" borderId="0" pivotButton="0" quotePrefix="0" xfId="0"/>
    <xf numFmtId="9" fontId="3" fillId="2" borderId="5" applyAlignment="1" pivotButton="0" quotePrefix="0" xfId="0">
      <alignment horizontal="center" vertical="center"/>
    </xf>
    <xf numFmtId="0" fontId="3" fillId="2" borderId="5" applyAlignment="1" pivotButton="0" quotePrefix="0" xfId="0">
      <alignment horizontal="center" vertical="center"/>
    </xf>
    <xf numFmtId="9" fontId="3" fillId="2" borderId="10" applyAlignment="1" pivotButton="0" quotePrefix="0" xfId="0">
      <alignment horizontal="center" vertical="center"/>
    </xf>
    <xf numFmtId="0" fontId="9" fillId="4" borderId="17" applyAlignment="1" pivotButton="0" quotePrefix="0" xfId="0">
      <alignment horizontal="center" vertical="center" wrapText="1"/>
    </xf>
    <xf numFmtId="1" fontId="5" fillId="0" borderId="10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0" fontId="10" fillId="0" borderId="0" pivotButton="0" quotePrefix="0" xfId="0"/>
    <xf numFmtId="0" fontId="3" fillId="2" borderId="11" applyAlignment="1" pivotButton="0" quotePrefix="0" xfId="0">
      <alignment horizontal="center" vertical="center"/>
    </xf>
    <xf numFmtId="0" fontId="3" fillId="2" borderId="11" applyAlignment="1" pivotButton="0" quotePrefix="0" xfId="0">
      <alignment horizontal="center" vertical="center" wrapText="1"/>
    </xf>
    <xf numFmtId="0" fontId="11" fillId="2" borderId="11" applyAlignment="1" pivotButton="0" quotePrefix="0" xfId="0">
      <alignment horizontal="left" vertical="center" wrapText="1"/>
    </xf>
    <xf numFmtId="0" fontId="10" fillId="4" borderId="5" applyAlignment="1" pivotButton="0" quotePrefix="0" xfId="0">
      <alignment horizont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3" fillId="0" borderId="10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/>
    </xf>
    <xf numFmtId="0" fontId="3" fillId="0" borderId="19" applyAlignment="1" pivotButton="0" quotePrefix="0" xfId="0">
      <alignment vertical="center"/>
    </xf>
    <xf numFmtId="0" fontId="3" fillId="0" borderId="20" applyAlignment="1" pivotButton="0" quotePrefix="0" xfId="0">
      <alignment vertical="center"/>
    </xf>
    <xf numFmtId="0" fontId="3" fillId="0" borderId="21" applyAlignment="1" pivotButton="0" quotePrefix="0" xfId="0">
      <alignment vertical="center"/>
    </xf>
    <xf numFmtId="0" fontId="3" fillId="0" borderId="22" applyAlignment="1" pivotButton="0" quotePrefix="0" xfId="0">
      <alignment vertical="center"/>
    </xf>
    <xf numFmtId="0" fontId="3" fillId="0" borderId="23" applyAlignment="1" pivotButton="0" quotePrefix="0" xfId="0">
      <alignment vertical="center"/>
    </xf>
    <xf numFmtId="0" fontId="3" fillId="0" borderId="24" applyAlignment="1" pivotButton="0" quotePrefix="0" xfId="0">
      <alignment vertical="center"/>
    </xf>
    <xf numFmtId="0" fontId="7" fillId="0" borderId="0" applyAlignment="1" pivotButton="0" quotePrefix="0" xfId="0">
      <alignment horizontal="center"/>
    </xf>
    <xf numFmtId="0" fontId="5" fillId="0" borderId="10" applyAlignment="1" pivotButton="0" quotePrefix="0" xfId="0">
      <alignment horizontal="center" vertical="center" wrapText="1"/>
    </xf>
    <xf numFmtId="0" fontId="6" fillId="0" borderId="0" pivotButton="0" quotePrefix="0" xfId="0"/>
    <xf numFmtId="2" fontId="5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wrapText="1"/>
    </xf>
    <xf numFmtId="1" fontId="10" fillId="0" borderId="0" pivotButton="0" quotePrefix="0" xfId="0"/>
    <xf numFmtId="0" fontId="5" fillId="3" borderId="10" applyAlignment="1" pivotButton="0" quotePrefix="0" xfId="0">
      <alignment horizontal="center" vertical="center" wrapText="1"/>
    </xf>
    <xf numFmtId="1" fontId="7" fillId="0" borderId="0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3" fillId="2" borderId="18" applyAlignment="1" pivotButton="0" quotePrefix="0" xfId="0">
      <alignment horizontal="center" vertical="center"/>
    </xf>
    <xf numFmtId="0" fontId="10" fillId="0" borderId="10" applyAlignment="1" pivotButton="0" quotePrefix="0" xfId="0">
      <alignment vertical="center"/>
    </xf>
    <xf numFmtId="0" fontId="15" fillId="0" borderId="0" applyAlignment="1" pivotButton="0" quotePrefix="0" xfId="0">
      <alignment horizontal="left"/>
    </xf>
    <xf numFmtId="0" fontId="5" fillId="2" borderId="10" applyAlignment="1" pivotButton="0" quotePrefix="0" xfId="0">
      <alignment horizontal="center" vertical="center"/>
    </xf>
    <xf numFmtId="0" fontId="3" fillId="0" borderId="36" applyAlignment="1" pivotButton="0" quotePrefix="0" xfId="0">
      <alignment vertical="center"/>
    </xf>
    <xf numFmtId="0" fontId="6" fillId="0" borderId="0" applyAlignment="1" pivotButton="0" quotePrefix="0" xfId="0">
      <alignment horizontal="center" vertical="top"/>
    </xf>
    <xf numFmtId="164" fontId="5" fillId="0" borderId="10" applyAlignment="1" pivotButton="0" quotePrefix="0" xfId="0">
      <alignment horizontal="center" vertical="center"/>
    </xf>
    <xf numFmtId="0" fontId="7" fillId="5" borderId="10" applyAlignment="1" pivotButton="0" quotePrefix="0" xfId="0">
      <alignment vertical="center" wrapText="1"/>
    </xf>
    <xf numFmtId="0" fontId="7" fillId="5" borderId="10" applyAlignment="1" pivotButton="0" quotePrefix="0" xfId="0">
      <alignment horizontal="center" vertical="center" wrapText="1"/>
    </xf>
    <xf numFmtId="0" fontId="9" fillId="5" borderId="6" applyAlignment="1" pivotButton="0" quotePrefix="0" xfId="0">
      <alignment horizontal="center" wrapText="1"/>
    </xf>
    <xf numFmtId="1" fontId="14" fillId="5" borderId="29" applyAlignment="1" pivotButton="0" quotePrefix="0" xfId="0">
      <alignment horizontal="center" wrapText="1"/>
    </xf>
    <xf numFmtId="0" fontId="7" fillId="5" borderId="10" applyAlignment="1" pivotButton="0" quotePrefix="0" xfId="0">
      <alignment horizontal="center" vertical="center"/>
    </xf>
    <xf numFmtId="0" fontId="13" fillId="5" borderId="6" applyAlignment="1" pivotButton="0" quotePrefix="0" xfId="0">
      <alignment horizontal="center" wrapText="1"/>
    </xf>
    <xf numFmtId="0" fontId="3" fillId="6" borderId="10" applyAlignment="1" pivotButton="0" quotePrefix="0" xfId="0">
      <alignment horizontal="center" vertical="center"/>
    </xf>
    <xf numFmtId="0" fontId="5" fillId="6" borderId="5" applyAlignment="1" pivotButton="0" quotePrefix="0" xfId="0">
      <alignment horizontal="center" wrapText="1"/>
    </xf>
    <xf numFmtId="0" fontId="7" fillId="6" borderId="5" applyAlignment="1" pivotButton="0" quotePrefix="0" xfId="0">
      <alignment horizontal="center" wrapText="1"/>
    </xf>
    <xf numFmtId="0" fontId="3" fillId="6" borderId="5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 wrapText="1"/>
    </xf>
    <xf numFmtId="0" fontId="7" fillId="5" borderId="10" applyAlignment="1" pivotButton="0" quotePrefix="0" xfId="0">
      <alignment horizontal="center"/>
    </xf>
    <xf numFmtId="0" fontId="7" fillId="0" borderId="32" applyAlignment="1" pivotButton="0" quotePrefix="0" xfId="0">
      <alignment horizontal="center" vertical="center"/>
    </xf>
    <xf numFmtId="0" fontId="5" fillId="3" borderId="32" applyAlignment="1" pivotButton="0" quotePrefix="0" xfId="0">
      <alignment horizontal="center" vertical="center" wrapText="1"/>
    </xf>
    <xf numFmtId="0" fontId="0" fillId="0" borderId="10" applyAlignment="1" pivotButton="0" quotePrefix="0" xfId="0">
      <alignment wrapText="1"/>
    </xf>
    <xf numFmtId="49" fontId="2" fillId="0" borderId="10" applyAlignment="1" pivotButton="0" quotePrefix="0" xfId="10">
      <alignment wrapText="1"/>
    </xf>
    <xf numFmtId="0" fontId="2" fillId="0" borderId="10" applyAlignment="1" pivotButton="0" quotePrefix="0" xfId="10">
      <alignment wrapText="1"/>
    </xf>
    <xf numFmtId="0" fontId="2" fillId="8" borderId="10" applyAlignment="1" pivotButton="0" quotePrefix="0" xfId="10">
      <alignment wrapText="1"/>
    </xf>
    <xf numFmtId="49" fontId="2" fillId="8" borderId="10" applyAlignment="1" pivotButton="0" quotePrefix="0" xfId="10">
      <alignment wrapText="1"/>
    </xf>
    <xf numFmtId="1" fontId="0" fillId="0" borderId="0" pivotButton="0" quotePrefix="0" xfId="0"/>
    <xf numFmtId="0" fontId="2" fillId="0" borderId="10" applyAlignment="1" pivotButton="0" quotePrefix="0" xfId="43">
      <alignment wrapText="1"/>
    </xf>
    <xf numFmtId="49" fontId="1" fillId="0" borderId="10" applyAlignment="1" pivotButton="0" quotePrefix="0" xfId="10">
      <alignment wrapText="1"/>
    </xf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0" borderId="3" pivotButton="0" quotePrefix="0" xfId="0"/>
    <xf numFmtId="0" fontId="3" fillId="4" borderId="19" applyAlignment="1" pivotButton="0" quotePrefix="0" xfId="0">
      <alignment horizontal="left" vertical="center" wrapText="1"/>
    </xf>
    <xf numFmtId="0" fontId="4" fillId="0" borderId="20" pivotButton="0" quotePrefix="0" xfId="0"/>
    <xf numFmtId="0" fontId="4" fillId="0" borderId="21" pivotButton="0" quotePrefix="0" xfId="0"/>
    <xf numFmtId="0" fontId="4" fillId="0" borderId="25" pivotButton="0" quotePrefix="0" xfId="0"/>
    <xf numFmtId="0" fontId="0" fillId="0" borderId="0" pivotButton="0" quotePrefix="0" xfId="0"/>
    <xf numFmtId="0" fontId="4" fillId="0" borderId="26" pivotButton="0" quotePrefix="0" xfId="0"/>
    <xf numFmtId="0" fontId="4" fillId="0" borderId="22" pivotButton="0" quotePrefix="0" xfId="0"/>
    <xf numFmtId="0" fontId="4" fillId="0" borderId="23" pivotButton="0" quotePrefix="0" xfId="0"/>
    <xf numFmtId="0" fontId="4" fillId="0" borderId="24" pivotButton="0" quotePrefix="0" xfId="0"/>
    <xf numFmtId="0" fontId="4" fillId="0" borderId="31" pivotButton="0" quotePrefix="0" xfId="0"/>
    <xf numFmtId="0" fontId="4" fillId="0" borderId="32" pivotButton="0" quotePrefix="0" xfId="0"/>
    <xf numFmtId="0" fontId="4" fillId="0" borderId="33" pivotButton="0" quotePrefix="0" xfId="0"/>
    <xf numFmtId="0" fontId="10" fillId="0" borderId="34" applyAlignment="1" pivotButton="0" quotePrefix="0" xfId="0">
      <alignment horizontal="center"/>
    </xf>
    <xf numFmtId="0" fontId="4" fillId="0" borderId="35" pivotButton="0" quotePrefix="0" xfId="0"/>
    <xf numFmtId="0" fontId="3" fillId="2" borderId="12" applyAlignment="1" pivotButton="0" quotePrefix="0" xfId="0">
      <alignment horizontal="center" vertical="center" wrapText="1"/>
    </xf>
    <xf numFmtId="0" fontId="4" fillId="0" borderId="27" pivotButton="0" quotePrefix="0" xfId="0"/>
    <xf numFmtId="0" fontId="4" fillId="0" borderId="13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30" pivotButton="0" quotePrefix="0" xfId="0"/>
    <xf numFmtId="0" fontId="3" fillId="2" borderId="12" applyAlignment="1" pivotButton="0" quotePrefix="0" xfId="0">
      <alignment horizontal="center" vertical="center"/>
    </xf>
    <xf numFmtId="9" fontId="3" fillId="2" borderId="12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2" borderId="14" applyAlignment="1" pivotButton="0" quotePrefix="0" xfId="0">
      <alignment horizontal="center" vertical="center"/>
    </xf>
    <xf numFmtId="0" fontId="4" fillId="0" borderId="15" pivotButton="0" quotePrefix="0" xfId="0"/>
    <xf numFmtId="0" fontId="4" fillId="0" borderId="16" pivotButton="0" quotePrefix="0" xfId="0"/>
    <xf numFmtId="0" fontId="3" fillId="0" borderId="19" applyAlignment="1" pivotButton="0" quotePrefix="0" xfId="0">
      <alignment horizontal="center" vertical="center"/>
    </xf>
    <xf numFmtId="0" fontId="3" fillId="6" borderId="12" applyAlignment="1" pivotButton="0" quotePrefix="0" xfId="0">
      <alignment horizontal="center" vertical="center" wrapText="1"/>
    </xf>
    <xf numFmtId="0" fontId="4" fillId="5" borderId="13" pivotButton="0" quotePrefix="0" xfId="0"/>
    <xf numFmtId="0" fontId="4" fillId="5" borderId="28" pivotButton="0" quotePrefix="0" xfId="0"/>
    <xf numFmtId="0" fontId="3" fillId="6" borderId="1" applyAlignment="1" pivotButton="0" quotePrefix="0" xfId="0">
      <alignment horizontal="center" vertical="center"/>
    </xf>
    <xf numFmtId="0" fontId="4" fillId="5" borderId="2" pivotButton="0" quotePrefix="0" xfId="0"/>
    <xf numFmtId="0" fontId="4" fillId="5" borderId="3" pivotButton="0" quotePrefix="0" xfId="0"/>
    <xf numFmtId="0" fontId="3" fillId="6" borderId="12" applyAlignment="1" pivotButton="0" quotePrefix="0" xfId="0">
      <alignment horizontal="center" vertical="center"/>
    </xf>
    <xf numFmtId="0" fontId="4" fillId="5" borderId="27" pivotButton="0" quotePrefix="0" xfId="0"/>
    <xf numFmtId="0" fontId="12" fillId="5" borderId="33" applyAlignment="1" pivotButton="0" quotePrefix="0" xfId="0">
      <alignment horizontal="center"/>
    </xf>
    <xf numFmtId="0" fontId="4" fillId="0" borderId="28" pivotButton="0" quotePrefix="0" xfId="0"/>
    <xf numFmtId="0" fontId="12" fillId="5" borderId="23" applyAlignment="1" pivotButton="0" quotePrefix="0" xfId="0">
      <alignment horizontal="center"/>
    </xf>
    <xf numFmtId="0" fontId="4" fillId="5" borderId="23" pivotButton="0" quotePrefix="0" xfId="0"/>
    <xf numFmtId="0" fontId="0" fillId="0" borderId="30" pivotButton="0" quotePrefix="0" xfId="0"/>
    <xf numFmtId="0" fontId="0" fillId="0" borderId="17" pivotButton="0" quotePrefix="0" xfId="0"/>
    <xf numFmtId="0" fontId="0" fillId="0" borderId="13" pivotButton="0" quotePrefix="0" xfId="0"/>
    <xf numFmtId="0" fontId="0" fillId="0" borderId="31" pivotButton="0" quotePrefix="0" xfId="0"/>
    <xf numFmtId="0" fontId="0" fillId="0" borderId="21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2" pivotButton="0" quotePrefix="0" xfId="0"/>
    <xf numFmtId="0" fontId="0" fillId="0" borderId="33" pivotButton="0" quotePrefix="0" xfId="0"/>
    <xf numFmtId="0" fontId="0" fillId="0" borderId="24" pivotButton="0" quotePrefix="0" xfId="0"/>
    <xf numFmtId="0" fontId="3" fillId="6" borderId="10" applyAlignment="1" pivotButton="0" quotePrefix="0" xfId="0">
      <alignment horizontal="center" vertical="center" wrapText="1"/>
    </xf>
    <xf numFmtId="0" fontId="0" fillId="0" borderId="28" pivotButton="0" quotePrefix="0" xfId="0"/>
    <xf numFmtId="0" fontId="3" fillId="4" borderId="1" applyAlignment="1" pivotButton="0" quotePrefix="0" xfId="0">
      <alignment horizontal="left" vertical="center" wrapText="1"/>
    </xf>
    <xf numFmtId="0" fontId="10" fillId="0" borderId="46" applyAlignment="1" pivotButton="0" quotePrefix="0" xfId="0">
      <alignment horizontal="center"/>
    </xf>
    <xf numFmtId="0" fontId="0" fillId="0" borderId="35" pivotButton="0" quotePrefix="0" xfId="0"/>
    <xf numFmtId="0" fontId="3" fillId="4" borderId="10" applyAlignment="1" pivotButton="0" quotePrefix="0" xfId="0">
      <alignment horizontal="left" vertical="center" wrapText="1"/>
    </xf>
  </cellXfs>
  <cellStyles count="44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Title 2" xfId="11"/>
    <cellStyle name="Heading 4 2" xfId="12"/>
    <cellStyle name="Good 2" xfId="13"/>
    <cellStyle name="Bad 2" xfId="14"/>
    <cellStyle name="Neutral 2" xfId="15"/>
    <cellStyle name="Warning Text 2" xfId="16"/>
    <cellStyle name="Note 2" xfId="17"/>
    <cellStyle name="Explanatory Text 2" xfId="18"/>
    <cellStyle name="Accent1 2" xfId="19"/>
    <cellStyle name="20% - Accent1 2" xfId="20"/>
    <cellStyle name="40% - Accent1 2" xfId="21"/>
    <cellStyle name="60% - Accent1 2" xfId="22"/>
    <cellStyle name="Accent2 2" xfId="23"/>
    <cellStyle name="20% - Accent2 2" xfId="24"/>
    <cellStyle name="40% - Accent2 2" xfId="25"/>
    <cellStyle name="60% - Accent2 2" xfId="26"/>
    <cellStyle name="Accent3 2" xfId="27"/>
    <cellStyle name="20% - Accent3 2" xfId="28"/>
    <cellStyle name="40% - Accent3 2" xfId="29"/>
    <cellStyle name="60% - Accent3 2" xfId="30"/>
    <cellStyle name="Accent4 2" xfId="31"/>
    <cellStyle name="20% - Accent4 2" xfId="32"/>
    <cellStyle name="40% - Accent4 2" xfId="33"/>
    <cellStyle name="60% - Accent4 2" xfId="34"/>
    <cellStyle name="Accent5 2" xfId="35"/>
    <cellStyle name="20% - Accent5 2" xfId="36"/>
    <cellStyle name="40% - Accent5 2" xfId="37"/>
    <cellStyle name="60% - Accent5 2" xfId="38"/>
    <cellStyle name="Accent6 2" xfId="39"/>
    <cellStyle name="20% - Accent6 2" xfId="40"/>
    <cellStyle name="40% - Accent6 2" xfId="41"/>
    <cellStyle name="60% - Accent6 2" xfId="42"/>
    <cellStyle name="Normal 2" xfId="43"/>
  </cellStyles>
  <dxfs count="11"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9"/>
          <bgColor theme="9"/>
        </patternFill>
      </fill>
    </dxf>
    <dxf>
      <font>
        <color rgb="FFFF0000"/>
      </font>
      <fill>
        <patternFill patternType="solid">
          <fgColor rgb="FFFFFF00"/>
          <bgColor rgb="FFFFFF00"/>
        </patternFill>
      </fill>
    </dxf>
    <dxf>
      <font>
        <color rgb="FFFF0000"/>
      </font>
      <fill>
        <patternFill patternType="solid">
          <fgColor rgb="FFFFFF00"/>
          <bgColor rgb="FFFFFF00"/>
        </patternFill>
      </fill>
    </dxf>
    <dxf>
      <font>
        <color rgb="FFFF0000"/>
      </font>
      <fill>
        <patternFill patternType="solid">
          <fgColor rgb="FFFFFF00"/>
          <bgColor rgb="FFFFFF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FF0000"/>
      </font>
      <fill>
        <patternFill patternType="solid">
          <fgColor rgb="FFFFFF00"/>
          <bgColor rgb="FFFFFF00"/>
        </patternFill>
      </fill>
    </dxf>
    <dxf>
      <font>
        <color rgb="FFFF0000"/>
      </font>
      <fill>
        <patternFill patternType="solid">
          <fgColor rgb="FFFFFF00"/>
          <bgColor rgb="FFFFFF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9"/>
          <bgColor theme="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selection activeCell="K17" sqref="K17"/>
    </sheetView>
  </sheetViews>
  <sheetFormatPr baseColWidth="8" defaultColWidth="12.59765625" defaultRowHeight="15" customHeight="1"/>
  <cols>
    <col width="15.69921875" customWidth="1" style="88" min="1" max="1"/>
    <col width="8" customWidth="1" style="88" min="2" max="16"/>
    <col width="7.69921875" customWidth="1" style="88" min="17" max="26"/>
  </cols>
  <sheetData>
    <row r="1" ht="19.5" customHeight="1" s="88">
      <c r="A1" s="15" t="inlineStr">
        <is>
          <t>DEPARTMENT OF COMPUTER SCIENCE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4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9.5" customHeight="1" s="88">
      <c r="A2" s="15" t="inlineStr">
        <is>
          <t>CO to PO &amp; PSO Mapping</t>
        </is>
      </c>
      <c r="B2" s="123" t="n"/>
      <c r="C2" s="123" t="n"/>
      <c r="D2" s="123" t="n"/>
      <c r="E2" s="123" t="n"/>
      <c r="F2" s="123" t="n"/>
      <c r="G2" s="123" t="n"/>
      <c r="H2" s="123" t="n"/>
      <c r="I2" s="123" t="n"/>
      <c r="J2" s="123" t="n"/>
      <c r="K2" s="123" t="n"/>
      <c r="L2" s="123" t="n"/>
      <c r="M2" s="123" t="n"/>
      <c r="N2" s="123" t="n"/>
      <c r="O2" s="123" t="n"/>
      <c r="P2" s="124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9.5" customHeight="1" s="88">
      <c r="A3" s="15" t="inlineStr">
        <is>
          <t>II Year III Semester</t>
        </is>
      </c>
      <c r="B3" s="123" t="n"/>
      <c r="C3" s="123" t="n"/>
      <c r="D3" s="123" t="n"/>
      <c r="E3" s="123" t="n"/>
      <c r="F3" s="123" t="n"/>
      <c r="G3" s="123" t="n"/>
      <c r="H3" s="123" t="n"/>
      <c r="I3" s="123" t="n"/>
      <c r="J3" s="123" t="n"/>
      <c r="K3" s="123" t="n"/>
      <c r="L3" s="123" t="n"/>
      <c r="M3" s="123" t="n"/>
      <c r="N3" s="123" t="n"/>
      <c r="O3" s="123" t="n"/>
      <c r="P3" s="124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9.5" customHeight="1" s="88">
      <c r="A4" s="15" t="inlineStr">
        <is>
          <t>SUBJECT: Advanced Engineering Mathematics                                                                                                   Faculty: Dr. Kalpana Fatawat</t>
        </is>
      </c>
      <c r="B4" s="123" t="n"/>
      <c r="C4" s="123" t="n"/>
      <c r="D4" s="123" t="n"/>
      <c r="E4" s="123" t="n"/>
      <c r="F4" s="123" t="n"/>
      <c r="G4" s="123" t="n"/>
      <c r="H4" s="123" t="n"/>
      <c r="I4" s="123" t="n"/>
      <c r="J4" s="123" t="n"/>
      <c r="K4" s="123" t="n"/>
      <c r="L4" s="123" t="n"/>
      <c r="M4" s="123" t="n"/>
      <c r="N4" s="123" t="n"/>
      <c r="O4" s="123" t="n"/>
      <c r="P4" s="124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5.75" customHeight="1" s="88">
      <c r="A5" s="2" t="inlineStr">
        <is>
          <t>Course Outcome</t>
        </is>
      </c>
      <c r="B5" s="3" t="inlineStr">
        <is>
          <t>PO1</t>
        </is>
      </c>
      <c r="C5" s="3" t="inlineStr">
        <is>
          <t>PO2</t>
        </is>
      </c>
      <c r="D5" s="3" t="inlineStr">
        <is>
          <t>PO3</t>
        </is>
      </c>
      <c r="E5" s="3" t="inlineStr">
        <is>
          <t>PO4</t>
        </is>
      </c>
      <c r="F5" s="3" t="inlineStr">
        <is>
          <t>PO5</t>
        </is>
      </c>
      <c r="G5" s="3" t="inlineStr">
        <is>
          <t>PO6</t>
        </is>
      </c>
      <c r="H5" s="3" t="inlineStr">
        <is>
          <t>PO7</t>
        </is>
      </c>
      <c r="I5" s="3" t="inlineStr">
        <is>
          <t>PO8</t>
        </is>
      </c>
      <c r="J5" s="3" t="inlineStr">
        <is>
          <t>PO9</t>
        </is>
      </c>
      <c r="K5" s="3" t="inlineStr">
        <is>
          <t>PO10</t>
        </is>
      </c>
      <c r="L5" s="3" t="inlineStr">
        <is>
          <t>PO11</t>
        </is>
      </c>
      <c r="M5" s="3" t="inlineStr">
        <is>
          <t>PO12</t>
        </is>
      </c>
      <c r="N5" s="3" t="inlineStr">
        <is>
          <t>PSO1</t>
        </is>
      </c>
      <c r="O5" s="3" t="inlineStr">
        <is>
          <t>PSO2</t>
        </is>
      </c>
      <c r="P5" s="3" t="inlineStr">
        <is>
          <t>PSO3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88">
      <c r="A6" s="5" t="inlineStr">
        <is>
          <t>CO23CS201.1</t>
        </is>
      </c>
      <c r="B6" s="6" t="n">
        <v>2</v>
      </c>
      <c r="C6" s="7" t="n">
        <v>2</v>
      </c>
      <c r="D6" s="7" t="n">
        <v>0</v>
      </c>
      <c r="E6" s="7" t="n">
        <v>1</v>
      </c>
      <c r="F6" s="7" t="n">
        <v>1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1</v>
      </c>
      <c r="N6" s="7" t="n">
        <v>0</v>
      </c>
      <c r="O6" s="7" t="n">
        <v>0</v>
      </c>
      <c r="P6" s="7" t="n">
        <v>0</v>
      </c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9.5" customHeight="1" s="88">
      <c r="A7" s="5" t="inlineStr">
        <is>
          <t>CO23CS201.2</t>
        </is>
      </c>
      <c r="B7" s="8" t="n">
        <v>2</v>
      </c>
      <c r="C7" s="9" t="n">
        <v>2</v>
      </c>
      <c r="D7" s="9" t="n">
        <v>0</v>
      </c>
      <c r="E7" s="9" t="n">
        <v>1</v>
      </c>
      <c r="F7" s="9" t="n">
        <v>1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9" t="n">
        <v>0</v>
      </c>
      <c r="M7" s="9" t="n">
        <v>1</v>
      </c>
      <c r="N7" s="9" t="n">
        <v>0</v>
      </c>
      <c r="O7" s="9" t="n">
        <v>0</v>
      </c>
      <c r="P7" s="9" t="n">
        <v>0</v>
      </c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9.5" customHeight="1" s="88">
      <c r="A8" s="5" t="inlineStr">
        <is>
          <t>CO23CS201.3</t>
        </is>
      </c>
      <c r="B8" s="8" t="n">
        <v>2</v>
      </c>
      <c r="C8" s="9" t="n">
        <v>2</v>
      </c>
      <c r="D8" s="9" t="n">
        <v>0</v>
      </c>
      <c r="E8" s="9" t="n">
        <v>1</v>
      </c>
      <c r="F8" s="9" t="n">
        <v>1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1</v>
      </c>
      <c r="N8" s="9" t="n">
        <v>0</v>
      </c>
      <c r="O8" s="9" t="n">
        <v>0</v>
      </c>
      <c r="P8" s="9" t="n">
        <v>0</v>
      </c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9.5" customHeight="1" s="88">
      <c r="A9" s="5" t="inlineStr">
        <is>
          <t>CO23CS201.4</t>
        </is>
      </c>
      <c r="B9" s="8" t="n">
        <v>2</v>
      </c>
      <c r="C9" s="9" t="n">
        <v>2</v>
      </c>
      <c r="D9" s="9" t="n">
        <v>0</v>
      </c>
      <c r="E9" s="9" t="n">
        <v>1</v>
      </c>
      <c r="F9" s="9" t="n">
        <v>1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1</v>
      </c>
      <c r="N9" s="9" t="n">
        <v>0</v>
      </c>
      <c r="O9" s="9" t="n">
        <v>0</v>
      </c>
      <c r="P9" s="9" t="n">
        <v>0</v>
      </c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9.5" customHeight="1" s="88">
      <c r="A10" s="5" t="inlineStr">
        <is>
          <t>CO23CS201.5</t>
        </is>
      </c>
      <c r="B10" s="8" t="n">
        <v>2</v>
      </c>
      <c r="C10" s="9" t="n">
        <v>2</v>
      </c>
      <c r="D10" s="9" t="n">
        <v>0</v>
      </c>
      <c r="E10" s="9" t="n">
        <v>1</v>
      </c>
      <c r="F10" s="9" t="n">
        <v>1</v>
      </c>
      <c r="G10" s="9" t="n">
        <v>1</v>
      </c>
      <c r="H10" s="9" t="n">
        <v>0</v>
      </c>
      <c r="I10" s="9" t="n">
        <v>1</v>
      </c>
      <c r="J10" s="9" t="n">
        <v>0</v>
      </c>
      <c r="K10" s="9" t="n">
        <v>0</v>
      </c>
      <c r="L10" s="9" t="n">
        <v>0</v>
      </c>
      <c r="M10" s="9" t="n">
        <v>1</v>
      </c>
      <c r="N10" s="9" t="n">
        <v>0</v>
      </c>
      <c r="O10" s="9" t="n">
        <v>0</v>
      </c>
      <c r="P10" s="9" t="n">
        <v>0</v>
      </c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9.5" customHeight="1" s="88">
      <c r="A11" s="10" t="inlineStr">
        <is>
          <t>CO35CS203 Avg</t>
        </is>
      </c>
      <c r="B11" s="11">
        <f>AVERAGE(B6:B10)</f>
        <v/>
      </c>
      <c r="C11" s="11">
        <f>AVERAGE(C6:C10)</f>
        <v/>
      </c>
      <c r="D11" s="11">
        <f>AVERAGE(D6:D10)</f>
        <v/>
      </c>
      <c r="E11" s="11">
        <f>AVERAGE(E6:E10)</f>
        <v/>
      </c>
      <c r="F11" s="11">
        <f>AVERAGE(F6:F10)</f>
        <v/>
      </c>
      <c r="G11" s="11">
        <f>AVERAGE(G6:G10)</f>
        <v/>
      </c>
      <c r="H11" s="11">
        <f>AVERAGE(H6:H10)</f>
        <v/>
      </c>
      <c r="I11" s="11">
        <f>AVERAGE(I6:I10)</f>
        <v/>
      </c>
      <c r="J11" s="11">
        <f>AVERAGE(J6:J10)</f>
        <v/>
      </c>
      <c r="K11" s="11">
        <f>AVERAGE(K6:K10)</f>
        <v/>
      </c>
      <c r="L11" s="11">
        <f>AVERAGE(L6:L10)</f>
        <v/>
      </c>
      <c r="M11" s="11">
        <f>AVERAGE(M6:M10)</f>
        <v/>
      </c>
      <c r="N11" s="11">
        <f>AVERAGE(N6:N10)</f>
        <v/>
      </c>
      <c r="O11" s="11">
        <f>AVERAGE(O6:O10)</f>
        <v/>
      </c>
      <c r="P11" s="11">
        <f>AVERAGE(P6:P10)</f>
        <v/>
      </c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.75" customHeight="1" s="88">
      <c r="A12" s="12" t="inlineStr">
        <is>
          <t>3CS2-01 (AVG)</t>
        </is>
      </c>
      <c r="B12" s="13">
        <f>ROUND(B11,0)</f>
        <v/>
      </c>
      <c r="C12" s="13">
        <f>ROUND(C11,0)</f>
        <v/>
      </c>
      <c r="D12" s="13">
        <f>ROUND(D11,0)</f>
        <v/>
      </c>
      <c r="E12" s="13">
        <f>ROUND(E11,0)</f>
        <v/>
      </c>
      <c r="F12" s="13">
        <f>ROUND(F11,0)</f>
        <v/>
      </c>
      <c r="G12" s="13">
        <f>ROUND(G11,0)</f>
        <v/>
      </c>
      <c r="H12" s="13">
        <f>ROUND(H11,0)</f>
        <v/>
      </c>
      <c r="I12" s="13">
        <f>ROUND(I11,0)</f>
        <v/>
      </c>
      <c r="J12" s="13">
        <f>ROUND(J11,0)</f>
        <v/>
      </c>
      <c r="K12" s="13">
        <f>ROUND(K11,0)</f>
        <v/>
      </c>
      <c r="L12" s="13">
        <f>ROUND(L11,0)</f>
        <v/>
      </c>
      <c r="M12" s="13">
        <f>ROUND(M11,0)</f>
        <v/>
      </c>
      <c r="N12" s="13">
        <f>ROUND(N11,0)</f>
        <v/>
      </c>
      <c r="O12" s="13">
        <f>ROUND(O11,0)</f>
        <v/>
      </c>
      <c r="P12" s="13">
        <f>ROUND(P11,0)</f>
        <v/>
      </c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39.75" customHeight="1" s="88">
      <c r="A13" s="33" t="inlineStr">
        <is>
          <t xml:space="preserve">                                                                                                                                                       Signature Subject Teacher</t>
        </is>
      </c>
      <c r="B13" s="123" t="n"/>
      <c r="C13" s="123" t="n"/>
      <c r="D13" s="123" t="n"/>
      <c r="E13" s="123" t="n"/>
      <c r="F13" s="123" t="n"/>
      <c r="G13" s="123" t="n"/>
      <c r="H13" s="123" t="n"/>
      <c r="I13" s="123" t="n"/>
      <c r="J13" s="123" t="n"/>
      <c r="K13" s="123" t="n"/>
      <c r="L13" s="123" t="n"/>
      <c r="M13" s="124" t="n"/>
      <c r="N13" s="33" t="n"/>
      <c r="O13" s="123" t="n"/>
      <c r="P13" s="124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.75" customHeight="1" s="88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.75" customHeight="1" s="88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5.75" customHeight="1" s="88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5.75" customHeight="1" s="88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.75" customHeight="1" s="8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.75" customHeight="1" s="88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.75" customHeight="1" s="88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88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88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88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88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88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88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88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8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88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88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88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88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88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88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88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88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88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8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88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88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88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88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88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88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88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88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88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8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88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88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88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88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88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88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88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88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88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8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88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88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88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88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88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88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88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88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88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8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88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88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88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88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88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88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88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88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88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8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88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88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88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88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88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88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88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88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88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88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88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88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88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88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88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88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88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88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8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88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88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88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88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88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88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88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88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88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8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88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88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88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88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88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88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88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88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88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8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88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88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88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88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88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88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88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88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88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8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88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88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88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88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88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88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88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88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88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8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88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88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88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88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88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88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88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88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88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8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88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88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88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88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88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88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88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88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88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8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88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88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88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88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88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88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88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88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88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8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88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88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88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88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88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88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88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88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88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8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88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88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88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88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88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88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88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88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88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88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88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88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88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88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88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88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88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88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8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88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88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88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88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88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88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88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88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88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8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88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88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88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88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88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88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88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88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88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8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88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88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88"/>
    <row r="222" ht="15.75" customHeight="1" s="88"/>
    <row r="223" ht="15.75" customHeight="1" s="88"/>
    <row r="224" ht="15.75" customHeight="1" s="88"/>
    <row r="225" ht="15.75" customHeight="1" s="88"/>
    <row r="226" ht="15.75" customHeight="1" s="88"/>
    <row r="227" ht="15.75" customHeight="1" s="88"/>
    <row r="228" ht="15.75" customHeight="1" s="88"/>
    <row r="229" ht="15.75" customHeight="1" s="88"/>
    <row r="230" ht="15.75" customHeight="1" s="88"/>
    <row r="231" ht="15.75" customHeight="1" s="88"/>
    <row r="232" ht="15.75" customHeight="1" s="88"/>
    <row r="233" ht="15.75" customHeight="1" s="88"/>
    <row r="234" ht="15.75" customHeight="1" s="88"/>
    <row r="235" ht="15.75" customHeight="1" s="88"/>
    <row r="236" ht="15.75" customHeight="1" s="88"/>
    <row r="237" ht="15.75" customHeight="1" s="88"/>
    <row r="238" ht="15.75" customHeight="1" s="88"/>
    <row r="239" ht="15.75" customHeight="1" s="88"/>
    <row r="240" ht="15.75" customHeight="1" s="88"/>
    <row r="241" ht="15.75" customHeight="1" s="88"/>
    <row r="242" ht="15.75" customHeight="1" s="88"/>
    <row r="243" ht="15.75" customHeight="1" s="88"/>
    <row r="244" ht="15.75" customHeight="1" s="88"/>
    <row r="245" ht="15.75" customHeight="1" s="88"/>
    <row r="246" ht="15.75" customHeight="1" s="88"/>
    <row r="247" ht="15.75" customHeight="1" s="88"/>
    <row r="248" ht="15.75" customHeight="1" s="88"/>
    <row r="249" ht="15.75" customHeight="1" s="88"/>
    <row r="250" ht="15.75" customHeight="1" s="88"/>
    <row r="251" ht="15.75" customHeight="1" s="88"/>
    <row r="252" ht="15.75" customHeight="1" s="88"/>
    <row r="253" ht="15.75" customHeight="1" s="88"/>
    <row r="254" ht="15.75" customHeight="1" s="88"/>
    <row r="255" ht="15.75" customHeight="1" s="88"/>
    <row r="256" ht="15.75" customHeight="1" s="88"/>
    <row r="257" ht="15.75" customHeight="1" s="88"/>
    <row r="258" ht="15.75" customHeight="1" s="88"/>
    <row r="259" ht="15.75" customHeight="1" s="88"/>
    <row r="260" ht="15.75" customHeight="1" s="88"/>
    <row r="261" ht="15.75" customHeight="1" s="88"/>
    <row r="262" ht="15.75" customHeight="1" s="88"/>
    <row r="263" ht="15.75" customHeight="1" s="88"/>
    <row r="264" ht="15.75" customHeight="1" s="88"/>
    <row r="265" ht="15.75" customHeight="1" s="88"/>
    <row r="266" ht="15.75" customHeight="1" s="88"/>
    <row r="267" ht="15.75" customHeight="1" s="88"/>
    <row r="268" ht="15.75" customHeight="1" s="88"/>
    <row r="269" ht="15.75" customHeight="1" s="88"/>
    <row r="270" ht="15.75" customHeight="1" s="88"/>
    <row r="271" ht="15.75" customHeight="1" s="88"/>
    <row r="272" ht="15.75" customHeight="1" s="88"/>
    <row r="273" ht="15.75" customHeight="1" s="88"/>
    <row r="274" ht="15.75" customHeight="1" s="88"/>
    <row r="275" ht="15.75" customHeight="1" s="88"/>
    <row r="276" ht="15.75" customHeight="1" s="88"/>
    <row r="277" ht="15.75" customHeight="1" s="88"/>
    <row r="278" ht="15.75" customHeight="1" s="88"/>
    <row r="279" ht="15.75" customHeight="1" s="88"/>
    <row r="280" ht="15.75" customHeight="1" s="88"/>
    <row r="281" ht="15.75" customHeight="1" s="88"/>
    <row r="282" ht="15.75" customHeight="1" s="88"/>
    <row r="283" ht="15.75" customHeight="1" s="88"/>
    <row r="284" ht="15.75" customHeight="1" s="88"/>
    <row r="285" ht="15.75" customHeight="1" s="88"/>
    <row r="286" ht="15.75" customHeight="1" s="88"/>
    <row r="287" ht="15.75" customHeight="1" s="88"/>
    <row r="288" ht="15.75" customHeight="1" s="88"/>
    <row r="289" ht="15.75" customHeight="1" s="88"/>
    <row r="290" ht="15.75" customHeight="1" s="88"/>
    <row r="291" ht="15.75" customHeight="1" s="88"/>
    <row r="292" ht="15.75" customHeight="1" s="88"/>
    <row r="293" ht="15.75" customHeight="1" s="88"/>
    <row r="294" ht="15.75" customHeight="1" s="88"/>
    <row r="295" ht="15.75" customHeight="1" s="88"/>
    <row r="296" ht="15.75" customHeight="1" s="88"/>
    <row r="297" ht="15.75" customHeight="1" s="88"/>
    <row r="298" ht="15.75" customHeight="1" s="88"/>
    <row r="299" ht="15.75" customHeight="1" s="88"/>
    <row r="300" ht="15.75" customHeight="1" s="88"/>
    <row r="301" ht="15.75" customHeight="1" s="88"/>
    <row r="302" ht="15.75" customHeight="1" s="88"/>
    <row r="303" ht="15.75" customHeight="1" s="88"/>
    <row r="304" ht="15.75" customHeight="1" s="88"/>
    <row r="305" ht="15.75" customHeight="1" s="88"/>
    <row r="306" ht="15.75" customHeight="1" s="88"/>
    <row r="307" ht="15.75" customHeight="1" s="88"/>
    <row r="308" ht="15.75" customHeight="1" s="88"/>
    <row r="309" ht="15.75" customHeight="1" s="88"/>
    <row r="310" ht="15.75" customHeight="1" s="88"/>
    <row r="311" ht="15.75" customHeight="1" s="88"/>
    <row r="312" ht="15.75" customHeight="1" s="88"/>
    <row r="313" ht="15.75" customHeight="1" s="88"/>
    <row r="314" ht="15.75" customHeight="1" s="88"/>
    <row r="315" ht="15.75" customHeight="1" s="88"/>
    <row r="316" ht="15.75" customHeight="1" s="88"/>
    <row r="317" ht="15.75" customHeight="1" s="88"/>
    <row r="318" ht="15.75" customHeight="1" s="88"/>
    <row r="319" ht="15.75" customHeight="1" s="88"/>
    <row r="320" ht="15.75" customHeight="1" s="88"/>
    <row r="321" ht="15.75" customHeight="1" s="88"/>
    <row r="322" ht="15.75" customHeight="1" s="88"/>
    <row r="323" ht="15.75" customHeight="1" s="88"/>
    <row r="324" ht="15.75" customHeight="1" s="88"/>
    <row r="325" ht="15.75" customHeight="1" s="88"/>
    <row r="326" ht="15.75" customHeight="1" s="88"/>
    <row r="327" ht="15.75" customHeight="1" s="88"/>
    <row r="328" ht="15.75" customHeight="1" s="88"/>
    <row r="329" ht="15.75" customHeight="1" s="88"/>
    <row r="330" ht="15.75" customHeight="1" s="88"/>
    <row r="331" ht="15.75" customHeight="1" s="88"/>
    <row r="332" ht="15.75" customHeight="1" s="88"/>
    <row r="333" ht="15.75" customHeight="1" s="88"/>
    <row r="334" ht="15.75" customHeight="1" s="88"/>
    <row r="335" ht="15.75" customHeight="1" s="88"/>
    <row r="336" ht="15.75" customHeight="1" s="88"/>
    <row r="337" ht="15.75" customHeight="1" s="88"/>
    <row r="338" ht="15.75" customHeight="1" s="88"/>
    <row r="339" ht="15.75" customHeight="1" s="88"/>
    <row r="340" ht="15.75" customHeight="1" s="88"/>
    <row r="341" ht="15.75" customHeight="1" s="88"/>
    <row r="342" ht="15.75" customHeight="1" s="88"/>
    <row r="343" ht="15.75" customHeight="1" s="88"/>
    <row r="344" ht="15.75" customHeight="1" s="88"/>
    <row r="345" ht="15.75" customHeight="1" s="88"/>
    <row r="346" ht="15.75" customHeight="1" s="88"/>
    <row r="347" ht="15.75" customHeight="1" s="88"/>
    <row r="348" ht="15.75" customHeight="1" s="88"/>
    <row r="349" ht="15.75" customHeight="1" s="88"/>
    <row r="350" ht="15.75" customHeight="1" s="88"/>
    <row r="351" ht="15.75" customHeight="1" s="88"/>
    <row r="352" ht="15.75" customHeight="1" s="88"/>
    <row r="353" ht="15.75" customHeight="1" s="88"/>
    <row r="354" ht="15.75" customHeight="1" s="88"/>
    <row r="355" ht="15.75" customHeight="1" s="88"/>
    <row r="356" ht="15.75" customHeight="1" s="88"/>
    <row r="357" ht="15.75" customHeight="1" s="88"/>
    <row r="358" ht="15.75" customHeight="1" s="88"/>
    <row r="359" ht="15.75" customHeight="1" s="88"/>
    <row r="360" ht="15.75" customHeight="1" s="88"/>
    <row r="361" ht="15.75" customHeight="1" s="88"/>
    <row r="362" ht="15.75" customHeight="1" s="88"/>
    <row r="363" ht="15.75" customHeight="1" s="88"/>
    <row r="364" ht="15.75" customHeight="1" s="88"/>
    <row r="365" ht="15.75" customHeight="1" s="88"/>
    <row r="366" ht="15.75" customHeight="1" s="88"/>
    <row r="367" ht="15.75" customHeight="1" s="88"/>
    <row r="368" ht="15.75" customHeight="1" s="88"/>
    <row r="369" ht="15.75" customHeight="1" s="88"/>
    <row r="370" ht="15.75" customHeight="1" s="88"/>
    <row r="371" ht="15.75" customHeight="1" s="88"/>
    <row r="372" ht="15.75" customHeight="1" s="88"/>
    <row r="373" ht="15.75" customHeight="1" s="88"/>
    <row r="374" ht="15.75" customHeight="1" s="88"/>
    <row r="375" ht="15.75" customHeight="1" s="88"/>
    <row r="376" ht="15.75" customHeight="1" s="88"/>
    <row r="377" ht="15.75" customHeight="1" s="88"/>
    <row r="378" ht="15.75" customHeight="1" s="88"/>
    <row r="379" ht="15.75" customHeight="1" s="88"/>
    <row r="380" ht="15.75" customHeight="1" s="88"/>
    <row r="381" ht="15.75" customHeight="1" s="88"/>
    <row r="382" ht="15.75" customHeight="1" s="88"/>
    <row r="383" ht="15.75" customHeight="1" s="88"/>
    <row r="384" ht="15.75" customHeight="1" s="88"/>
    <row r="385" ht="15.75" customHeight="1" s="88"/>
    <row r="386" ht="15.75" customHeight="1" s="88"/>
    <row r="387" ht="15.75" customHeight="1" s="88"/>
    <row r="388" ht="15.75" customHeight="1" s="88"/>
    <row r="389" ht="15.75" customHeight="1" s="88"/>
    <row r="390" ht="15.75" customHeight="1" s="88"/>
    <row r="391" ht="15.75" customHeight="1" s="88"/>
    <row r="392" ht="15.75" customHeight="1" s="88"/>
    <row r="393" ht="15.75" customHeight="1" s="88"/>
    <row r="394" ht="15.75" customHeight="1" s="88"/>
    <row r="395" ht="15.75" customHeight="1" s="88"/>
    <row r="396" ht="15.75" customHeight="1" s="88"/>
    <row r="397" ht="15.75" customHeight="1" s="88"/>
    <row r="398" ht="15.75" customHeight="1" s="88"/>
    <row r="399" ht="15.75" customHeight="1" s="88"/>
    <row r="400" ht="15.75" customHeight="1" s="88"/>
    <row r="401" ht="15.75" customHeight="1" s="88"/>
    <row r="402" ht="15.75" customHeight="1" s="88"/>
    <row r="403" ht="15.75" customHeight="1" s="88"/>
    <row r="404" ht="15.75" customHeight="1" s="88"/>
    <row r="405" ht="15.75" customHeight="1" s="88"/>
    <row r="406" ht="15.75" customHeight="1" s="88"/>
    <row r="407" ht="15.75" customHeight="1" s="88"/>
    <row r="408" ht="15.75" customHeight="1" s="88"/>
    <row r="409" ht="15.75" customHeight="1" s="88"/>
    <row r="410" ht="15.75" customHeight="1" s="88"/>
    <row r="411" ht="15.75" customHeight="1" s="88"/>
    <row r="412" ht="15.75" customHeight="1" s="88"/>
    <row r="413" ht="15.75" customHeight="1" s="88"/>
    <row r="414" ht="15.75" customHeight="1" s="88"/>
    <row r="415" ht="15.75" customHeight="1" s="88"/>
    <row r="416" ht="15.75" customHeight="1" s="88"/>
    <row r="417" ht="15.75" customHeight="1" s="88"/>
    <row r="418" ht="15.75" customHeight="1" s="88"/>
    <row r="419" ht="15.75" customHeight="1" s="88"/>
    <row r="420" ht="15.75" customHeight="1" s="88"/>
    <row r="421" ht="15.75" customHeight="1" s="88"/>
    <row r="422" ht="15.75" customHeight="1" s="88"/>
    <row r="423" ht="15.75" customHeight="1" s="88"/>
    <row r="424" ht="15.75" customHeight="1" s="88"/>
    <row r="425" ht="15.75" customHeight="1" s="88"/>
    <row r="426" ht="15.75" customHeight="1" s="88"/>
    <row r="427" ht="15.75" customHeight="1" s="88"/>
    <row r="428" ht="15.75" customHeight="1" s="88"/>
    <row r="429" ht="15.75" customHeight="1" s="88"/>
    <row r="430" ht="15.75" customHeight="1" s="88"/>
    <row r="431" ht="15.75" customHeight="1" s="88"/>
    <row r="432" ht="15.75" customHeight="1" s="88"/>
    <row r="433" ht="15.75" customHeight="1" s="88"/>
    <row r="434" ht="15.75" customHeight="1" s="88"/>
    <row r="435" ht="15.75" customHeight="1" s="88"/>
    <row r="436" ht="15.75" customHeight="1" s="88"/>
    <row r="437" ht="15.75" customHeight="1" s="88"/>
    <row r="438" ht="15.75" customHeight="1" s="88"/>
    <row r="439" ht="15.75" customHeight="1" s="88"/>
    <row r="440" ht="15.75" customHeight="1" s="88"/>
    <row r="441" ht="15.75" customHeight="1" s="88"/>
    <row r="442" ht="15.75" customHeight="1" s="88"/>
    <row r="443" ht="15.75" customHeight="1" s="88"/>
    <row r="444" ht="15.75" customHeight="1" s="88"/>
    <row r="445" ht="15.75" customHeight="1" s="88"/>
    <row r="446" ht="15.75" customHeight="1" s="88"/>
    <row r="447" ht="15.75" customHeight="1" s="88"/>
    <row r="448" ht="15.75" customHeight="1" s="88"/>
    <row r="449" ht="15.75" customHeight="1" s="88"/>
    <row r="450" ht="15.75" customHeight="1" s="88"/>
    <row r="451" ht="15.75" customHeight="1" s="88"/>
    <row r="452" ht="15.75" customHeight="1" s="88"/>
    <row r="453" ht="15.75" customHeight="1" s="88"/>
    <row r="454" ht="15.75" customHeight="1" s="88"/>
    <row r="455" ht="15.75" customHeight="1" s="88"/>
    <row r="456" ht="15.75" customHeight="1" s="88"/>
    <row r="457" ht="15.75" customHeight="1" s="88"/>
    <row r="458" ht="15.75" customHeight="1" s="88"/>
    <row r="459" ht="15.75" customHeight="1" s="88"/>
    <row r="460" ht="15.75" customHeight="1" s="88"/>
    <row r="461" ht="15.75" customHeight="1" s="88"/>
    <row r="462" ht="15.75" customHeight="1" s="88"/>
    <row r="463" ht="15.75" customHeight="1" s="88"/>
    <row r="464" ht="15.75" customHeight="1" s="88"/>
    <row r="465" ht="15.75" customHeight="1" s="88"/>
    <row r="466" ht="15.75" customHeight="1" s="88"/>
    <row r="467" ht="15.75" customHeight="1" s="88"/>
    <row r="468" ht="15.75" customHeight="1" s="88"/>
    <row r="469" ht="15.75" customHeight="1" s="88"/>
    <row r="470" ht="15.75" customHeight="1" s="88"/>
    <row r="471" ht="15.75" customHeight="1" s="88"/>
    <row r="472" ht="15.75" customHeight="1" s="88"/>
    <row r="473" ht="15.75" customHeight="1" s="88"/>
    <row r="474" ht="15.75" customHeight="1" s="88"/>
    <row r="475" ht="15.75" customHeight="1" s="88"/>
    <row r="476" ht="15.75" customHeight="1" s="88"/>
    <row r="477" ht="15.75" customHeight="1" s="88"/>
    <row r="478" ht="15.75" customHeight="1" s="88"/>
    <row r="479" ht="15.75" customHeight="1" s="88"/>
    <row r="480" ht="15.75" customHeight="1" s="88"/>
    <row r="481" ht="15.75" customHeight="1" s="88"/>
    <row r="482" ht="15.75" customHeight="1" s="88"/>
    <row r="483" ht="15.75" customHeight="1" s="88"/>
    <row r="484" ht="15.75" customHeight="1" s="88"/>
    <row r="485" ht="15.75" customHeight="1" s="88"/>
    <row r="486" ht="15.75" customHeight="1" s="88"/>
    <row r="487" ht="15.75" customHeight="1" s="88"/>
    <row r="488" ht="15.75" customHeight="1" s="88"/>
    <row r="489" ht="15.75" customHeight="1" s="88"/>
    <row r="490" ht="15.75" customHeight="1" s="88"/>
    <row r="491" ht="15.75" customHeight="1" s="88"/>
    <row r="492" ht="15.75" customHeight="1" s="88"/>
    <row r="493" ht="15.75" customHeight="1" s="88"/>
    <row r="494" ht="15.75" customHeight="1" s="88"/>
    <row r="495" ht="15.75" customHeight="1" s="88"/>
    <row r="496" ht="15.75" customHeight="1" s="88"/>
    <row r="497" ht="15.75" customHeight="1" s="88"/>
    <row r="498" ht="15.75" customHeight="1" s="88"/>
    <row r="499" ht="15.75" customHeight="1" s="88"/>
    <row r="500" ht="15.75" customHeight="1" s="88"/>
    <row r="501" ht="15.75" customHeight="1" s="88"/>
    <row r="502" ht="15.75" customHeight="1" s="88"/>
    <row r="503" ht="15.75" customHeight="1" s="88"/>
    <row r="504" ht="15.75" customHeight="1" s="88"/>
    <row r="505" ht="15.75" customHeight="1" s="88"/>
    <row r="506" ht="15.75" customHeight="1" s="88"/>
    <row r="507" ht="15.75" customHeight="1" s="88"/>
    <row r="508" ht="15.75" customHeight="1" s="88"/>
    <row r="509" ht="15.75" customHeight="1" s="88"/>
    <row r="510" ht="15.75" customHeight="1" s="88"/>
    <row r="511" ht="15.75" customHeight="1" s="88"/>
    <row r="512" ht="15.75" customHeight="1" s="88"/>
    <row r="513" ht="15.75" customHeight="1" s="88"/>
    <row r="514" ht="15.75" customHeight="1" s="88"/>
    <row r="515" ht="15.75" customHeight="1" s="88"/>
    <row r="516" ht="15.75" customHeight="1" s="88"/>
    <row r="517" ht="15.75" customHeight="1" s="88"/>
    <row r="518" ht="15.75" customHeight="1" s="88"/>
    <row r="519" ht="15.75" customHeight="1" s="88"/>
    <row r="520" ht="15.75" customHeight="1" s="88"/>
    <row r="521" ht="15.75" customHeight="1" s="88"/>
    <row r="522" ht="15.75" customHeight="1" s="88"/>
    <row r="523" ht="15.75" customHeight="1" s="88"/>
    <row r="524" ht="15.75" customHeight="1" s="88"/>
    <row r="525" ht="15.75" customHeight="1" s="88"/>
    <row r="526" ht="15.75" customHeight="1" s="88"/>
    <row r="527" ht="15.75" customHeight="1" s="88"/>
    <row r="528" ht="15.75" customHeight="1" s="88"/>
    <row r="529" ht="15.75" customHeight="1" s="88"/>
    <row r="530" ht="15.75" customHeight="1" s="88"/>
    <row r="531" ht="15.75" customHeight="1" s="88"/>
    <row r="532" ht="15.75" customHeight="1" s="88"/>
    <row r="533" ht="15.75" customHeight="1" s="88"/>
    <row r="534" ht="15.75" customHeight="1" s="88"/>
    <row r="535" ht="15.75" customHeight="1" s="88"/>
    <row r="536" ht="15.75" customHeight="1" s="88"/>
    <row r="537" ht="15.75" customHeight="1" s="88"/>
    <row r="538" ht="15.75" customHeight="1" s="88"/>
    <row r="539" ht="15.75" customHeight="1" s="88"/>
    <row r="540" ht="15.75" customHeight="1" s="88"/>
    <row r="541" ht="15.75" customHeight="1" s="88"/>
    <row r="542" ht="15.75" customHeight="1" s="88"/>
    <row r="543" ht="15.75" customHeight="1" s="88"/>
    <row r="544" ht="15.75" customHeight="1" s="88"/>
    <row r="545" ht="15.75" customHeight="1" s="88"/>
    <row r="546" ht="15.75" customHeight="1" s="88"/>
    <row r="547" ht="15.75" customHeight="1" s="88"/>
    <row r="548" ht="15.75" customHeight="1" s="88"/>
    <row r="549" ht="15.75" customHeight="1" s="88"/>
    <row r="550" ht="15.75" customHeight="1" s="88"/>
    <row r="551" ht="15.75" customHeight="1" s="88"/>
    <row r="552" ht="15.75" customHeight="1" s="88"/>
    <row r="553" ht="15.75" customHeight="1" s="88"/>
    <row r="554" ht="15.75" customHeight="1" s="88"/>
    <row r="555" ht="15.75" customHeight="1" s="88"/>
    <row r="556" ht="15.75" customHeight="1" s="88"/>
    <row r="557" ht="15.75" customHeight="1" s="88"/>
    <row r="558" ht="15.75" customHeight="1" s="88"/>
    <row r="559" ht="15.75" customHeight="1" s="88"/>
    <row r="560" ht="15.75" customHeight="1" s="88"/>
    <row r="561" ht="15.75" customHeight="1" s="88"/>
    <row r="562" ht="15.75" customHeight="1" s="88"/>
    <row r="563" ht="15.75" customHeight="1" s="88"/>
    <row r="564" ht="15.75" customHeight="1" s="88"/>
    <row r="565" ht="15.75" customHeight="1" s="88"/>
    <row r="566" ht="15.75" customHeight="1" s="88"/>
    <row r="567" ht="15.75" customHeight="1" s="88"/>
    <row r="568" ht="15.75" customHeight="1" s="88"/>
    <row r="569" ht="15.75" customHeight="1" s="88"/>
    <row r="570" ht="15.75" customHeight="1" s="88"/>
    <row r="571" ht="15.75" customHeight="1" s="88"/>
    <row r="572" ht="15.75" customHeight="1" s="88"/>
    <row r="573" ht="15.75" customHeight="1" s="88"/>
    <row r="574" ht="15.75" customHeight="1" s="88"/>
    <row r="575" ht="15.75" customHeight="1" s="88"/>
    <row r="576" ht="15.75" customHeight="1" s="88"/>
    <row r="577" ht="15.75" customHeight="1" s="88"/>
    <row r="578" ht="15.75" customHeight="1" s="88"/>
    <row r="579" ht="15.75" customHeight="1" s="88"/>
    <row r="580" ht="15.75" customHeight="1" s="88"/>
    <row r="581" ht="15.75" customHeight="1" s="88"/>
    <row r="582" ht="15.75" customHeight="1" s="88"/>
    <row r="583" ht="15.75" customHeight="1" s="88"/>
    <row r="584" ht="15.75" customHeight="1" s="88"/>
    <row r="585" ht="15.75" customHeight="1" s="88"/>
    <row r="586" ht="15.75" customHeight="1" s="88"/>
    <row r="587" ht="15.75" customHeight="1" s="88"/>
    <row r="588" ht="15.75" customHeight="1" s="88"/>
    <row r="589" ht="15.75" customHeight="1" s="88"/>
    <row r="590" ht="15.75" customHeight="1" s="88"/>
    <row r="591" ht="15.75" customHeight="1" s="88"/>
    <row r="592" ht="15.75" customHeight="1" s="88"/>
    <row r="593" ht="15.75" customHeight="1" s="88"/>
    <row r="594" ht="15.75" customHeight="1" s="88"/>
    <row r="595" ht="15.75" customHeight="1" s="88"/>
    <row r="596" ht="15.75" customHeight="1" s="88"/>
    <row r="597" ht="15.75" customHeight="1" s="88"/>
    <row r="598" ht="15.75" customHeight="1" s="88"/>
    <row r="599" ht="15.75" customHeight="1" s="88"/>
    <row r="600" ht="15.75" customHeight="1" s="88"/>
    <row r="601" ht="15.75" customHeight="1" s="88"/>
    <row r="602" ht="15.75" customHeight="1" s="88"/>
    <row r="603" ht="15.75" customHeight="1" s="88"/>
    <row r="604" ht="15.75" customHeight="1" s="88"/>
    <row r="605" ht="15.75" customHeight="1" s="88"/>
    <row r="606" ht="15.75" customHeight="1" s="88"/>
    <row r="607" ht="15.75" customHeight="1" s="88"/>
    <row r="608" ht="15.75" customHeight="1" s="88"/>
    <row r="609" ht="15.75" customHeight="1" s="88"/>
    <row r="610" ht="15.75" customHeight="1" s="88"/>
    <row r="611" ht="15.75" customHeight="1" s="88"/>
    <row r="612" ht="15.75" customHeight="1" s="88"/>
    <row r="613" ht="15.75" customHeight="1" s="88"/>
    <row r="614" ht="15.75" customHeight="1" s="88"/>
    <row r="615" ht="15.75" customHeight="1" s="88"/>
    <row r="616" ht="15.75" customHeight="1" s="88"/>
    <row r="617" ht="15.75" customHeight="1" s="88"/>
    <row r="618" ht="15.75" customHeight="1" s="88"/>
    <row r="619" ht="15.75" customHeight="1" s="88"/>
    <row r="620" ht="15.75" customHeight="1" s="88"/>
    <row r="621" ht="15.75" customHeight="1" s="88"/>
    <row r="622" ht="15.75" customHeight="1" s="88"/>
    <row r="623" ht="15.75" customHeight="1" s="88"/>
    <row r="624" ht="15.75" customHeight="1" s="88"/>
    <row r="625" ht="15.75" customHeight="1" s="88"/>
    <row r="626" ht="15.75" customHeight="1" s="88"/>
    <row r="627" ht="15.75" customHeight="1" s="88"/>
    <row r="628" ht="15.75" customHeight="1" s="88"/>
    <row r="629" ht="15.75" customHeight="1" s="88"/>
    <row r="630" ht="15.75" customHeight="1" s="88"/>
    <row r="631" ht="15.75" customHeight="1" s="88"/>
    <row r="632" ht="15.75" customHeight="1" s="88"/>
    <row r="633" ht="15.75" customHeight="1" s="88"/>
    <row r="634" ht="15.75" customHeight="1" s="88"/>
    <row r="635" ht="15.75" customHeight="1" s="88"/>
    <row r="636" ht="15.75" customHeight="1" s="88"/>
    <row r="637" ht="15.75" customHeight="1" s="88"/>
    <row r="638" ht="15.75" customHeight="1" s="88"/>
    <row r="639" ht="15.75" customHeight="1" s="88"/>
    <row r="640" ht="15.75" customHeight="1" s="88"/>
    <row r="641" ht="15.75" customHeight="1" s="88"/>
    <row r="642" ht="15.75" customHeight="1" s="88"/>
    <row r="643" ht="15.75" customHeight="1" s="88"/>
    <row r="644" ht="15.75" customHeight="1" s="88"/>
    <row r="645" ht="15.75" customHeight="1" s="88"/>
    <row r="646" ht="15.75" customHeight="1" s="88"/>
    <row r="647" ht="15.75" customHeight="1" s="88"/>
    <row r="648" ht="15.75" customHeight="1" s="88"/>
    <row r="649" ht="15.75" customHeight="1" s="88"/>
    <row r="650" ht="15.75" customHeight="1" s="88"/>
    <row r="651" ht="15.75" customHeight="1" s="88"/>
    <row r="652" ht="15.75" customHeight="1" s="88"/>
    <row r="653" ht="15.75" customHeight="1" s="88"/>
    <row r="654" ht="15.75" customHeight="1" s="88"/>
    <row r="655" ht="15.75" customHeight="1" s="88"/>
    <row r="656" ht="15.75" customHeight="1" s="88"/>
    <row r="657" ht="15.75" customHeight="1" s="88"/>
    <row r="658" ht="15.75" customHeight="1" s="88"/>
    <row r="659" ht="15.75" customHeight="1" s="88"/>
    <row r="660" ht="15.75" customHeight="1" s="88"/>
    <row r="661" ht="15.75" customHeight="1" s="88"/>
    <row r="662" ht="15.75" customHeight="1" s="88"/>
    <row r="663" ht="15.75" customHeight="1" s="88"/>
    <row r="664" ht="15.75" customHeight="1" s="88"/>
    <row r="665" ht="15.75" customHeight="1" s="88"/>
    <row r="666" ht="15.75" customHeight="1" s="88"/>
    <row r="667" ht="15.75" customHeight="1" s="88"/>
    <row r="668" ht="15.75" customHeight="1" s="88"/>
    <row r="669" ht="15.75" customHeight="1" s="88"/>
    <row r="670" ht="15.75" customHeight="1" s="88"/>
    <row r="671" ht="15.75" customHeight="1" s="88"/>
    <row r="672" ht="15.75" customHeight="1" s="88"/>
    <row r="673" ht="15.75" customHeight="1" s="88"/>
    <row r="674" ht="15.75" customHeight="1" s="88"/>
    <row r="675" ht="15.75" customHeight="1" s="88"/>
    <row r="676" ht="15.75" customHeight="1" s="88"/>
    <row r="677" ht="15.75" customHeight="1" s="88"/>
    <row r="678" ht="15.75" customHeight="1" s="88"/>
    <row r="679" ht="15.75" customHeight="1" s="88"/>
    <row r="680" ht="15.75" customHeight="1" s="88"/>
    <row r="681" ht="15.75" customHeight="1" s="88"/>
    <row r="682" ht="15.75" customHeight="1" s="88"/>
    <row r="683" ht="15.75" customHeight="1" s="88"/>
    <row r="684" ht="15.75" customHeight="1" s="88"/>
    <row r="685" ht="15.75" customHeight="1" s="88"/>
    <row r="686" ht="15.75" customHeight="1" s="88"/>
    <row r="687" ht="15.75" customHeight="1" s="88"/>
    <row r="688" ht="15.75" customHeight="1" s="88"/>
    <row r="689" ht="15.75" customHeight="1" s="88"/>
    <row r="690" ht="15.75" customHeight="1" s="88"/>
    <row r="691" ht="15.75" customHeight="1" s="88"/>
    <row r="692" ht="15.75" customHeight="1" s="88"/>
    <row r="693" ht="15.75" customHeight="1" s="88"/>
    <row r="694" ht="15.75" customHeight="1" s="88"/>
    <row r="695" ht="15.75" customHeight="1" s="88"/>
    <row r="696" ht="15.75" customHeight="1" s="88"/>
    <row r="697" ht="15.75" customHeight="1" s="88"/>
    <row r="698" ht="15.75" customHeight="1" s="88"/>
    <row r="699" ht="15.75" customHeight="1" s="88"/>
    <row r="700" ht="15.75" customHeight="1" s="88"/>
    <row r="701" ht="15.75" customHeight="1" s="88"/>
    <row r="702" ht="15.75" customHeight="1" s="88"/>
    <row r="703" ht="15.75" customHeight="1" s="88"/>
    <row r="704" ht="15.75" customHeight="1" s="88"/>
    <row r="705" ht="15.75" customHeight="1" s="88"/>
    <row r="706" ht="15.75" customHeight="1" s="88"/>
    <row r="707" ht="15.75" customHeight="1" s="88"/>
    <row r="708" ht="15.75" customHeight="1" s="88"/>
    <row r="709" ht="15.75" customHeight="1" s="88"/>
    <row r="710" ht="15.75" customHeight="1" s="88"/>
    <row r="711" ht="15.75" customHeight="1" s="88"/>
    <row r="712" ht="15.75" customHeight="1" s="88"/>
    <row r="713" ht="15.75" customHeight="1" s="88"/>
    <row r="714" ht="15.75" customHeight="1" s="88"/>
    <row r="715" ht="15.75" customHeight="1" s="88"/>
    <row r="716" ht="15.75" customHeight="1" s="88"/>
    <row r="717" ht="15.75" customHeight="1" s="88"/>
    <row r="718" ht="15.75" customHeight="1" s="88"/>
    <row r="719" ht="15.75" customHeight="1" s="88"/>
    <row r="720" ht="15.75" customHeight="1" s="88"/>
    <row r="721" ht="15.75" customHeight="1" s="88"/>
    <row r="722" ht="15.75" customHeight="1" s="88"/>
    <row r="723" ht="15.75" customHeight="1" s="88"/>
    <row r="724" ht="15.75" customHeight="1" s="88"/>
    <row r="725" ht="15.75" customHeight="1" s="88"/>
    <row r="726" ht="15.75" customHeight="1" s="88"/>
    <row r="727" ht="15.75" customHeight="1" s="88"/>
    <row r="728" ht="15.75" customHeight="1" s="88"/>
    <row r="729" ht="15.75" customHeight="1" s="88"/>
    <row r="730" ht="15.75" customHeight="1" s="88"/>
    <row r="731" ht="15.75" customHeight="1" s="88"/>
    <row r="732" ht="15.75" customHeight="1" s="88"/>
    <row r="733" ht="15.75" customHeight="1" s="88"/>
    <row r="734" ht="15.75" customHeight="1" s="88"/>
    <row r="735" ht="15.75" customHeight="1" s="88"/>
    <row r="736" ht="15.75" customHeight="1" s="88"/>
    <row r="737" ht="15.75" customHeight="1" s="88"/>
    <row r="738" ht="15.75" customHeight="1" s="88"/>
    <row r="739" ht="15.75" customHeight="1" s="88"/>
    <row r="740" ht="15.75" customHeight="1" s="88"/>
    <row r="741" ht="15.75" customHeight="1" s="88"/>
    <row r="742" ht="15.75" customHeight="1" s="88"/>
    <row r="743" ht="15.75" customHeight="1" s="88"/>
    <row r="744" ht="15.75" customHeight="1" s="88"/>
    <row r="745" ht="15.75" customHeight="1" s="88"/>
    <row r="746" ht="15.75" customHeight="1" s="88"/>
    <row r="747" ht="15.75" customHeight="1" s="88"/>
    <row r="748" ht="15.75" customHeight="1" s="88"/>
    <row r="749" ht="15.75" customHeight="1" s="88"/>
    <row r="750" ht="15.75" customHeight="1" s="88"/>
    <row r="751" ht="15.75" customHeight="1" s="88"/>
    <row r="752" ht="15.75" customHeight="1" s="88"/>
    <row r="753" ht="15.75" customHeight="1" s="88"/>
    <row r="754" ht="15.75" customHeight="1" s="88"/>
    <row r="755" ht="15.75" customHeight="1" s="88"/>
    <row r="756" ht="15.75" customHeight="1" s="88"/>
    <row r="757" ht="15.75" customHeight="1" s="88"/>
    <row r="758" ht="15.75" customHeight="1" s="88"/>
    <row r="759" ht="15.75" customHeight="1" s="88"/>
    <row r="760" ht="15.75" customHeight="1" s="88"/>
    <row r="761" ht="15.75" customHeight="1" s="88"/>
    <row r="762" ht="15.75" customHeight="1" s="88"/>
    <row r="763" ht="15.75" customHeight="1" s="88"/>
    <row r="764" ht="15.75" customHeight="1" s="88"/>
    <row r="765" ht="15.75" customHeight="1" s="88"/>
    <row r="766" ht="15.75" customHeight="1" s="88"/>
    <row r="767" ht="15.75" customHeight="1" s="88"/>
    <row r="768" ht="15.75" customHeight="1" s="88"/>
    <row r="769" ht="15.75" customHeight="1" s="88"/>
    <row r="770" ht="15.75" customHeight="1" s="88"/>
    <row r="771" ht="15.75" customHeight="1" s="88"/>
    <row r="772" ht="15.75" customHeight="1" s="88"/>
    <row r="773" ht="15.75" customHeight="1" s="88"/>
    <row r="774" ht="15.75" customHeight="1" s="88"/>
    <row r="775" ht="15.75" customHeight="1" s="88"/>
    <row r="776" ht="15.75" customHeight="1" s="88"/>
    <row r="777" ht="15.75" customHeight="1" s="88"/>
    <row r="778" ht="15.75" customHeight="1" s="88"/>
    <row r="779" ht="15.75" customHeight="1" s="88"/>
    <row r="780" ht="15.75" customHeight="1" s="88"/>
    <row r="781" ht="15.75" customHeight="1" s="88"/>
    <row r="782" ht="15.75" customHeight="1" s="88"/>
    <row r="783" ht="15.75" customHeight="1" s="88"/>
    <row r="784" ht="15.75" customHeight="1" s="88"/>
    <row r="785" ht="15.75" customHeight="1" s="88"/>
    <row r="786" ht="15.75" customHeight="1" s="88"/>
    <row r="787" ht="15.75" customHeight="1" s="88"/>
    <row r="788" ht="15.75" customHeight="1" s="88"/>
    <row r="789" ht="15.75" customHeight="1" s="88"/>
    <row r="790" ht="15.75" customHeight="1" s="88"/>
    <row r="791" ht="15.75" customHeight="1" s="88"/>
    <row r="792" ht="15.75" customHeight="1" s="88"/>
    <row r="793" ht="15.75" customHeight="1" s="88"/>
    <row r="794" ht="15.75" customHeight="1" s="88"/>
    <row r="795" ht="15.75" customHeight="1" s="88"/>
    <row r="796" ht="15.75" customHeight="1" s="88"/>
    <row r="797" ht="15.75" customHeight="1" s="88"/>
    <row r="798" ht="15.75" customHeight="1" s="88"/>
    <row r="799" ht="15.75" customHeight="1" s="88"/>
    <row r="800" ht="15.75" customHeight="1" s="88"/>
    <row r="801" ht="15.75" customHeight="1" s="88"/>
    <row r="802" ht="15.75" customHeight="1" s="88"/>
    <row r="803" ht="15.75" customHeight="1" s="88"/>
    <row r="804" ht="15.75" customHeight="1" s="88"/>
    <row r="805" ht="15.75" customHeight="1" s="88"/>
    <row r="806" ht="15.75" customHeight="1" s="88"/>
    <row r="807" ht="15.75" customHeight="1" s="88"/>
    <row r="808" ht="15.75" customHeight="1" s="88"/>
    <row r="809" ht="15.75" customHeight="1" s="88"/>
    <row r="810" ht="15.75" customHeight="1" s="88"/>
    <row r="811" ht="15.75" customHeight="1" s="88"/>
    <row r="812" ht="15.75" customHeight="1" s="88"/>
    <row r="813" ht="15.75" customHeight="1" s="88"/>
    <row r="814" ht="15.75" customHeight="1" s="88"/>
    <row r="815" ht="15.75" customHeight="1" s="88"/>
    <row r="816" ht="15.75" customHeight="1" s="88"/>
    <row r="817" ht="15.75" customHeight="1" s="88"/>
    <row r="818" ht="15.75" customHeight="1" s="88"/>
    <row r="819" ht="15.75" customHeight="1" s="88"/>
    <row r="820" ht="15.75" customHeight="1" s="88"/>
    <row r="821" ht="15.75" customHeight="1" s="88"/>
    <row r="822" ht="15.75" customHeight="1" s="88"/>
    <row r="823" ht="15.75" customHeight="1" s="88"/>
    <row r="824" ht="15.75" customHeight="1" s="88"/>
    <row r="825" ht="15.75" customHeight="1" s="88"/>
    <row r="826" ht="15.75" customHeight="1" s="88"/>
    <row r="827" ht="15.75" customHeight="1" s="88"/>
    <row r="828" ht="15.75" customHeight="1" s="88"/>
    <row r="829" ht="15.75" customHeight="1" s="88"/>
    <row r="830" ht="15.75" customHeight="1" s="88"/>
    <row r="831" ht="15.75" customHeight="1" s="88"/>
    <row r="832" ht="15.75" customHeight="1" s="88"/>
    <row r="833" ht="15.75" customHeight="1" s="88"/>
    <row r="834" ht="15.75" customHeight="1" s="88"/>
    <row r="835" ht="15.75" customHeight="1" s="88"/>
    <row r="836" ht="15.75" customHeight="1" s="88"/>
    <row r="837" ht="15.75" customHeight="1" s="88"/>
    <row r="838" ht="15.75" customHeight="1" s="88"/>
    <row r="839" ht="15.75" customHeight="1" s="88"/>
    <row r="840" ht="15.75" customHeight="1" s="88"/>
    <row r="841" ht="15.75" customHeight="1" s="88"/>
    <row r="842" ht="15.75" customHeight="1" s="88"/>
    <row r="843" ht="15.75" customHeight="1" s="88"/>
    <row r="844" ht="15.75" customHeight="1" s="88"/>
    <row r="845" ht="15.75" customHeight="1" s="88"/>
    <row r="846" ht="15.75" customHeight="1" s="88"/>
    <row r="847" ht="15.75" customHeight="1" s="88"/>
    <row r="848" ht="15.75" customHeight="1" s="88"/>
    <row r="849" ht="15.75" customHeight="1" s="88"/>
    <row r="850" ht="15.75" customHeight="1" s="88"/>
    <row r="851" ht="15.75" customHeight="1" s="88"/>
    <row r="852" ht="15.75" customHeight="1" s="88"/>
    <row r="853" ht="15.75" customHeight="1" s="88"/>
    <row r="854" ht="15.75" customHeight="1" s="88"/>
    <row r="855" ht="15.75" customHeight="1" s="88"/>
    <row r="856" ht="15.75" customHeight="1" s="88"/>
    <row r="857" ht="15.75" customHeight="1" s="88"/>
    <row r="858" ht="15.75" customHeight="1" s="88"/>
    <row r="859" ht="15.75" customHeight="1" s="88"/>
    <row r="860" ht="15.75" customHeight="1" s="88"/>
    <row r="861" ht="15.75" customHeight="1" s="88"/>
    <row r="862" ht="15.75" customHeight="1" s="88"/>
    <row r="863" ht="15.75" customHeight="1" s="88"/>
    <row r="864" ht="15.75" customHeight="1" s="88"/>
    <row r="865" ht="15.75" customHeight="1" s="88"/>
    <row r="866" ht="15.75" customHeight="1" s="88"/>
    <row r="867" ht="15.75" customHeight="1" s="88"/>
    <row r="868" ht="15.75" customHeight="1" s="88"/>
    <row r="869" ht="15.75" customHeight="1" s="88"/>
    <row r="870" ht="15.75" customHeight="1" s="88"/>
    <row r="871" ht="15.75" customHeight="1" s="88"/>
    <row r="872" ht="15.75" customHeight="1" s="88"/>
    <row r="873" ht="15.75" customHeight="1" s="88"/>
    <row r="874" ht="15.75" customHeight="1" s="88"/>
    <row r="875" ht="15.75" customHeight="1" s="88"/>
    <row r="876" ht="15.75" customHeight="1" s="88"/>
    <row r="877" ht="15.75" customHeight="1" s="88"/>
    <row r="878" ht="15.75" customHeight="1" s="88"/>
    <row r="879" ht="15.75" customHeight="1" s="88"/>
    <row r="880" ht="15.75" customHeight="1" s="88"/>
    <row r="881" ht="15.75" customHeight="1" s="88"/>
    <row r="882" ht="15.75" customHeight="1" s="88"/>
    <row r="883" ht="15.75" customHeight="1" s="88"/>
    <row r="884" ht="15.75" customHeight="1" s="88"/>
    <row r="885" ht="15.75" customHeight="1" s="88"/>
    <row r="886" ht="15.75" customHeight="1" s="88"/>
    <row r="887" ht="15.75" customHeight="1" s="88"/>
    <row r="888" ht="15.75" customHeight="1" s="88"/>
    <row r="889" ht="15.75" customHeight="1" s="88"/>
    <row r="890" ht="15.75" customHeight="1" s="88"/>
    <row r="891" ht="15.75" customHeight="1" s="88"/>
    <row r="892" ht="15.75" customHeight="1" s="88"/>
    <row r="893" ht="15.75" customHeight="1" s="88"/>
    <row r="894" ht="15.75" customHeight="1" s="88"/>
    <row r="895" ht="15.75" customHeight="1" s="88"/>
    <row r="896" ht="15.75" customHeight="1" s="88"/>
    <row r="897" ht="15.75" customHeight="1" s="88"/>
    <row r="898" ht="15.75" customHeight="1" s="88"/>
    <row r="899" ht="15.75" customHeight="1" s="88"/>
    <row r="900" ht="15.75" customHeight="1" s="88"/>
    <row r="901" ht="15.75" customHeight="1" s="88"/>
    <row r="902" ht="15.75" customHeight="1" s="88"/>
    <row r="903" ht="15.75" customHeight="1" s="88"/>
    <row r="904" ht="15.75" customHeight="1" s="88"/>
    <row r="905" ht="15.75" customHeight="1" s="88"/>
    <row r="906" ht="15.75" customHeight="1" s="88"/>
    <row r="907" ht="15.75" customHeight="1" s="88"/>
    <row r="908" ht="15.75" customHeight="1" s="88"/>
    <row r="909" ht="15.75" customHeight="1" s="88"/>
    <row r="910" ht="15.75" customHeight="1" s="88"/>
    <row r="911" ht="15.75" customHeight="1" s="88"/>
    <row r="912" ht="15.75" customHeight="1" s="88"/>
    <row r="913" ht="15.75" customHeight="1" s="88"/>
    <row r="914" ht="15.75" customHeight="1" s="88"/>
    <row r="915" ht="15.75" customHeight="1" s="88"/>
    <row r="916" ht="15.75" customHeight="1" s="88"/>
    <row r="917" ht="15.75" customHeight="1" s="88"/>
    <row r="918" ht="15.75" customHeight="1" s="88"/>
    <row r="919" ht="15.75" customHeight="1" s="88"/>
    <row r="920" ht="15.75" customHeight="1" s="88"/>
    <row r="921" ht="15.75" customHeight="1" s="88"/>
    <row r="922" ht="15.75" customHeight="1" s="88"/>
    <row r="923" ht="15.75" customHeight="1" s="88"/>
    <row r="924" ht="15.75" customHeight="1" s="88"/>
    <row r="925" ht="15.75" customHeight="1" s="88"/>
    <row r="926" ht="15.75" customHeight="1" s="88"/>
    <row r="927" ht="15.75" customHeight="1" s="88"/>
    <row r="928" ht="15.75" customHeight="1" s="88"/>
    <row r="929" ht="15.75" customHeight="1" s="88"/>
    <row r="930" ht="15.75" customHeight="1" s="88"/>
    <row r="931" ht="15.75" customHeight="1" s="88"/>
    <row r="932" ht="15.75" customHeight="1" s="88"/>
    <row r="933" ht="15.75" customHeight="1" s="88"/>
    <row r="934" ht="15.75" customHeight="1" s="88"/>
    <row r="935" ht="15.75" customHeight="1" s="88"/>
    <row r="936" ht="15.75" customHeight="1" s="88"/>
    <row r="937" ht="15.75" customHeight="1" s="88"/>
    <row r="938" ht="15.75" customHeight="1" s="88"/>
    <row r="939" ht="15.75" customHeight="1" s="88"/>
    <row r="940" ht="15.75" customHeight="1" s="88"/>
    <row r="941" ht="15.75" customHeight="1" s="88"/>
    <row r="942" ht="15.75" customHeight="1" s="88"/>
    <row r="943" ht="15.75" customHeight="1" s="88"/>
    <row r="944" ht="15.75" customHeight="1" s="88"/>
    <row r="945" ht="15.75" customHeight="1" s="88"/>
    <row r="946" ht="15.75" customHeight="1" s="88"/>
    <row r="947" ht="15.75" customHeight="1" s="88"/>
    <row r="948" ht="15.75" customHeight="1" s="88"/>
    <row r="949" ht="15.75" customHeight="1" s="88"/>
    <row r="950" ht="15.75" customHeight="1" s="88"/>
    <row r="951" ht="15.75" customHeight="1" s="88"/>
    <row r="952" ht="15.75" customHeight="1" s="88"/>
    <row r="953" ht="15.75" customHeight="1" s="88"/>
    <row r="954" ht="15.75" customHeight="1" s="88"/>
    <row r="955" ht="15.75" customHeight="1" s="88"/>
    <row r="956" ht="15.75" customHeight="1" s="88"/>
    <row r="957" ht="15.75" customHeight="1" s="88"/>
    <row r="958" ht="15.75" customHeight="1" s="88"/>
    <row r="959" ht="15.75" customHeight="1" s="88"/>
    <row r="960" ht="15.75" customHeight="1" s="88"/>
    <row r="961" ht="15.75" customHeight="1" s="88"/>
    <row r="962" ht="15.75" customHeight="1" s="88"/>
    <row r="963" ht="15.75" customHeight="1" s="88"/>
    <row r="964" ht="15.75" customHeight="1" s="88"/>
    <row r="965" ht="15.75" customHeight="1" s="88"/>
    <row r="966" ht="15.75" customHeight="1" s="88"/>
    <row r="967" ht="15.75" customHeight="1" s="88"/>
    <row r="968" ht="15.75" customHeight="1" s="88"/>
    <row r="969" ht="15.75" customHeight="1" s="88"/>
    <row r="970" ht="15.75" customHeight="1" s="88"/>
    <row r="971" ht="15.75" customHeight="1" s="88"/>
    <row r="972" ht="15.75" customHeight="1" s="88"/>
    <row r="973" ht="15.75" customHeight="1" s="88"/>
    <row r="974" ht="15.75" customHeight="1" s="88"/>
    <row r="975" ht="15.75" customHeight="1" s="88"/>
    <row r="976" ht="15.75" customHeight="1" s="88"/>
    <row r="977" ht="15.75" customHeight="1" s="88"/>
    <row r="978" ht="15.75" customHeight="1" s="88"/>
    <row r="979" ht="15.75" customHeight="1" s="88"/>
    <row r="980" ht="15.75" customHeight="1" s="88"/>
    <row r="981" ht="15.75" customHeight="1" s="88"/>
    <row r="982" ht="15.75" customHeight="1" s="88"/>
    <row r="983" ht="15.75" customHeight="1" s="88"/>
    <row r="984" ht="15.75" customHeight="1" s="88"/>
    <row r="985" ht="15.75" customHeight="1" s="88"/>
    <row r="986" ht="15.75" customHeight="1" s="88"/>
    <row r="987" ht="15.75" customHeight="1" s="88"/>
    <row r="988" ht="15.75" customHeight="1" s="88"/>
    <row r="989" ht="15.75" customHeight="1" s="88"/>
    <row r="990" ht="15.75" customHeight="1" s="88"/>
    <row r="991" ht="15.75" customHeight="1" s="88"/>
    <row r="992" ht="15.75" customHeight="1" s="88"/>
    <row r="993" ht="15.75" customHeight="1" s="88"/>
    <row r="994" ht="15.75" customHeight="1" s="88"/>
    <row r="995" ht="15.75" customHeight="1" s="88"/>
    <row r="996" ht="15.75" customHeight="1" s="88"/>
    <row r="997" ht="15.75" customHeight="1" s="88"/>
    <row r="998" ht="15.75" customHeight="1" s="88"/>
    <row r="999" ht="15.75" customHeight="1" s="88"/>
    <row r="1000" ht="15.75" customHeight="1" s="88"/>
  </sheetData>
  <mergeCells count="6">
    <mergeCell ref="A13:M13"/>
    <mergeCell ref="A1:P1"/>
    <mergeCell ref="N13:P13"/>
    <mergeCell ref="A4:P4"/>
    <mergeCell ref="A3:P3"/>
    <mergeCell ref="A2:P2"/>
  </mergeCells>
  <pageMargins left="0.7" right="0.7" top="0.75" bottom="0.75" header="0" footer="0"/>
  <pageSetup orientation="landscape" scale="7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1"/>
  <sheetViews>
    <sheetView topLeftCell="A28" workbookViewId="0">
      <selection activeCell="E41" sqref="E41"/>
    </sheetView>
  </sheetViews>
  <sheetFormatPr baseColWidth="8" defaultColWidth="12.59765625" defaultRowHeight="15" customHeight="1"/>
  <cols>
    <col width="5.69921875" customWidth="1" style="88" min="1" max="1"/>
    <col width="17.5" customWidth="1" style="88" min="2" max="2"/>
    <col width="29.5" customWidth="1" style="88" min="3" max="3"/>
    <col width="14.19921875" customWidth="1" style="88" min="4" max="5"/>
    <col width="13.19921875" customWidth="1" style="88" min="6" max="6"/>
    <col width="13.3984375" customWidth="1" style="88" min="7" max="7"/>
    <col width="13.19921875" customWidth="1" style="88" min="8" max="8"/>
    <col width="7.69921875" customWidth="1" style="88" min="9" max="26"/>
  </cols>
  <sheetData>
    <row r="1" ht="19.5" customHeight="1" s="88">
      <c r="A1" s="15">
        <f>'CO-PO Mapping'!A1:P1</f>
        <v/>
      </c>
      <c r="B1" s="123" t="n"/>
      <c r="C1" s="123" t="n"/>
      <c r="D1" s="123" t="n"/>
      <c r="E1" s="123" t="n"/>
      <c r="F1" s="123" t="n"/>
      <c r="G1" s="123" t="n"/>
      <c r="H1" s="124" t="n"/>
    </row>
    <row r="2" ht="19.5" customHeight="1" s="88">
      <c r="A2" s="15" t="inlineStr">
        <is>
          <t>End Term and Sessional Assessment Sheet</t>
        </is>
      </c>
      <c r="B2" s="123" t="n"/>
      <c r="C2" s="123" t="n"/>
      <c r="D2" s="123" t="n"/>
      <c r="E2" s="123" t="n"/>
      <c r="F2" s="123" t="n"/>
      <c r="G2" s="123" t="n"/>
      <c r="H2" s="124" t="n"/>
    </row>
    <row r="3" ht="19.5" customHeight="1" s="88">
      <c r="A3" s="15">
        <f>'CO-PO Mapping'!A3:P3</f>
        <v/>
      </c>
      <c r="B3" s="123" t="n"/>
      <c r="C3" s="123" t="n"/>
      <c r="D3" s="123" t="n"/>
      <c r="E3" s="123" t="n"/>
      <c r="F3" s="123" t="n"/>
      <c r="G3" s="123" t="n"/>
      <c r="H3" s="124" t="n"/>
    </row>
    <row r="4" ht="19.5" customHeight="1" s="88">
      <c r="A4" s="15">
        <f>'CO-PO Mapping'!A4:P4</f>
        <v/>
      </c>
      <c r="B4" s="123" t="n"/>
      <c r="C4" s="123" t="n"/>
      <c r="D4" s="123" t="n"/>
      <c r="E4" s="123" t="n"/>
      <c r="F4" s="123" t="n"/>
      <c r="G4" s="123" t="n"/>
      <c r="H4" s="12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</row>
    <row r="5" ht="31.2" customHeight="1" s="88">
      <c r="A5" s="15" t="inlineStr">
        <is>
          <t>S.NO.</t>
        </is>
      </c>
      <c r="B5" s="15" t="inlineStr">
        <is>
          <t>RollNo</t>
        </is>
      </c>
      <c r="C5" s="15" t="inlineStr">
        <is>
          <t>Name</t>
        </is>
      </c>
      <c r="D5" s="12" t="inlineStr">
        <is>
          <t>END TERM
MARKS</t>
        </is>
      </c>
      <c r="E5" s="12" t="inlineStr">
        <is>
          <t>SESSIONAL
MARKS</t>
        </is>
      </c>
      <c r="F5" s="15" t="inlineStr">
        <is>
          <t>TOTAL</t>
        </is>
      </c>
      <c r="G5" s="12" t="inlineStr">
        <is>
          <t>Course Attainment with
Target in %</t>
        </is>
      </c>
      <c r="H5" s="124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 ht="31.2" customHeight="1" s="88">
      <c r="A6" s="125" t="n"/>
      <c r="B6" s="125" t="n"/>
      <c r="C6" s="15" t="inlineStr">
        <is>
          <t>MAX MARKS</t>
        </is>
      </c>
      <c r="D6" s="15" t="n">
        <v>70</v>
      </c>
      <c r="E6" s="15" t="n">
        <v>30</v>
      </c>
      <c r="F6" s="15">
        <f>D6+E6</f>
        <v/>
      </c>
      <c r="G6" s="12" t="inlineStr">
        <is>
          <t>t_End Term
Exam</t>
        </is>
      </c>
      <c r="H6" s="12" t="inlineStr">
        <is>
          <t>t_Sessional
Exam</t>
        </is>
      </c>
    </row>
    <row r="7" ht="19.5" customHeight="1" s="88">
      <c r="A7" s="103" t="inlineStr">
        <is>
          <t>Set Target Level</t>
        </is>
      </c>
      <c r="B7" s="126" t="n"/>
      <c r="C7" s="127" t="n"/>
      <c r="D7" s="17" t="n">
        <v>0.6</v>
      </c>
      <c r="E7" s="17" t="n">
        <v>0.7</v>
      </c>
      <c r="F7" s="18" t="n"/>
      <c r="G7" s="19" t="n">
        <v>0.6</v>
      </c>
      <c r="H7" s="19" t="n">
        <v>0.7</v>
      </c>
    </row>
    <row r="8" ht="19.5" customHeight="1" s="88">
      <c r="A8" s="20" t="n">
        <v>1</v>
      </c>
      <c r="B8" s="80" t="inlineStr">
        <is>
          <t>23ETCCS001</t>
        </is>
      </c>
      <c r="C8" s="75" t="inlineStr">
        <is>
          <t>AAKANSHA SILAWAT</t>
        </is>
      </c>
      <c r="D8" s="79" t="n">
        <v>52</v>
      </c>
      <c r="E8" s="79" t="n">
        <v>26</v>
      </c>
      <c r="F8" s="79">
        <f>D8+E8</f>
        <v/>
      </c>
      <c r="G8" s="22">
        <f>IF((D8/$D$6)&gt;=$D$7,1,0)</f>
        <v/>
      </c>
      <c r="H8" s="23">
        <f>IF((E8/$E$6)&gt;=$E$7,1,0)</f>
        <v/>
      </c>
    </row>
    <row r="9" ht="19.5" customHeight="1" s="88">
      <c r="A9" s="20" t="n">
        <v>2</v>
      </c>
      <c r="B9" s="74" t="inlineStr">
        <is>
          <t>23ETCCS002</t>
        </is>
      </c>
      <c r="C9" s="75" t="inlineStr">
        <is>
          <t>ABHINAV MISHRA</t>
        </is>
      </c>
      <c r="D9" s="79" t="n">
        <v>34</v>
      </c>
      <c r="E9" s="79" t="n">
        <v>26</v>
      </c>
      <c r="F9" s="79">
        <f>D9+E9</f>
        <v/>
      </c>
      <c r="G9" s="22">
        <f>IF((D9/$D$6)&gt;=$D$7,1,0)</f>
        <v/>
      </c>
      <c r="H9" s="23">
        <f>IF((E9/$E$6)&gt;=$E$7,1,0)</f>
        <v/>
      </c>
    </row>
    <row r="10" ht="19.5" customHeight="1" s="88">
      <c r="A10" s="20" t="n">
        <v>3</v>
      </c>
      <c r="B10" s="74" t="inlineStr">
        <is>
          <t>23ETCCS003</t>
        </is>
      </c>
      <c r="C10" s="75" t="inlineStr">
        <is>
          <t>ACHAL JAIN</t>
        </is>
      </c>
      <c r="D10" s="79" t="n">
        <v>33</v>
      </c>
      <c r="E10" s="79" t="n">
        <v>24</v>
      </c>
      <c r="F10" s="79">
        <f>D10+E10</f>
        <v/>
      </c>
      <c r="G10" s="22">
        <f>IF((D10/$D$6)&gt;=$D$7,1,0)</f>
        <v/>
      </c>
      <c r="H10" s="23">
        <f>IF((E10/$E$6)&gt;=$E$7,1,0)</f>
        <v/>
      </c>
    </row>
    <row r="11" ht="19.5" customHeight="1" s="88">
      <c r="A11" s="20" t="n">
        <v>4</v>
      </c>
      <c r="B11" s="74" t="inlineStr">
        <is>
          <t>23ETCCS004</t>
        </is>
      </c>
      <c r="C11" s="75" t="inlineStr">
        <is>
          <t>ADITYA SISODIYA</t>
        </is>
      </c>
      <c r="D11" s="79" t="n">
        <v>51</v>
      </c>
      <c r="E11" s="79" t="n">
        <v>27</v>
      </c>
      <c r="F11" s="79">
        <f>D11+E11</f>
        <v/>
      </c>
      <c r="G11" s="22">
        <f>IF((D11/$D$6)&gt;=$D$7,1,0)</f>
        <v/>
      </c>
      <c r="H11" s="23">
        <f>IF((E11/$E$6)&gt;=$E$7,1,0)</f>
        <v/>
      </c>
    </row>
    <row r="12" ht="19.5" customHeight="1" s="88">
      <c r="A12" s="20" t="n">
        <v>5</v>
      </c>
      <c r="B12" s="74" t="inlineStr">
        <is>
          <t>23ETCCS005</t>
        </is>
      </c>
      <c r="C12" s="75" t="inlineStr">
        <is>
          <t>AKSHAT JAIN</t>
        </is>
      </c>
      <c r="D12" s="79" t="n">
        <v>41</v>
      </c>
      <c r="E12" s="79" t="n">
        <v>24</v>
      </c>
      <c r="F12" s="79">
        <f>D12+E12</f>
        <v/>
      </c>
      <c r="G12" s="22">
        <f>IF((D12/$D$6)&gt;=$D$7,1,0)</f>
        <v/>
      </c>
      <c r="H12" s="23">
        <f>IF((E12/$E$6)&gt;=$E$7,1,0)</f>
        <v/>
      </c>
    </row>
    <row r="13" ht="19.5" customHeight="1" s="88">
      <c r="A13" s="20" t="n">
        <v>6</v>
      </c>
      <c r="B13" s="74" t="inlineStr">
        <is>
          <t>23ETCCS006</t>
        </is>
      </c>
      <c r="C13" s="75" t="inlineStr">
        <is>
          <t>AKSHAY SUTHAR</t>
        </is>
      </c>
      <c r="D13" s="79" t="n">
        <v>51</v>
      </c>
      <c r="E13" s="79" t="n">
        <v>28</v>
      </c>
      <c r="F13" s="79">
        <f>D13+E13</f>
        <v/>
      </c>
      <c r="G13" s="22">
        <f>IF((D13/$D$6)&gt;=$D$7,1,0)</f>
        <v/>
      </c>
      <c r="H13" s="23">
        <f>IF((E13/$E$6)&gt;=$E$7,1,0)</f>
        <v/>
      </c>
    </row>
    <row r="14" ht="19.5" customHeight="1" s="88">
      <c r="A14" s="20" t="n">
        <v>7</v>
      </c>
      <c r="B14" s="74" t="inlineStr">
        <is>
          <t>23ETCCS007</t>
        </is>
      </c>
      <c r="C14" s="75" t="inlineStr">
        <is>
          <t>ANANT SINGH JADON</t>
        </is>
      </c>
      <c r="D14" s="79" t="n">
        <v>40</v>
      </c>
      <c r="E14" s="79" t="n">
        <v>28</v>
      </c>
      <c r="F14" s="79">
        <f>D14+E14</f>
        <v/>
      </c>
      <c r="G14" s="22">
        <f>IF((D14/$D$6)&gt;=$D$7,1,0)</f>
        <v/>
      </c>
      <c r="H14" s="23">
        <f>IF((E14/$E$6)&gt;=$E$7,1,0)</f>
        <v/>
      </c>
    </row>
    <row r="15" ht="19.5" customHeight="1" s="88">
      <c r="A15" s="20" t="n">
        <v>8</v>
      </c>
      <c r="B15" s="77" t="inlineStr">
        <is>
          <t>23ETCCS008</t>
        </is>
      </c>
      <c r="C15" s="76" t="inlineStr">
        <is>
          <t>ANISHKA RANAWAT</t>
        </is>
      </c>
      <c r="D15" s="79" t="n">
        <v>58</v>
      </c>
      <c r="E15" s="79" t="n">
        <v>30</v>
      </c>
      <c r="F15" s="79">
        <f>D15+E15</f>
        <v/>
      </c>
      <c r="G15" s="22">
        <f>IF((D15/$D$6)&gt;=$D$7,1,0)</f>
        <v/>
      </c>
      <c r="H15" s="23">
        <f>IF((E15/$E$6)&gt;=$E$7,1,0)</f>
        <v/>
      </c>
    </row>
    <row r="16" ht="19.5" customHeight="1" s="88">
      <c r="A16" s="20" t="n">
        <v>9</v>
      </c>
      <c r="B16" s="74" t="inlineStr">
        <is>
          <t>23ETCCS009</t>
        </is>
      </c>
      <c r="C16" s="75" t="inlineStr">
        <is>
          <t>ANJEL NATHAN</t>
        </is>
      </c>
      <c r="D16" s="79" t="n">
        <v>49</v>
      </c>
      <c r="E16" s="79" t="n">
        <v>28</v>
      </c>
      <c r="F16" s="79">
        <f>D16+E16</f>
        <v/>
      </c>
      <c r="G16" s="22">
        <f>IF((D16/$D$6)&gt;=$D$7,1,0)</f>
        <v/>
      </c>
      <c r="H16" s="23">
        <f>IF((E16/$E$6)&gt;=$E$7,1,0)</f>
        <v/>
      </c>
    </row>
    <row r="17" ht="19.5" customHeight="1" s="88">
      <c r="A17" s="20" t="n">
        <v>10</v>
      </c>
      <c r="B17" s="74" t="inlineStr">
        <is>
          <t>23ETCCS010</t>
        </is>
      </c>
      <c r="C17" s="75" t="inlineStr">
        <is>
          <t>AQSA MAKRANI</t>
        </is>
      </c>
      <c r="D17" s="79" t="n">
        <v>55</v>
      </c>
      <c r="E17" s="79" t="n">
        <v>28</v>
      </c>
      <c r="F17" s="79">
        <f>D17+E17</f>
        <v/>
      </c>
      <c r="G17" s="22">
        <f>IF((D17/$D$6)&gt;=$D$7,1,0)</f>
        <v/>
      </c>
      <c r="H17" s="23">
        <f>IF((E17/$E$6)&gt;=$E$7,1,0)</f>
        <v/>
      </c>
    </row>
    <row r="18" ht="19.5" customHeight="1" s="88">
      <c r="A18" s="20" t="n">
        <v>11</v>
      </c>
      <c r="B18" s="74" t="inlineStr">
        <is>
          <t>23ETCCS011</t>
        </is>
      </c>
      <c r="C18" s="75" t="inlineStr">
        <is>
          <t>ARIHANT KOTHARI</t>
        </is>
      </c>
      <c r="D18" s="79" t="n">
        <v>40</v>
      </c>
      <c r="E18" s="79" t="n">
        <v>29</v>
      </c>
      <c r="F18" s="79">
        <f>D18+E18</f>
        <v/>
      </c>
      <c r="G18" s="22">
        <f>IF((D18/$D$6)&gt;=$D$7,1,0)</f>
        <v/>
      </c>
      <c r="H18" s="23">
        <f>IF((E18/$E$6)&gt;=$E$7,1,0)</f>
        <v/>
      </c>
    </row>
    <row r="19" ht="19.5" customHeight="1" s="88">
      <c r="A19" s="20" t="n">
        <v>12</v>
      </c>
      <c r="B19" s="74" t="inlineStr">
        <is>
          <t>23ETCCS012</t>
        </is>
      </c>
      <c r="C19" s="75" t="inlineStr">
        <is>
          <t>ARYAN KUMAR SHRIVASTAVA</t>
        </is>
      </c>
      <c r="D19" s="79" t="n">
        <v>29</v>
      </c>
      <c r="E19" s="79" t="n">
        <v>27</v>
      </c>
      <c r="F19" s="79">
        <f>D19+E19</f>
        <v/>
      </c>
      <c r="G19" s="22">
        <f>IF((D19/$D$6)&gt;=$D$7,1,0)</f>
        <v/>
      </c>
      <c r="H19" s="23">
        <f>IF((E19/$E$6)&gt;=$E$7,1,0)</f>
        <v/>
      </c>
    </row>
    <row r="20" ht="19.5" customHeight="1" s="88">
      <c r="A20" s="20" t="n">
        <v>13</v>
      </c>
      <c r="B20" s="74" t="inlineStr">
        <is>
          <t>23ETCCS013</t>
        </is>
      </c>
      <c r="C20" s="75" t="inlineStr">
        <is>
          <t>ARYAN SHARMA</t>
        </is>
      </c>
      <c r="D20" s="79" t="n">
        <v>27</v>
      </c>
      <c r="E20" s="79" t="n">
        <v>27</v>
      </c>
      <c r="F20" s="79">
        <f>D20+E20</f>
        <v/>
      </c>
      <c r="G20" s="22">
        <f>IF((D20/$D$6)&gt;=$D$7,1,0)</f>
        <v/>
      </c>
      <c r="H20" s="23">
        <f>IF((E20/$E$6)&gt;=$E$7,1,0)</f>
        <v/>
      </c>
    </row>
    <row r="21" ht="19.5" customHeight="1" s="88">
      <c r="A21" s="20" t="n">
        <v>14</v>
      </c>
      <c r="B21" s="74" t="inlineStr">
        <is>
          <t>23ETCCS014</t>
        </is>
      </c>
      <c r="C21" s="75" t="inlineStr">
        <is>
          <t>ASHOK SUTHAR</t>
        </is>
      </c>
      <c r="D21" s="79" t="n">
        <v>41</v>
      </c>
      <c r="E21" s="79" t="n">
        <v>25</v>
      </c>
      <c r="F21" s="79">
        <f>D21+E21</f>
        <v/>
      </c>
      <c r="G21" s="22">
        <f>IF((D21/$D$6)&gt;=$D$7,1,0)</f>
        <v/>
      </c>
      <c r="H21" s="23">
        <f>IF((E21/$E$6)&gt;=$E$7,1,0)</f>
        <v/>
      </c>
    </row>
    <row r="22" ht="19.5" customHeight="1" s="88">
      <c r="A22" s="20" t="n">
        <v>15</v>
      </c>
      <c r="B22" s="74" t="inlineStr">
        <is>
          <t>23ETCCS015</t>
        </is>
      </c>
      <c r="C22" s="75" t="inlineStr">
        <is>
          <t>ASHWIN RAJ SINGH CHOUHAN</t>
        </is>
      </c>
      <c r="D22" s="79" t="n">
        <v>41</v>
      </c>
      <c r="E22" s="79" t="n">
        <v>28</v>
      </c>
      <c r="F22" s="79">
        <f>D22+E22</f>
        <v/>
      </c>
      <c r="G22" s="22">
        <f>IF((D22/$D$6)&gt;=$D$7,1,0)</f>
        <v/>
      </c>
      <c r="H22" s="23">
        <f>IF((E22/$E$6)&gt;=$E$7,1,0)</f>
        <v/>
      </c>
    </row>
    <row r="23" ht="19.5" customHeight="1" s="88">
      <c r="A23" s="20" t="n">
        <v>16</v>
      </c>
      <c r="B23" s="74" t="inlineStr">
        <is>
          <t>23ETCCS016</t>
        </is>
      </c>
      <c r="C23" s="75" t="inlineStr">
        <is>
          <t>BHARAT PRAJAPAT</t>
        </is>
      </c>
      <c r="D23" s="79" t="n">
        <v>61</v>
      </c>
      <c r="E23" s="79" t="n">
        <v>30</v>
      </c>
      <c r="F23" s="79">
        <f>D23+E23</f>
        <v/>
      </c>
      <c r="G23" s="22">
        <f>IF((D23/$D$6)&gt;=$D$7,1,0)</f>
        <v/>
      </c>
      <c r="H23" s="23">
        <f>IF((E23/$E$6)&gt;=$E$7,1,0)</f>
        <v/>
      </c>
    </row>
    <row r="24" ht="19.5" customHeight="1" s="88">
      <c r="A24" s="20" t="n">
        <v>17</v>
      </c>
      <c r="B24" s="74" t="inlineStr">
        <is>
          <t>23ETCCS017</t>
        </is>
      </c>
      <c r="C24" s="75" t="inlineStr">
        <is>
          <t>BHAVESH GURJAR</t>
        </is>
      </c>
      <c r="D24" s="79" t="n">
        <v>49</v>
      </c>
      <c r="E24" s="79" t="n">
        <v>28</v>
      </c>
      <c r="F24" s="79">
        <f>D24+E24</f>
        <v/>
      </c>
      <c r="G24" s="22">
        <f>IF((D24/$D$6)&gt;=$D$7,1,0)</f>
        <v/>
      </c>
      <c r="H24" s="23">
        <f>IF((E24/$E$6)&gt;=$E$7,1,0)</f>
        <v/>
      </c>
    </row>
    <row r="25" ht="19.5" customHeight="1" s="88">
      <c r="A25" s="20" t="n">
        <v>18</v>
      </c>
      <c r="B25" s="74" t="inlineStr">
        <is>
          <t>23ETCCS018</t>
        </is>
      </c>
      <c r="C25" s="75" t="inlineStr">
        <is>
          <t>BHAVESH SUTHAR</t>
        </is>
      </c>
      <c r="D25" s="79" t="n">
        <v>51</v>
      </c>
      <c r="E25" s="79" t="n">
        <v>29</v>
      </c>
      <c r="F25" s="79">
        <f>D25+E25</f>
        <v/>
      </c>
      <c r="G25" s="22">
        <f>IF((D25/$D$6)&gt;=$D$7,1,0)</f>
        <v/>
      </c>
      <c r="H25" s="23">
        <f>IF((E25/$E$6)&gt;=$E$7,1,0)</f>
        <v/>
      </c>
    </row>
    <row r="26" ht="19.5" customHeight="1" s="88">
      <c r="A26" s="20" t="n">
        <v>19</v>
      </c>
      <c r="B26" s="74" t="inlineStr">
        <is>
          <t>23ETCCS019</t>
        </is>
      </c>
      <c r="C26" s="75" t="inlineStr">
        <is>
          <t>BHAVISHYA PALIWAL</t>
        </is>
      </c>
      <c r="D26" s="79" t="n">
        <v>49</v>
      </c>
      <c r="E26" s="79" t="n">
        <v>29</v>
      </c>
      <c r="F26" s="79">
        <f>D26+E26</f>
        <v/>
      </c>
      <c r="G26" s="22">
        <f>IF((D26/$D$6)&gt;=$D$7,1,0)</f>
        <v/>
      </c>
      <c r="H26" s="23">
        <f>IF((E26/$E$6)&gt;=$E$7,1,0)</f>
        <v/>
      </c>
    </row>
    <row r="27" ht="19.5" customHeight="1" s="88">
      <c r="A27" s="20" t="n">
        <v>20</v>
      </c>
      <c r="B27" s="74" t="inlineStr">
        <is>
          <t>23ETCCS020</t>
        </is>
      </c>
      <c r="C27" s="75" t="inlineStr">
        <is>
          <t>BHAVY BAID</t>
        </is>
      </c>
      <c r="D27" s="79" t="n">
        <v>49</v>
      </c>
      <c r="E27" s="79" t="n">
        <v>30</v>
      </c>
      <c r="F27" s="79">
        <f>D27+E27</f>
        <v/>
      </c>
      <c r="G27" s="22">
        <f>IF((D27/$D$6)&gt;=$D$7,1,0)</f>
        <v/>
      </c>
      <c r="H27" s="23">
        <f>IF((E27/$E$6)&gt;=$E$7,1,0)</f>
        <v/>
      </c>
    </row>
    <row r="28" ht="19.5" customHeight="1" s="88">
      <c r="A28" s="20" t="n">
        <v>21</v>
      </c>
      <c r="B28" s="74" t="inlineStr">
        <is>
          <t>23ETCCS021</t>
        </is>
      </c>
      <c r="C28" s="75" t="inlineStr">
        <is>
          <t>BHAVY SARVA</t>
        </is>
      </c>
      <c r="D28" s="79" t="n">
        <v>45</v>
      </c>
      <c r="E28" s="79" t="n">
        <v>29</v>
      </c>
      <c r="F28" s="79">
        <f>D28+E28</f>
        <v/>
      </c>
      <c r="G28" s="22">
        <f>IF((D28/$D$6)&gt;=$D$7,1,0)</f>
        <v/>
      </c>
      <c r="H28" s="23">
        <f>IF((E28/$E$6)&gt;=$E$7,1,0)</f>
        <v/>
      </c>
    </row>
    <row r="29" ht="19.5" customHeight="1" s="88">
      <c r="A29" s="20" t="n">
        <v>22</v>
      </c>
      <c r="B29" s="74" t="inlineStr">
        <is>
          <t>23ETCCS022</t>
        </is>
      </c>
      <c r="C29" s="75" t="inlineStr">
        <is>
          <t>BHAVYARAJ SHRIMALI</t>
        </is>
      </c>
      <c r="D29" s="79" t="n">
        <v>47</v>
      </c>
      <c r="E29" s="79" t="n">
        <v>28</v>
      </c>
      <c r="F29" s="79">
        <f>D29+E29</f>
        <v/>
      </c>
      <c r="G29" s="22">
        <f>IF((D29/$D$6)&gt;=$D$7,1,0)</f>
        <v/>
      </c>
      <c r="H29" s="23">
        <f>IF((E29/$E$6)&gt;=$E$7,1,0)</f>
        <v/>
      </c>
    </row>
    <row r="30" ht="19.5" customHeight="1" s="88">
      <c r="A30" s="20" t="n">
        <v>23</v>
      </c>
      <c r="B30" s="74" t="inlineStr">
        <is>
          <t>23ETCCS023</t>
        </is>
      </c>
      <c r="C30" s="75" t="inlineStr">
        <is>
          <t>BHUMI PALIWAL</t>
        </is>
      </c>
      <c r="D30" s="79" t="n">
        <v>45</v>
      </c>
      <c r="E30" s="79" t="n">
        <v>26</v>
      </c>
      <c r="F30" s="79">
        <f>D30+E30</f>
        <v/>
      </c>
      <c r="G30" s="22">
        <f>IF((D30/$D$6)&gt;=$D$7,1,0)</f>
        <v/>
      </c>
      <c r="H30" s="23">
        <f>IF((E30/$E$6)&gt;=$E$7,1,0)</f>
        <v/>
      </c>
    </row>
    <row r="31" ht="19.5" customHeight="1" s="88">
      <c r="A31" s="20" t="n">
        <v>24</v>
      </c>
      <c r="B31" s="74" t="inlineStr">
        <is>
          <t>23ETCCS024</t>
        </is>
      </c>
      <c r="C31" s="75" t="inlineStr">
        <is>
          <t>CHINMAY TRIVEDI</t>
        </is>
      </c>
      <c r="D31" s="79" t="n">
        <v>34</v>
      </c>
      <c r="E31" s="79" t="n">
        <v>25</v>
      </c>
      <c r="F31" s="79">
        <f>D31+E31</f>
        <v/>
      </c>
      <c r="G31" s="22">
        <f>IF((D31/$D$6)&gt;=$D$7,1,0)</f>
        <v/>
      </c>
      <c r="H31" s="23">
        <f>IF((E31/$E$6)&gt;=$E$7,1,0)</f>
        <v/>
      </c>
    </row>
    <row r="32" ht="19.5" customHeight="1" s="88">
      <c r="A32" s="20" t="n">
        <v>25</v>
      </c>
      <c r="B32" s="74" t="inlineStr">
        <is>
          <t>23ETCCS025</t>
        </is>
      </c>
      <c r="C32" s="75" t="inlineStr">
        <is>
          <t>DARAKSHAN KHAN</t>
        </is>
      </c>
      <c r="D32" s="79" t="n">
        <v>51</v>
      </c>
      <c r="E32" s="79" t="n">
        <v>24</v>
      </c>
      <c r="F32" s="79">
        <f>D32+E32</f>
        <v/>
      </c>
      <c r="G32" s="22">
        <f>IF((D32/$D$6)&gt;=$D$7,1,0)</f>
        <v/>
      </c>
      <c r="H32" s="23">
        <f>IF((E32/$E$6)&gt;=$E$7,1,0)</f>
        <v/>
      </c>
    </row>
    <row r="33" ht="19.5" customHeight="1" s="88">
      <c r="A33" s="20" t="n">
        <v>26</v>
      </c>
      <c r="B33" s="74" t="inlineStr">
        <is>
          <t>23ETCCS026</t>
        </is>
      </c>
      <c r="C33" s="75" t="inlineStr">
        <is>
          <t>DASHRATH JANWA</t>
        </is>
      </c>
      <c r="D33" s="79" t="n">
        <v>46</v>
      </c>
      <c r="E33" s="79" t="n">
        <v>25</v>
      </c>
      <c r="F33" s="79">
        <f>D33+E33</f>
        <v/>
      </c>
      <c r="G33" s="22">
        <f>IF((D33/$D$6)&gt;=$D$7,1,0)</f>
        <v/>
      </c>
      <c r="H33" s="23">
        <f>IF((E33/$E$6)&gt;=$E$7,1,0)</f>
        <v/>
      </c>
    </row>
    <row r="34" ht="19.5" customHeight="1" s="88">
      <c r="A34" s="20" t="n">
        <v>27</v>
      </c>
      <c r="B34" s="74" t="inlineStr">
        <is>
          <t>23ETCCS027</t>
        </is>
      </c>
      <c r="C34" s="75" t="inlineStr">
        <is>
          <t>DEEPAK SAINI</t>
        </is>
      </c>
      <c r="D34" s="79" t="n">
        <v>50</v>
      </c>
      <c r="E34" s="79" t="n">
        <v>29</v>
      </c>
      <c r="F34" s="79">
        <f>D34+E34</f>
        <v/>
      </c>
      <c r="G34" s="22">
        <f>IF((D34/$D$6)&gt;=$D$7,1,0)</f>
        <v/>
      </c>
      <c r="H34" s="23">
        <f>IF((E34/$E$6)&gt;=$E$7,1,0)</f>
        <v/>
      </c>
    </row>
    <row r="35" ht="19.5" customHeight="1" s="88">
      <c r="A35" s="20" t="n">
        <v>28</v>
      </c>
      <c r="B35" s="74" t="inlineStr">
        <is>
          <t>23ETCCS028</t>
        </is>
      </c>
      <c r="C35" s="75" t="inlineStr">
        <is>
          <t>DEVENDRA SINGH</t>
        </is>
      </c>
      <c r="D35" s="79" t="n">
        <v>30</v>
      </c>
      <c r="E35" s="79" t="n">
        <v>28</v>
      </c>
      <c r="F35" s="79">
        <f>D35+E35</f>
        <v/>
      </c>
      <c r="G35" s="22">
        <f>IF((D35/$D$6)&gt;=$D$7,1,0)</f>
        <v/>
      </c>
      <c r="H35" s="23">
        <f>IF((E35/$E$6)&gt;=$E$7,1,0)</f>
        <v/>
      </c>
    </row>
    <row r="36" ht="19.5" customHeight="1" s="88">
      <c r="A36" s="20" t="n">
        <v>29</v>
      </c>
      <c r="B36" s="74" t="inlineStr">
        <is>
          <t>23ETCCS029</t>
        </is>
      </c>
      <c r="C36" s="75" t="inlineStr">
        <is>
          <t>DEVIKA SAJEEV</t>
        </is>
      </c>
      <c r="D36" s="79" t="n">
        <v>47</v>
      </c>
      <c r="E36" s="79" t="n">
        <v>29</v>
      </c>
      <c r="F36" s="79">
        <f>D36+E36</f>
        <v/>
      </c>
      <c r="G36" s="22">
        <f>IF((D36/$D$6)&gt;=$D$7,1,0)</f>
        <v/>
      </c>
      <c r="H36" s="23">
        <f>IF((E36/$E$6)&gt;=$E$7,1,0)</f>
        <v/>
      </c>
    </row>
    <row r="37" ht="19.5" customHeight="1" s="88">
      <c r="A37" s="20" t="n">
        <v>30</v>
      </c>
      <c r="B37" s="74" t="inlineStr">
        <is>
          <t>23ETCCS030</t>
        </is>
      </c>
      <c r="C37" s="75" t="inlineStr">
        <is>
          <t>DHRUV AMETA</t>
        </is>
      </c>
      <c r="D37" s="79" t="n">
        <v>37</v>
      </c>
      <c r="E37" s="79" t="n">
        <v>25</v>
      </c>
      <c r="F37" s="79">
        <f>D37+E37</f>
        <v/>
      </c>
      <c r="G37" s="22">
        <f>IF((D37/$D$6)&gt;=$D$7,1,0)</f>
        <v/>
      </c>
      <c r="H37" s="23">
        <f>IF((E37/$E$6)&gt;=$E$7,1,0)</f>
        <v/>
      </c>
    </row>
    <row r="38" ht="19.5" customHeight="1" s="88">
      <c r="A38" s="20" t="n"/>
      <c r="B38" s="26" t="n"/>
      <c r="C38" s="27" t="n"/>
      <c r="D38" s="28" t="n">
        <v>30</v>
      </c>
      <c r="E38" s="28" t="n">
        <v>30</v>
      </c>
      <c r="F38" s="25" t="n"/>
      <c r="G38" s="15">
        <f>COUNTIF(G8:G37,1)</f>
        <v/>
      </c>
      <c r="H38" s="15">
        <f>COUNTIF(H8:H37,1)</f>
        <v/>
      </c>
    </row>
    <row r="39" ht="15.75" customHeight="1" s="88">
      <c r="A39" s="29" t="inlineStr">
        <is>
          <t>CO Attainment Calculation</t>
        </is>
      </c>
      <c r="B39" s="30" t="n"/>
      <c r="C39" s="31" t="n"/>
      <c r="D39" s="32" t="inlineStr">
        <is>
          <t>% of students get &gt;= Target %</t>
        </is>
      </c>
      <c r="E39" s="32" t="inlineStr">
        <is>
          <t>CO Attainment Level</t>
        </is>
      </c>
      <c r="F39" s="32" t="inlineStr">
        <is>
          <t>Signature Subject Teacher</t>
        </is>
      </c>
      <c r="G39" s="123" t="n"/>
      <c r="H39" s="124" t="n"/>
    </row>
    <row r="40" ht="19.5" customHeight="1" s="88">
      <c r="A40" s="29" t="inlineStr">
        <is>
          <t>Attainment of End Term Exam</t>
        </is>
      </c>
      <c r="B40" s="30" t="n"/>
      <c r="C40" s="31" t="n"/>
      <c r="D40" s="33">
        <f>ROUND((G38/D38*100),0)</f>
        <v/>
      </c>
      <c r="E40" s="32">
        <f>IF(D40&gt;100,"ERROR",IF(D40&gt;=61,3,IF(D40&gt;=46,2,IF(D40&gt;=16,1,IF(D40&gt;15,0,0)))))</f>
        <v/>
      </c>
      <c r="F40" s="34" t="n"/>
      <c r="G40" s="35" t="n"/>
      <c r="H40" s="36" t="n"/>
    </row>
    <row r="41" ht="19.5" customHeight="1" s="88">
      <c r="A41" s="29" t="inlineStr">
        <is>
          <t>Attainment of Sessional Exam</t>
        </is>
      </c>
      <c r="B41" s="30" t="n"/>
      <c r="C41" s="31" t="n"/>
      <c r="D41" s="33">
        <f>ROUND((H38/E38*100),0)</f>
        <v/>
      </c>
      <c r="E41" s="33">
        <f>IF(D41&gt;100,"ERROR",IF(D41&gt;=61,3,IF(D41&gt;=46,2,IF(D41&gt;=16,1,IF(D41&gt;15,0,0)))))</f>
        <v/>
      </c>
      <c r="F41" s="37" t="n"/>
      <c r="G41" s="38" t="n"/>
      <c r="H41" s="39" t="n"/>
    </row>
    <row r="42" ht="15.75" customHeight="1" s="88">
      <c r="D42" s="40" t="n"/>
      <c r="E42" s="40" t="n"/>
    </row>
    <row r="43" ht="15.75" customHeight="1" s="88">
      <c r="D43" s="40" t="n"/>
      <c r="E43" s="40" t="n"/>
    </row>
    <row r="44" ht="15.75" customHeight="1" s="88">
      <c r="D44" s="40" t="n"/>
      <c r="E44" s="40" t="n"/>
    </row>
    <row r="45" ht="15.75" customHeight="1" s="88">
      <c r="D45" s="40" t="n"/>
      <c r="E45" s="40" t="n"/>
    </row>
    <row r="46" ht="15.75" customHeight="1" s="88">
      <c r="D46" s="40" t="n"/>
      <c r="E46" s="40" t="n"/>
    </row>
    <row r="47" ht="15.75" customHeight="1" s="88">
      <c r="D47" s="40" t="n"/>
      <c r="E47" s="40" t="n"/>
    </row>
    <row r="48" ht="15.75" customHeight="1" s="88">
      <c r="D48" s="40" t="n"/>
      <c r="E48" s="40" t="n"/>
    </row>
    <row r="49" ht="15.75" customHeight="1" s="88">
      <c r="D49" s="40" t="n"/>
      <c r="E49" s="40" t="n"/>
    </row>
    <row r="50" ht="15.75" customHeight="1" s="88">
      <c r="D50" s="40" t="n"/>
      <c r="E50" s="40" t="n"/>
    </row>
    <row r="51" ht="15.75" customHeight="1" s="88">
      <c r="D51" s="40" t="n"/>
      <c r="E51" s="40" t="n"/>
    </row>
    <row r="52" ht="15.75" customHeight="1" s="88">
      <c r="D52" s="40" t="n"/>
      <c r="E52" s="40" t="n"/>
    </row>
    <row r="53" ht="15.75" customHeight="1" s="88">
      <c r="D53" s="40" t="n"/>
      <c r="E53" s="40" t="n"/>
    </row>
    <row r="54" ht="15.75" customHeight="1" s="88">
      <c r="D54" s="40" t="n"/>
      <c r="E54" s="40" t="n"/>
    </row>
    <row r="55" ht="15.75" customHeight="1" s="88">
      <c r="D55" s="40" t="n"/>
      <c r="E55" s="40" t="n"/>
    </row>
    <row r="56" ht="15.75" customHeight="1" s="88">
      <c r="D56" s="40" t="n"/>
      <c r="E56" s="40" t="n"/>
    </row>
    <row r="57" ht="15.75" customHeight="1" s="88">
      <c r="D57" s="40" t="n"/>
      <c r="E57" s="40" t="n"/>
    </row>
    <row r="58" ht="15.75" customHeight="1" s="88">
      <c r="D58" s="40" t="n"/>
      <c r="E58" s="40" t="n"/>
    </row>
    <row r="59" ht="15.75" customHeight="1" s="88">
      <c r="D59" s="40" t="n"/>
      <c r="E59" s="40" t="n"/>
    </row>
    <row r="60" ht="15.75" customHeight="1" s="88">
      <c r="D60" s="40" t="n"/>
      <c r="E60" s="40" t="n"/>
    </row>
    <row r="61" ht="15.75" customHeight="1" s="88">
      <c r="D61" s="40" t="n"/>
      <c r="E61" s="40" t="n"/>
    </row>
    <row r="62" ht="15.75" customHeight="1" s="88">
      <c r="D62" s="40" t="n"/>
      <c r="E62" s="40" t="n"/>
    </row>
    <row r="63" ht="15.75" customHeight="1" s="88">
      <c r="D63" s="40" t="n"/>
      <c r="E63" s="40" t="n"/>
    </row>
    <row r="64" ht="15.75" customHeight="1" s="88">
      <c r="D64" s="40" t="n"/>
      <c r="E64" s="40" t="n"/>
    </row>
    <row r="65" ht="15.75" customHeight="1" s="88">
      <c r="D65" s="40" t="n"/>
      <c r="E65" s="40" t="n"/>
    </row>
    <row r="66" ht="15.75" customHeight="1" s="88">
      <c r="D66" s="40" t="n"/>
      <c r="E66" s="40" t="n"/>
    </row>
    <row r="67" ht="15.75" customHeight="1" s="88">
      <c r="D67" s="40" t="n"/>
      <c r="E67" s="40" t="n"/>
    </row>
    <row r="68" ht="15.75" customHeight="1" s="88">
      <c r="D68" s="40" t="n"/>
      <c r="E68" s="40" t="n"/>
    </row>
    <row r="69" ht="15.75" customHeight="1" s="88">
      <c r="D69" s="40" t="n"/>
      <c r="E69" s="40" t="n"/>
    </row>
    <row r="70" ht="15.75" customHeight="1" s="88">
      <c r="D70" s="40" t="n"/>
      <c r="E70" s="40" t="n"/>
    </row>
    <row r="71" ht="15.75" customHeight="1" s="88">
      <c r="D71" s="40" t="n"/>
      <c r="E71" s="40" t="n"/>
    </row>
    <row r="72" ht="15.75" customHeight="1" s="88">
      <c r="D72" s="40" t="n"/>
      <c r="E72" s="40" t="n"/>
    </row>
    <row r="73" ht="15.75" customHeight="1" s="88">
      <c r="D73" s="40" t="n"/>
      <c r="E73" s="40" t="n"/>
    </row>
    <row r="74" ht="15.75" customHeight="1" s="88">
      <c r="D74" s="40" t="n"/>
      <c r="E74" s="40" t="n"/>
    </row>
    <row r="75" ht="15.75" customHeight="1" s="88">
      <c r="D75" s="40" t="n"/>
      <c r="E75" s="40" t="n"/>
    </row>
    <row r="76" ht="15.75" customHeight="1" s="88">
      <c r="D76" s="40" t="n"/>
      <c r="E76" s="40" t="n"/>
    </row>
    <row r="77" ht="15.75" customHeight="1" s="88">
      <c r="D77" s="40" t="n"/>
      <c r="E77" s="40" t="n"/>
    </row>
    <row r="78" ht="15.75" customHeight="1" s="88">
      <c r="D78" s="40" t="n"/>
      <c r="E78" s="40" t="n"/>
    </row>
    <row r="79" ht="15.75" customHeight="1" s="88">
      <c r="D79" s="40" t="n"/>
      <c r="E79" s="40" t="n"/>
    </row>
    <row r="80" ht="15.75" customHeight="1" s="88">
      <c r="D80" s="40" t="n"/>
      <c r="E80" s="40" t="n"/>
    </row>
    <row r="81" ht="15.75" customHeight="1" s="88">
      <c r="D81" s="40" t="n"/>
      <c r="E81" s="40" t="n"/>
    </row>
    <row r="82" ht="15.75" customHeight="1" s="88">
      <c r="D82" s="40" t="n"/>
      <c r="E82" s="40" t="n"/>
    </row>
    <row r="83" ht="15.75" customHeight="1" s="88">
      <c r="D83" s="40" t="n"/>
      <c r="E83" s="40" t="n"/>
    </row>
    <row r="84" ht="15.75" customHeight="1" s="88">
      <c r="D84" s="40" t="n"/>
      <c r="E84" s="40" t="n"/>
    </row>
    <row r="85" ht="15.75" customHeight="1" s="88">
      <c r="D85" s="40" t="n"/>
      <c r="E85" s="40" t="n"/>
    </row>
    <row r="86" ht="15.75" customHeight="1" s="88">
      <c r="D86" s="40" t="n"/>
      <c r="E86" s="40" t="n"/>
    </row>
    <row r="87" ht="15.75" customHeight="1" s="88">
      <c r="D87" s="40" t="n"/>
      <c r="E87" s="40" t="n"/>
    </row>
    <row r="88" ht="15.75" customHeight="1" s="88">
      <c r="D88" s="40" t="n"/>
      <c r="E88" s="40" t="n"/>
    </row>
    <row r="89" ht="15.75" customHeight="1" s="88">
      <c r="D89" s="40" t="n"/>
      <c r="E89" s="40" t="n"/>
    </row>
    <row r="90" ht="15.75" customHeight="1" s="88">
      <c r="D90" s="40" t="n"/>
      <c r="E90" s="40" t="n"/>
    </row>
    <row r="91" ht="15.75" customHeight="1" s="88">
      <c r="D91" s="40" t="n"/>
      <c r="E91" s="40" t="n"/>
    </row>
    <row r="92" ht="15.75" customHeight="1" s="88">
      <c r="D92" s="40" t="n"/>
      <c r="E92" s="40" t="n"/>
    </row>
    <row r="93" ht="15.75" customHeight="1" s="88">
      <c r="D93" s="40" t="n"/>
      <c r="E93" s="40" t="n"/>
    </row>
    <row r="94" ht="15.75" customHeight="1" s="88">
      <c r="D94" s="40" t="n"/>
      <c r="E94" s="40" t="n"/>
    </row>
    <row r="95" ht="15.75" customHeight="1" s="88">
      <c r="D95" s="40" t="n"/>
      <c r="E95" s="40" t="n"/>
    </row>
    <row r="96" ht="15.75" customHeight="1" s="88">
      <c r="D96" s="40" t="n"/>
      <c r="E96" s="40" t="n"/>
    </row>
    <row r="97" ht="15.75" customHeight="1" s="88">
      <c r="D97" s="40" t="n"/>
      <c r="E97" s="40" t="n"/>
    </row>
    <row r="98" ht="15.75" customHeight="1" s="88">
      <c r="D98" s="40" t="n"/>
      <c r="E98" s="40" t="n"/>
    </row>
    <row r="99" ht="15.75" customHeight="1" s="88">
      <c r="D99" s="40" t="n"/>
      <c r="E99" s="40" t="n"/>
    </row>
    <row r="100" ht="15.75" customHeight="1" s="88">
      <c r="D100" s="40" t="n"/>
      <c r="E100" s="40" t="n"/>
    </row>
    <row r="101" ht="15.75" customHeight="1" s="88">
      <c r="D101" s="40" t="n"/>
      <c r="E101" s="40" t="n"/>
    </row>
    <row r="102" ht="15.75" customHeight="1" s="88">
      <c r="D102" s="40" t="n"/>
      <c r="E102" s="40" t="n"/>
    </row>
    <row r="103" ht="15.75" customHeight="1" s="88">
      <c r="D103" s="40" t="n"/>
      <c r="E103" s="40" t="n"/>
    </row>
    <row r="104" ht="15.75" customHeight="1" s="88">
      <c r="D104" s="40" t="n"/>
      <c r="E104" s="40" t="n"/>
    </row>
    <row r="105" ht="15.75" customHeight="1" s="88">
      <c r="D105" s="40" t="n"/>
      <c r="E105" s="40" t="n"/>
    </row>
    <row r="106" ht="15.75" customHeight="1" s="88">
      <c r="D106" s="40" t="n"/>
      <c r="E106" s="40" t="n"/>
    </row>
    <row r="107" ht="15.75" customHeight="1" s="88">
      <c r="D107" s="40" t="n"/>
      <c r="E107" s="40" t="n"/>
    </row>
    <row r="108" ht="15.75" customHeight="1" s="88">
      <c r="D108" s="40" t="n"/>
      <c r="E108" s="40" t="n"/>
    </row>
    <row r="109" ht="15.75" customHeight="1" s="88">
      <c r="D109" s="40" t="n"/>
      <c r="E109" s="40" t="n"/>
    </row>
    <row r="110" ht="15.75" customHeight="1" s="88">
      <c r="D110" s="40" t="n"/>
      <c r="E110" s="40" t="n"/>
    </row>
    <row r="111" ht="15.75" customHeight="1" s="88">
      <c r="D111" s="40" t="n"/>
      <c r="E111" s="40" t="n"/>
    </row>
    <row r="112" ht="15.75" customHeight="1" s="88">
      <c r="D112" s="40" t="n"/>
      <c r="E112" s="40" t="n"/>
    </row>
    <row r="113" ht="15.75" customHeight="1" s="88">
      <c r="D113" s="40" t="n"/>
      <c r="E113" s="40" t="n"/>
    </row>
    <row r="114" ht="15.75" customHeight="1" s="88">
      <c r="D114" s="40" t="n"/>
      <c r="E114" s="40" t="n"/>
    </row>
    <row r="115" ht="15.75" customHeight="1" s="88">
      <c r="D115" s="40" t="n"/>
      <c r="E115" s="40" t="n"/>
    </row>
    <row r="116" ht="15.75" customHeight="1" s="88">
      <c r="D116" s="40" t="n"/>
      <c r="E116" s="40" t="n"/>
    </row>
    <row r="117" ht="15.75" customHeight="1" s="88">
      <c r="D117" s="40" t="n"/>
      <c r="E117" s="40" t="n"/>
    </row>
    <row r="118" ht="15.75" customHeight="1" s="88">
      <c r="D118" s="40" t="n"/>
      <c r="E118" s="40" t="n"/>
    </row>
    <row r="119" ht="15.75" customHeight="1" s="88">
      <c r="D119" s="40" t="n"/>
      <c r="E119" s="40" t="n"/>
    </row>
    <row r="120" ht="15.75" customHeight="1" s="88">
      <c r="D120" s="40" t="n"/>
      <c r="E120" s="40" t="n"/>
    </row>
    <row r="121" ht="15.75" customHeight="1" s="88">
      <c r="D121" s="40" t="n"/>
      <c r="E121" s="40" t="n"/>
    </row>
    <row r="122" ht="15.75" customHeight="1" s="88">
      <c r="D122" s="40" t="n"/>
      <c r="E122" s="40" t="n"/>
    </row>
    <row r="123" ht="15.75" customHeight="1" s="88">
      <c r="D123" s="40" t="n"/>
      <c r="E123" s="40" t="n"/>
    </row>
    <row r="124" ht="15.75" customHeight="1" s="88">
      <c r="D124" s="40" t="n"/>
      <c r="E124" s="40" t="n"/>
    </row>
    <row r="125" ht="15.75" customHeight="1" s="88">
      <c r="D125" s="40" t="n"/>
      <c r="E125" s="40" t="n"/>
    </row>
    <row r="126" ht="15.75" customHeight="1" s="88">
      <c r="D126" s="40" t="n"/>
      <c r="E126" s="40" t="n"/>
    </row>
    <row r="127" ht="15.75" customHeight="1" s="88">
      <c r="D127" s="40" t="n"/>
      <c r="E127" s="40" t="n"/>
    </row>
    <row r="128" ht="15.75" customHeight="1" s="88">
      <c r="D128" s="40" t="n"/>
      <c r="E128" s="40" t="n"/>
    </row>
    <row r="129" ht="15.75" customHeight="1" s="88">
      <c r="D129" s="40" t="n"/>
      <c r="E129" s="40" t="n"/>
    </row>
    <row r="130" ht="15.75" customHeight="1" s="88">
      <c r="D130" s="40" t="n"/>
      <c r="E130" s="40" t="n"/>
    </row>
    <row r="131" ht="15.75" customHeight="1" s="88">
      <c r="D131" s="40" t="n"/>
      <c r="E131" s="40" t="n"/>
    </row>
    <row r="132" ht="15.75" customHeight="1" s="88">
      <c r="D132" s="40" t="n"/>
      <c r="E132" s="40" t="n"/>
    </row>
    <row r="133" ht="15.75" customHeight="1" s="88">
      <c r="D133" s="40" t="n"/>
      <c r="E133" s="40" t="n"/>
    </row>
    <row r="134" ht="15.75" customHeight="1" s="88">
      <c r="D134" s="40" t="n"/>
      <c r="E134" s="40" t="n"/>
    </row>
    <row r="135" ht="15.75" customHeight="1" s="88">
      <c r="D135" s="40" t="n"/>
      <c r="E135" s="40" t="n"/>
    </row>
    <row r="136" ht="15.75" customHeight="1" s="88">
      <c r="D136" s="40" t="n"/>
      <c r="E136" s="40" t="n"/>
    </row>
    <row r="137" ht="15.75" customHeight="1" s="88">
      <c r="D137" s="40" t="n"/>
      <c r="E137" s="40" t="n"/>
    </row>
    <row r="138" ht="15.75" customHeight="1" s="88">
      <c r="D138" s="40" t="n"/>
      <c r="E138" s="40" t="n"/>
    </row>
    <row r="139" ht="15.75" customHeight="1" s="88">
      <c r="D139" s="40" t="n"/>
      <c r="E139" s="40" t="n"/>
    </row>
    <row r="140" ht="15.75" customHeight="1" s="88">
      <c r="D140" s="40" t="n"/>
      <c r="E140" s="40" t="n"/>
    </row>
    <row r="141" ht="15.75" customHeight="1" s="88">
      <c r="D141" s="40" t="n"/>
      <c r="E141" s="40" t="n"/>
    </row>
    <row r="142" ht="15.75" customHeight="1" s="88">
      <c r="D142" s="40" t="n"/>
      <c r="E142" s="40" t="n"/>
    </row>
    <row r="143" ht="15.75" customHeight="1" s="88">
      <c r="D143" s="40" t="n"/>
      <c r="E143" s="40" t="n"/>
    </row>
    <row r="144" ht="15.75" customHeight="1" s="88">
      <c r="D144" s="40" t="n"/>
      <c r="E144" s="40" t="n"/>
    </row>
    <row r="145" ht="15.75" customHeight="1" s="88">
      <c r="D145" s="40" t="n"/>
      <c r="E145" s="40" t="n"/>
    </row>
    <row r="146" ht="15.75" customHeight="1" s="88">
      <c r="D146" s="40" t="n"/>
      <c r="E146" s="40" t="n"/>
    </row>
    <row r="147" ht="15.75" customHeight="1" s="88">
      <c r="D147" s="40" t="n"/>
      <c r="E147" s="40" t="n"/>
    </row>
    <row r="148" ht="15.75" customHeight="1" s="88">
      <c r="D148" s="40" t="n"/>
      <c r="E148" s="40" t="n"/>
    </row>
    <row r="149" ht="15.75" customHeight="1" s="88">
      <c r="D149" s="40" t="n"/>
      <c r="E149" s="40" t="n"/>
    </row>
    <row r="150" ht="15.75" customHeight="1" s="88">
      <c r="D150" s="40" t="n"/>
      <c r="E150" s="40" t="n"/>
    </row>
    <row r="151" ht="15.75" customHeight="1" s="88">
      <c r="D151" s="40" t="n"/>
      <c r="E151" s="40" t="n"/>
    </row>
    <row r="152" ht="15.75" customHeight="1" s="88">
      <c r="D152" s="40" t="n"/>
      <c r="E152" s="40" t="n"/>
    </row>
    <row r="153" ht="15.75" customHeight="1" s="88">
      <c r="D153" s="40" t="n"/>
      <c r="E153" s="40" t="n"/>
    </row>
    <row r="154" ht="15.75" customHeight="1" s="88">
      <c r="D154" s="40" t="n"/>
      <c r="E154" s="40" t="n"/>
    </row>
    <row r="155" ht="15.75" customHeight="1" s="88">
      <c r="D155" s="40" t="n"/>
      <c r="E155" s="40" t="n"/>
    </row>
    <row r="156" ht="15.75" customHeight="1" s="88">
      <c r="D156" s="40" t="n"/>
      <c r="E156" s="40" t="n"/>
    </row>
    <row r="157" ht="15.75" customHeight="1" s="88">
      <c r="D157" s="40" t="n"/>
      <c r="E157" s="40" t="n"/>
    </row>
    <row r="158" ht="15.75" customHeight="1" s="88">
      <c r="D158" s="40" t="n"/>
      <c r="E158" s="40" t="n"/>
    </row>
    <row r="159" ht="15.75" customHeight="1" s="88">
      <c r="D159" s="40" t="n"/>
      <c r="E159" s="40" t="n"/>
    </row>
    <row r="160" ht="15.75" customHeight="1" s="88">
      <c r="D160" s="40" t="n"/>
      <c r="E160" s="40" t="n"/>
    </row>
    <row r="161" ht="15.75" customHeight="1" s="88">
      <c r="D161" s="40" t="n"/>
      <c r="E161" s="40" t="n"/>
    </row>
    <row r="162" ht="15.75" customHeight="1" s="88">
      <c r="D162" s="40" t="n"/>
      <c r="E162" s="40" t="n"/>
    </row>
    <row r="163" ht="15.75" customHeight="1" s="88">
      <c r="D163" s="40" t="n"/>
      <c r="E163" s="40" t="n"/>
    </row>
    <row r="164" ht="15.75" customHeight="1" s="88">
      <c r="D164" s="40" t="n"/>
      <c r="E164" s="40" t="n"/>
    </row>
    <row r="165" ht="15.75" customHeight="1" s="88">
      <c r="D165" s="40" t="n"/>
      <c r="E165" s="40" t="n"/>
    </row>
    <row r="166" ht="15.75" customHeight="1" s="88">
      <c r="D166" s="40" t="n"/>
      <c r="E166" s="40" t="n"/>
    </row>
    <row r="167" ht="15.75" customHeight="1" s="88">
      <c r="D167" s="40" t="n"/>
      <c r="E167" s="40" t="n"/>
    </row>
    <row r="168" ht="15.75" customHeight="1" s="88">
      <c r="D168" s="40" t="n"/>
      <c r="E168" s="40" t="n"/>
    </row>
    <row r="169" ht="15.75" customHeight="1" s="88">
      <c r="D169" s="40" t="n"/>
      <c r="E169" s="40" t="n"/>
    </row>
    <row r="170" ht="15.75" customHeight="1" s="88">
      <c r="D170" s="40" t="n"/>
      <c r="E170" s="40" t="n"/>
    </row>
    <row r="171" ht="15.75" customHeight="1" s="88">
      <c r="D171" s="40" t="n"/>
      <c r="E171" s="40" t="n"/>
    </row>
    <row r="172" ht="15.75" customHeight="1" s="88">
      <c r="D172" s="40" t="n"/>
      <c r="E172" s="40" t="n"/>
    </row>
    <row r="173" ht="15.75" customHeight="1" s="88">
      <c r="D173" s="40" t="n"/>
      <c r="E173" s="40" t="n"/>
    </row>
    <row r="174" ht="15.75" customHeight="1" s="88">
      <c r="D174" s="40" t="n"/>
      <c r="E174" s="40" t="n"/>
    </row>
    <row r="175" ht="15.75" customHeight="1" s="88">
      <c r="D175" s="40" t="n"/>
      <c r="E175" s="40" t="n"/>
    </row>
    <row r="176" ht="15.75" customHeight="1" s="88">
      <c r="D176" s="40" t="n"/>
      <c r="E176" s="40" t="n"/>
    </row>
    <row r="177" ht="15.75" customHeight="1" s="88">
      <c r="D177" s="40" t="n"/>
      <c r="E177" s="40" t="n"/>
    </row>
    <row r="178" ht="15.75" customHeight="1" s="88">
      <c r="D178" s="40" t="n"/>
      <c r="E178" s="40" t="n"/>
    </row>
    <row r="179" ht="15.75" customHeight="1" s="88">
      <c r="D179" s="40" t="n"/>
      <c r="E179" s="40" t="n"/>
    </row>
    <row r="180" ht="15.75" customHeight="1" s="88">
      <c r="D180" s="40" t="n"/>
      <c r="E180" s="40" t="n"/>
    </row>
    <row r="181" ht="15.75" customHeight="1" s="88">
      <c r="D181" s="40" t="n"/>
      <c r="E181" s="40" t="n"/>
    </row>
    <row r="182" ht="15.75" customHeight="1" s="88">
      <c r="D182" s="40" t="n"/>
      <c r="E182" s="40" t="n"/>
    </row>
    <row r="183" ht="15.75" customHeight="1" s="88">
      <c r="D183" s="40" t="n"/>
      <c r="E183" s="40" t="n"/>
    </row>
    <row r="184" ht="15.75" customHeight="1" s="88">
      <c r="D184" s="40" t="n"/>
      <c r="E184" s="40" t="n"/>
    </row>
    <row r="185" ht="15.75" customHeight="1" s="88">
      <c r="D185" s="40" t="n"/>
      <c r="E185" s="40" t="n"/>
    </row>
    <row r="186" ht="15.75" customHeight="1" s="88">
      <c r="D186" s="40" t="n"/>
      <c r="E186" s="40" t="n"/>
    </row>
    <row r="187" ht="15.75" customHeight="1" s="88">
      <c r="D187" s="40" t="n"/>
      <c r="E187" s="40" t="n"/>
    </row>
    <row r="188" ht="15.75" customHeight="1" s="88">
      <c r="D188" s="40" t="n"/>
      <c r="E188" s="40" t="n"/>
    </row>
    <row r="189" ht="15.75" customHeight="1" s="88">
      <c r="D189" s="40" t="n"/>
      <c r="E189" s="40" t="n"/>
    </row>
    <row r="190" ht="15.75" customHeight="1" s="88">
      <c r="D190" s="40" t="n"/>
      <c r="E190" s="40" t="n"/>
    </row>
    <row r="191" ht="15.75" customHeight="1" s="88">
      <c r="D191" s="40" t="n"/>
      <c r="E191" s="40" t="n"/>
    </row>
    <row r="192" ht="15.75" customHeight="1" s="88">
      <c r="D192" s="40" t="n"/>
      <c r="E192" s="40" t="n"/>
    </row>
    <row r="193" ht="15.75" customHeight="1" s="88">
      <c r="D193" s="40" t="n"/>
      <c r="E193" s="40" t="n"/>
    </row>
    <row r="194" ht="15.75" customHeight="1" s="88">
      <c r="D194" s="40" t="n"/>
      <c r="E194" s="40" t="n"/>
    </row>
    <row r="195" ht="15.75" customHeight="1" s="88">
      <c r="D195" s="40" t="n"/>
      <c r="E195" s="40" t="n"/>
    </row>
    <row r="196" ht="15.75" customHeight="1" s="88">
      <c r="D196" s="40" t="n"/>
      <c r="E196" s="40" t="n"/>
    </row>
    <row r="197" ht="15.75" customHeight="1" s="88">
      <c r="D197" s="40" t="n"/>
      <c r="E197" s="40" t="n"/>
    </row>
    <row r="198" ht="15.75" customHeight="1" s="88">
      <c r="D198" s="40" t="n"/>
      <c r="E198" s="40" t="n"/>
    </row>
    <row r="199" ht="15.75" customHeight="1" s="88">
      <c r="D199" s="40" t="n"/>
      <c r="E199" s="40" t="n"/>
    </row>
    <row r="200" ht="15.75" customHeight="1" s="88">
      <c r="D200" s="40" t="n"/>
      <c r="E200" s="40" t="n"/>
    </row>
    <row r="201" ht="15.75" customHeight="1" s="88">
      <c r="D201" s="40" t="n"/>
      <c r="E201" s="40" t="n"/>
    </row>
    <row r="202" ht="15.75" customHeight="1" s="88">
      <c r="D202" s="40" t="n"/>
      <c r="E202" s="40" t="n"/>
    </row>
    <row r="203" ht="15.75" customHeight="1" s="88">
      <c r="D203" s="40" t="n"/>
      <c r="E203" s="40" t="n"/>
    </row>
    <row r="204" ht="15.75" customHeight="1" s="88">
      <c r="D204" s="40" t="n"/>
      <c r="E204" s="40" t="n"/>
    </row>
    <row r="205" ht="15.75" customHeight="1" s="88">
      <c r="D205" s="40" t="n"/>
      <c r="E205" s="40" t="n"/>
    </row>
    <row r="206" ht="15.75" customHeight="1" s="88">
      <c r="D206" s="40" t="n"/>
      <c r="E206" s="40" t="n"/>
    </row>
    <row r="207" ht="15.75" customHeight="1" s="88">
      <c r="D207" s="40" t="n"/>
      <c r="E207" s="40" t="n"/>
    </row>
    <row r="208" ht="15.75" customHeight="1" s="88">
      <c r="D208" s="40" t="n"/>
      <c r="E208" s="40" t="n"/>
    </row>
    <row r="209" ht="15.75" customHeight="1" s="88">
      <c r="D209" s="40" t="n"/>
      <c r="E209" s="40" t="n"/>
    </row>
    <row r="210" ht="15.75" customHeight="1" s="88">
      <c r="D210" s="40" t="n"/>
      <c r="E210" s="40" t="n"/>
    </row>
    <row r="211" ht="15.75" customHeight="1" s="88">
      <c r="D211" s="40" t="n"/>
      <c r="E211" s="40" t="n"/>
    </row>
    <row r="212" ht="15.75" customHeight="1" s="88">
      <c r="D212" s="40" t="n"/>
      <c r="E212" s="40" t="n"/>
    </row>
    <row r="213" ht="15.75" customHeight="1" s="88">
      <c r="D213" s="40" t="n"/>
      <c r="E213" s="40" t="n"/>
    </row>
    <row r="214" ht="15.75" customHeight="1" s="88">
      <c r="D214" s="40" t="n"/>
      <c r="E214" s="40" t="n"/>
    </row>
    <row r="215" ht="15.75" customHeight="1" s="88">
      <c r="D215" s="40" t="n"/>
      <c r="E215" s="40" t="n"/>
    </row>
    <row r="216" ht="15.75" customHeight="1" s="88">
      <c r="D216" s="40" t="n"/>
      <c r="E216" s="40" t="n"/>
    </row>
    <row r="217" ht="15.75" customHeight="1" s="88">
      <c r="D217" s="40" t="n"/>
      <c r="E217" s="40" t="n"/>
    </row>
    <row r="218" ht="15.75" customHeight="1" s="88">
      <c r="D218" s="40" t="n"/>
      <c r="E218" s="40" t="n"/>
    </row>
    <row r="219" ht="15.75" customHeight="1" s="88">
      <c r="D219" s="40" t="n"/>
      <c r="E219" s="40" t="n"/>
    </row>
    <row r="220" ht="15.75" customHeight="1" s="88">
      <c r="D220" s="40" t="n"/>
      <c r="E220" s="40" t="n"/>
    </row>
    <row r="221" ht="15.75" customHeight="1" s="88">
      <c r="D221" s="40" t="n"/>
      <c r="E221" s="40" t="n"/>
    </row>
    <row r="222" ht="15.75" customHeight="1" s="88">
      <c r="D222" s="40" t="n"/>
      <c r="E222" s="40" t="n"/>
    </row>
    <row r="223" ht="15.75" customHeight="1" s="88">
      <c r="D223" s="40" t="n"/>
      <c r="E223" s="40" t="n"/>
    </row>
    <row r="224" ht="15.75" customHeight="1" s="88">
      <c r="D224" s="40" t="n"/>
      <c r="E224" s="40" t="n"/>
    </row>
    <row r="225" ht="15.75" customHeight="1" s="88">
      <c r="D225" s="40" t="n"/>
      <c r="E225" s="40" t="n"/>
    </row>
    <row r="226" ht="15.75" customHeight="1" s="88">
      <c r="D226" s="40" t="n"/>
      <c r="E226" s="40" t="n"/>
    </row>
    <row r="227" ht="15.75" customHeight="1" s="88">
      <c r="D227" s="40" t="n"/>
      <c r="E227" s="40" t="n"/>
    </row>
    <row r="228" ht="15.75" customHeight="1" s="88">
      <c r="D228" s="40" t="n"/>
      <c r="E228" s="40" t="n"/>
    </row>
    <row r="229" ht="15.75" customHeight="1" s="88">
      <c r="D229" s="40" t="n"/>
      <c r="E229" s="40" t="n"/>
    </row>
    <row r="230" ht="15.75" customHeight="1" s="88">
      <c r="D230" s="40" t="n"/>
      <c r="E230" s="40" t="n"/>
    </row>
    <row r="231" ht="15.75" customHeight="1" s="88">
      <c r="D231" s="40" t="n"/>
      <c r="E231" s="40" t="n"/>
    </row>
    <row r="232" ht="15.75" customHeight="1" s="88">
      <c r="D232" s="40" t="n"/>
      <c r="E232" s="40" t="n"/>
    </row>
    <row r="233" ht="15.75" customHeight="1" s="88">
      <c r="D233" s="40" t="n"/>
      <c r="E233" s="40" t="n"/>
    </row>
    <row r="234" ht="15.75" customHeight="1" s="88">
      <c r="D234" s="40" t="n"/>
      <c r="E234" s="40" t="n"/>
    </row>
    <row r="235" ht="15.75" customHeight="1" s="88">
      <c r="D235" s="40" t="n"/>
      <c r="E235" s="40" t="n"/>
    </row>
    <row r="236" ht="15.75" customHeight="1" s="88">
      <c r="D236" s="40" t="n"/>
      <c r="E236" s="40" t="n"/>
    </row>
    <row r="237" ht="15.75" customHeight="1" s="88">
      <c r="D237" s="40" t="n"/>
      <c r="E237" s="40" t="n"/>
    </row>
    <row r="238" ht="15.75" customHeight="1" s="88">
      <c r="D238" s="40" t="n"/>
      <c r="E238" s="40" t="n"/>
    </row>
    <row r="239" ht="15.75" customHeight="1" s="88">
      <c r="D239" s="40" t="n"/>
      <c r="E239" s="40" t="n"/>
    </row>
    <row r="240" ht="15.75" customHeight="1" s="88">
      <c r="D240" s="40" t="n"/>
      <c r="E240" s="40" t="n"/>
    </row>
    <row r="241" ht="15.75" customHeight="1" s="88">
      <c r="D241" s="40" t="n"/>
      <c r="E241" s="40" t="n"/>
    </row>
    <row r="242" ht="15.75" customHeight="1" s="88"/>
    <row r="243" ht="15.75" customHeight="1" s="88"/>
    <row r="244" ht="15.75" customHeight="1" s="88"/>
    <row r="245" ht="15.75" customHeight="1" s="88"/>
    <row r="246" ht="15.75" customHeight="1" s="88"/>
    <row r="247" ht="15.75" customHeight="1" s="88"/>
    <row r="248" ht="15.75" customHeight="1" s="88"/>
    <row r="249" ht="15.75" customHeight="1" s="88"/>
    <row r="250" ht="15.75" customHeight="1" s="88"/>
    <row r="251" ht="15.75" customHeight="1" s="88"/>
    <row r="252" ht="15.75" customHeight="1" s="88"/>
    <row r="253" ht="15.75" customHeight="1" s="88"/>
    <row r="254" ht="15.75" customHeight="1" s="88"/>
    <row r="255" ht="15.75" customHeight="1" s="88"/>
    <row r="256" ht="15.75" customHeight="1" s="88"/>
    <row r="257" ht="15.75" customHeight="1" s="88"/>
    <row r="258" ht="15.75" customHeight="1" s="88"/>
    <row r="259" ht="15.75" customHeight="1" s="88"/>
    <row r="260" ht="15.75" customHeight="1" s="88"/>
    <row r="261" ht="15.75" customHeight="1" s="88"/>
    <row r="262" ht="15.75" customHeight="1" s="88"/>
    <row r="263" ht="15.75" customHeight="1" s="88"/>
    <row r="264" ht="15.75" customHeight="1" s="88"/>
    <row r="265" ht="15.75" customHeight="1" s="88"/>
    <row r="266" ht="15.75" customHeight="1" s="88"/>
    <row r="267" ht="15.75" customHeight="1" s="88"/>
    <row r="268" ht="15.75" customHeight="1" s="88"/>
    <row r="269" ht="15.75" customHeight="1" s="88"/>
    <row r="270" ht="15.75" customHeight="1" s="88"/>
    <row r="271" ht="15.75" customHeight="1" s="88"/>
    <row r="272" ht="15.75" customHeight="1" s="88"/>
    <row r="273" ht="15.75" customHeight="1" s="88"/>
    <row r="274" ht="15.75" customHeight="1" s="88"/>
    <row r="275" ht="15.75" customHeight="1" s="88"/>
    <row r="276" ht="15.75" customHeight="1" s="88"/>
    <row r="277" ht="15.75" customHeight="1" s="88"/>
    <row r="278" ht="15.75" customHeight="1" s="88"/>
    <row r="279" ht="15.75" customHeight="1" s="88"/>
    <row r="280" ht="15.75" customHeight="1" s="88"/>
    <row r="281" ht="15.75" customHeight="1" s="88"/>
    <row r="282" ht="15.75" customHeight="1" s="88"/>
    <row r="283" ht="15.75" customHeight="1" s="88"/>
    <row r="284" ht="15.75" customHeight="1" s="88"/>
    <row r="285" ht="15.75" customHeight="1" s="88"/>
    <row r="286" ht="15.75" customHeight="1" s="88"/>
    <row r="287" ht="15.75" customHeight="1" s="88"/>
    <row r="288" ht="15.75" customHeight="1" s="88"/>
    <row r="289" ht="15.75" customHeight="1" s="88"/>
    <row r="290" ht="15.75" customHeight="1" s="88"/>
    <row r="291" ht="15.75" customHeight="1" s="88"/>
    <row r="292" ht="15.75" customHeight="1" s="88"/>
    <row r="293" ht="15.75" customHeight="1" s="88"/>
    <row r="294" ht="15.75" customHeight="1" s="88"/>
    <row r="295" ht="15.75" customHeight="1" s="88"/>
    <row r="296" ht="15.75" customHeight="1" s="88"/>
    <row r="297" ht="15.75" customHeight="1" s="88"/>
    <row r="298" ht="15.75" customHeight="1" s="88"/>
    <row r="299" ht="15.75" customHeight="1" s="88"/>
    <row r="300" ht="15.75" customHeight="1" s="88"/>
    <row r="301" ht="15.75" customHeight="1" s="88"/>
    <row r="302" ht="15.75" customHeight="1" s="88"/>
    <row r="303" ht="15.75" customHeight="1" s="88"/>
    <row r="304" ht="15.75" customHeight="1" s="88"/>
    <row r="305" ht="15.75" customHeight="1" s="88"/>
    <row r="306" ht="15.75" customHeight="1" s="88"/>
    <row r="307" ht="15.75" customHeight="1" s="88"/>
    <row r="308" ht="15.75" customHeight="1" s="88"/>
    <row r="309" ht="15.75" customHeight="1" s="88"/>
    <row r="310" ht="15.75" customHeight="1" s="88"/>
    <row r="311" ht="15.75" customHeight="1" s="88"/>
    <row r="312" ht="15.75" customHeight="1" s="88"/>
    <row r="313" ht="15.75" customHeight="1" s="88"/>
    <row r="314" ht="15.75" customHeight="1" s="88"/>
    <row r="315" ht="15.75" customHeight="1" s="88"/>
    <row r="316" ht="15.75" customHeight="1" s="88"/>
    <row r="317" ht="15.75" customHeight="1" s="88"/>
    <row r="318" ht="15.75" customHeight="1" s="88"/>
    <row r="319" ht="15.75" customHeight="1" s="88"/>
    <row r="320" ht="15.75" customHeight="1" s="88"/>
    <row r="321" ht="15.75" customHeight="1" s="88"/>
    <row r="322" ht="15.75" customHeight="1" s="88"/>
    <row r="323" ht="15.75" customHeight="1" s="88"/>
    <row r="324" ht="15.75" customHeight="1" s="88"/>
    <row r="325" ht="15.75" customHeight="1" s="88"/>
    <row r="326" ht="15.75" customHeight="1" s="88"/>
    <row r="327" ht="15.75" customHeight="1" s="88"/>
    <row r="328" ht="15.75" customHeight="1" s="88"/>
    <row r="329" ht="15.75" customHeight="1" s="88"/>
    <row r="330" ht="15.75" customHeight="1" s="88"/>
    <row r="331" ht="15.75" customHeight="1" s="88"/>
    <row r="332" ht="15.75" customHeight="1" s="88"/>
    <row r="333" ht="15.75" customHeight="1" s="88"/>
    <row r="334" ht="15.75" customHeight="1" s="88"/>
    <row r="335" ht="15.75" customHeight="1" s="88"/>
    <row r="336" ht="15.75" customHeight="1" s="88"/>
    <row r="337" ht="15.75" customHeight="1" s="88"/>
    <row r="338" ht="15.75" customHeight="1" s="88"/>
    <row r="339" ht="15.75" customHeight="1" s="88"/>
    <row r="340" ht="15.75" customHeight="1" s="88"/>
    <row r="341" ht="15.75" customHeight="1" s="88"/>
    <row r="342" ht="15.75" customHeight="1" s="88"/>
    <row r="343" ht="15.75" customHeight="1" s="88"/>
    <row r="344" ht="15.75" customHeight="1" s="88"/>
    <row r="345" ht="15.75" customHeight="1" s="88"/>
    <row r="346" ht="15.75" customHeight="1" s="88"/>
    <row r="347" ht="15.75" customHeight="1" s="88"/>
    <row r="348" ht="15.75" customHeight="1" s="88"/>
    <row r="349" ht="15.75" customHeight="1" s="88"/>
    <row r="350" ht="15.75" customHeight="1" s="88"/>
    <row r="351" ht="15.75" customHeight="1" s="88"/>
    <row r="352" ht="15.75" customHeight="1" s="88"/>
    <row r="353" ht="15.75" customHeight="1" s="88"/>
    <row r="354" ht="15.75" customHeight="1" s="88"/>
    <row r="355" ht="15.75" customHeight="1" s="88"/>
    <row r="356" ht="15.75" customHeight="1" s="88"/>
    <row r="357" ht="15.75" customHeight="1" s="88"/>
    <row r="358" ht="15.75" customHeight="1" s="88"/>
    <row r="359" ht="15.75" customHeight="1" s="88"/>
    <row r="360" ht="15.75" customHeight="1" s="88"/>
    <row r="361" ht="15.75" customHeight="1" s="88"/>
    <row r="362" ht="15.75" customHeight="1" s="88"/>
    <row r="363" ht="15.75" customHeight="1" s="88"/>
    <row r="364" ht="15.75" customHeight="1" s="88"/>
    <row r="365" ht="15.75" customHeight="1" s="88"/>
    <row r="366" ht="15.75" customHeight="1" s="88"/>
    <row r="367" ht="15.75" customHeight="1" s="88"/>
    <row r="368" ht="15.75" customHeight="1" s="88"/>
    <row r="369" ht="15.75" customHeight="1" s="88"/>
    <row r="370" ht="15.75" customHeight="1" s="88"/>
    <row r="371" ht="15.75" customHeight="1" s="88"/>
    <row r="372" ht="15.75" customHeight="1" s="88"/>
    <row r="373" ht="15.75" customHeight="1" s="88"/>
    <row r="374" ht="15.75" customHeight="1" s="88"/>
    <row r="375" ht="15.75" customHeight="1" s="88"/>
    <row r="376" ht="15.75" customHeight="1" s="88"/>
    <row r="377" ht="15.75" customHeight="1" s="88"/>
    <row r="378" ht="15.75" customHeight="1" s="88"/>
    <row r="379" ht="15.75" customHeight="1" s="88"/>
    <row r="380" ht="15.75" customHeight="1" s="88"/>
    <row r="381" ht="15.75" customHeight="1" s="88"/>
    <row r="382" ht="15.75" customHeight="1" s="88"/>
    <row r="383" ht="15.75" customHeight="1" s="88"/>
    <row r="384" ht="15.75" customHeight="1" s="88"/>
    <row r="385" ht="15.75" customHeight="1" s="88"/>
    <row r="386" ht="15.75" customHeight="1" s="88"/>
    <row r="387" ht="15.75" customHeight="1" s="88"/>
    <row r="388" ht="15.75" customHeight="1" s="88"/>
    <row r="389" ht="15.75" customHeight="1" s="88"/>
    <row r="390" ht="15.75" customHeight="1" s="88"/>
    <row r="391" ht="15.75" customHeight="1" s="88"/>
    <row r="392" ht="15.75" customHeight="1" s="88"/>
    <row r="393" ht="15.75" customHeight="1" s="88"/>
    <row r="394" ht="15.75" customHeight="1" s="88"/>
    <row r="395" ht="15.75" customHeight="1" s="88"/>
    <row r="396" ht="15.75" customHeight="1" s="88"/>
    <row r="397" ht="15.75" customHeight="1" s="88"/>
    <row r="398" ht="15.75" customHeight="1" s="88"/>
    <row r="399" ht="15.75" customHeight="1" s="88"/>
    <row r="400" ht="15.75" customHeight="1" s="88"/>
    <row r="401" ht="15.75" customHeight="1" s="88"/>
    <row r="402" ht="15.75" customHeight="1" s="88"/>
    <row r="403" ht="15.75" customHeight="1" s="88"/>
    <row r="404" ht="15.75" customHeight="1" s="88"/>
    <row r="405" ht="15.75" customHeight="1" s="88"/>
    <row r="406" ht="15.75" customHeight="1" s="88"/>
    <row r="407" ht="15.75" customHeight="1" s="88"/>
    <row r="408" ht="15.75" customHeight="1" s="88"/>
    <row r="409" ht="15.75" customHeight="1" s="88"/>
    <row r="410" ht="15.75" customHeight="1" s="88"/>
    <row r="411" ht="15.75" customHeight="1" s="88"/>
    <row r="412" ht="15.75" customHeight="1" s="88"/>
    <row r="413" ht="15.75" customHeight="1" s="88"/>
    <row r="414" ht="15.75" customHeight="1" s="88"/>
    <row r="415" ht="15.75" customHeight="1" s="88"/>
    <row r="416" ht="15.75" customHeight="1" s="88"/>
    <row r="417" ht="15.75" customHeight="1" s="88"/>
    <row r="418" ht="15.75" customHeight="1" s="88"/>
    <row r="419" ht="15.75" customHeight="1" s="88"/>
    <row r="420" ht="15.75" customHeight="1" s="88"/>
    <row r="421" ht="15.75" customHeight="1" s="88"/>
    <row r="422" ht="15.75" customHeight="1" s="88"/>
    <row r="423" ht="15.75" customHeight="1" s="88"/>
    <row r="424" ht="15.75" customHeight="1" s="88"/>
    <row r="425" ht="15.75" customHeight="1" s="88"/>
    <row r="426" ht="15.75" customHeight="1" s="88"/>
    <row r="427" ht="15.75" customHeight="1" s="88"/>
    <row r="428" ht="15.75" customHeight="1" s="88"/>
    <row r="429" ht="15.75" customHeight="1" s="88"/>
    <row r="430" ht="15.75" customHeight="1" s="88"/>
    <row r="431" ht="15.75" customHeight="1" s="88"/>
    <row r="432" ht="15.75" customHeight="1" s="88"/>
    <row r="433" ht="15.75" customHeight="1" s="88"/>
    <row r="434" ht="15.75" customHeight="1" s="88"/>
    <row r="435" ht="15.75" customHeight="1" s="88"/>
    <row r="436" ht="15.75" customHeight="1" s="88"/>
    <row r="437" ht="15.75" customHeight="1" s="88"/>
    <row r="438" ht="15.75" customHeight="1" s="88"/>
    <row r="439" ht="15.75" customHeight="1" s="88"/>
    <row r="440" ht="15.75" customHeight="1" s="88"/>
    <row r="441" ht="15.75" customHeight="1" s="88"/>
    <row r="442" ht="15.75" customHeight="1" s="88"/>
    <row r="443" ht="15.75" customHeight="1" s="88"/>
    <row r="444" ht="15.75" customHeight="1" s="88"/>
    <row r="445" ht="15.75" customHeight="1" s="88"/>
    <row r="446" ht="15.75" customHeight="1" s="88"/>
    <row r="447" ht="15.75" customHeight="1" s="88"/>
    <row r="448" ht="15.75" customHeight="1" s="88"/>
    <row r="449" ht="15.75" customHeight="1" s="88"/>
    <row r="450" ht="15.75" customHeight="1" s="88"/>
    <row r="451" ht="15.75" customHeight="1" s="88"/>
    <row r="452" ht="15.75" customHeight="1" s="88"/>
    <row r="453" ht="15.75" customHeight="1" s="88"/>
    <row r="454" ht="15.75" customHeight="1" s="88"/>
    <row r="455" ht="15.75" customHeight="1" s="88"/>
    <row r="456" ht="15.75" customHeight="1" s="88"/>
    <row r="457" ht="15.75" customHeight="1" s="88"/>
    <row r="458" ht="15.75" customHeight="1" s="88"/>
    <row r="459" ht="15.75" customHeight="1" s="88"/>
    <row r="460" ht="15.75" customHeight="1" s="88"/>
    <row r="461" ht="15.75" customHeight="1" s="88"/>
    <row r="462" ht="15.75" customHeight="1" s="88"/>
    <row r="463" ht="15.75" customHeight="1" s="88"/>
    <row r="464" ht="15.75" customHeight="1" s="88"/>
    <row r="465" ht="15.75" customHeight="1" s="88"/>
    <row r="466" ht="15.75" customHeight="1" s="88"/>
    <row r="467" ht="15.75" customHeight="1" s="88"/>
    <row r="468" ht="15.75" customHeight="1" s="88"/>
    <row r="469" ht="15.75" customHeight="1" s="88"/>
    <row r="470" ht="15.75" customHeight="1" s="88"/>
    <row r="471" ht="15.75" customHeight="1" s="88"/>
    <row r="472" ht="15.75" customHeight="1" s="88"/>
    <row r="473" ht="15.75" customHeight="1" s="88"/>
    <row r="474" ht="15.75" customHeight="1" s="88"/>
    <row r="475" ht="15.75" customHeight="1" s="88"/>
    <row r="476" ht="15.75" customHeight="1" s="88"/>
    <row r="477" ht="15.75" customHeight="1" s="88"/>
    <row r="478" ht="15.75" customHeight="1" s="88"/>
    <row r="479" ht="15.75" customHeight="1" s="88"/>
    <row r="480" ht="15.75" customHeight="1" s="88"/>
    <row r="481" ht="15.75" customHeight="1" s="88"/>
    <row r="482" ht="15.75" customHeight="1" s="88"/>
    <row r="483" ht="15.75" customHeight="1" s="88"/>
    <row r="484" ht="15.75" customHeight="1" s="88"/>
    <row r="485" ht="15.75" customHeight="1" s="88"/>
    <row r="486" ht="15.75" customHeight="1" s="88"/>
    <row r="487" ht="15.75" customHeight="1" s="88"/>
    <row r="488" ht="15.75" customHeight="1" s="88"/>
    <row r="489" ht="15.75" customHeight="1" s="88"/>
    <row r="490" ht="15.75" customHeight="1" s="88"/>
    <row r="491" ht="15.75" customHeight="1" s="88"/>
    <row r="492" ht="15.75" customHeight="1" s="88"/>
    <row r="493" ht="15.75" customHeight="1" s="88"/>
    <row r="494" ht="15.75" customHeight="1" s="88"/>
    <row r="495" ht="15.75" customHeight="1" s="88"/>
    <row r="496" ht="15.75" customHeight="1" s="88"/>
    <row r="497" ht="15.75" customHeight="1" s="88"/>
    <row r="498" ht="15.75" customHeight="1" s="88"/>
    <row r="499" ht="15.75" customHeight="1" s="88"/>
    <row r="500" ht="15.75" customHeight="1" s="88"/>
    <row r="501" ht="15.75" customHeight="1" s="88"/>
    <row r="502" ht="15.75" customHeight="1" s="88"/>
    <row r="503" ht="15.75" customHeight="1" s="88"/>
    <row r="504" ht="15.75" customHeight="1" s="88"/>
    <row r="505" ht="15.75" customHeight="1" s="88"/>
    <row r="506" ht="15.75" customHeight="1" s="88"/>
    <row r="507" ht="15.75" customHeight="1" s="88"/>
    <row r="508" ht="15.75" customHeight="1" s="88"/>
    <row r="509" ht="15.75" customHeight="1" s="88"/>
    <row r="510" ht="15.75" customHeight="1" s="88"/>
    <row r="511" ht="15.75" customHeight="1" s="88"/>
    <row r="512" ht="15.75" customHeight="1" s="88"/>
    <row r="513" ht="15.75" customHeight="1" s="88"/>
    <row r="514" ht="15.75" customHeight="1" s="88"/>
    <row r="515" ht="15.75" customHeight="1" s="88"/>
    <row r="516" ht="15.75" customHeight="1" s="88"/>
    <row r="517" ht="15.75" customHeight="1" s="88"/>
    <row r="518" ht="15.75" customHeight="1" s="88"/>
    <row r="519" ht="15.75" customHeight="1" s="88"/>
    <row r="520" ht="15.75" customHeight="1" s="88"/>
    <row r="521" ht="15.75" customHeight="1" s="88"/>
    <row r="522" ht="15.75" customHeight="1" s="88"/>
    <row r="523" ht="15.75" customHeight="1" s="88"/>
    <row r="524" ht="15.75" customHeight="1" s="88"/>
    <row r="525" ht="15.75" customHeight="1" s="88"/>
    <row r="526" ht="15.75" customHeight="1" s="88"/>
    <row r="527" ht="15.75" customHeight="1" s="88"/>
    <row r="528" ht="15.75" customHeight="1" s="88"/>
    <row r="529" ht="15.75" customHeight="1" s="88"/>
    <row r="530" ht="15.75" customHeight="1" s="88"/>
    <row r="531" ht="15.75" customHeight="1" s="88"/>
    <row r="532" ht="15.75" customHeight="1" s="88"/>
    <row r="533" ht="15.75" customHeight="1" s="88"/>
    <row r="534" ht="15.75" customHeight="1" s="88"/>
    <row r="535" ht="15.75" customHeight="1" s="88"/>
    <row r="536" ht="15.75" customHeight="1" s="88"/>
    <row r="537" ht="15.75" customHeight="1" s="88"/>
    <row r="538" ht="15.75" customHeight="1" s="88"/>
    <row r="539" ht="15.75" customHeight="1" s="88"/>
    <row r="540" ht="15.75" customHeight="1" s="88"/>
    <row r="541" ht="15.75" customHeight="1" s="88"/>
    <row r="542" ht="15.75" customHeight="1" s="88"/>
    <row r="543" ht="15.75" customHeight="1" s="88"/>
    <row r="544" ht="15.75" customHeight="1" s="88"/>
    <row r="545" ht="15.75" customHeight="1" s="88"/>
    <row r="546" ht="15.75" customHeight="1" s="88"/>
    <row r="547" ht="15.75" customHeight="1" s="88"/>
    <row r="548" ht="15.75" customHeight="1" s="88"/>
    <row r="549" ht="15.75" customHeight="1" s="88"/>
    <row r="550" ht="15.75" customHeight="1" s="88"/>
    <row r="551" ht="15.75" customHeight="1" s="88"/>
    <row r="552" ht="15.75" customHeight="1" s="88"/>
    <row r="553" ht="15.75" customHeight="1" s="88"/>
    <row r="554" ht="15.75" customHeight="1" s="88"/>
    <row r="555" ht="15.75" customHeight="1" s="88"/>
    <row r="556" ht="15.75" customHeight="1" s="88"/>
    <row r="557" ht="15.75" customHeight="1" s="88"/>
    <row r="558" ht="15.75" customHeight="1" s="88"/>
    <row r="559" ht="15.75" customHeight="1" s="88"/>
    <row r="560" ht="15.75" customHeight="1" s="88"/>
    <row r="561" ht="15.75" customHeight="1" s="88"/>
    <row r="562" ht="15.75" customHeight="1" s="88"/>
    <row r="563" ht="15.75" customHeight="1" s="88"/>
    <row r="564" ht="15.75" customHeight="1" s="88"/>
    <row r="565" ht="15.75" customHeight="1" s="88"/>
    <row r="566" ht="15.75" customHeight="1" s="88"/>
    <row r="567" ht="15.75" customHeight="1" s="88"/>
    <row r="568" ht="15.75" customHeight="1" s="88"/>
    <row r="569" ht="15.75" customHeight="1" s="88"/>
    <row r="570" ht="15.75" customHeight="1" s="88"/>
    <row r="571" ht="15.75" customHeight="1" s="88"/>
    <row r="572" ht="15.75" customHeight="1" s="88"/>
    <row r="573" ht="15.75" customHeight="1" s="88"/>
    <row r="574" ht="15.75" customHeight="1" s="88"/>
    <row r="575" ht="15.75" customHeight="1" s="88"/>
    <row r="576" ht="15.75" customHeight="1" s="88"/>
    <row r="577" ht="15.75" customHeight="1" s="88"/>
    <row r="578" ht="15.75" customHeight="1" s="88"/>
    <row r="579" ht="15.75" customHeight="1" s="88"/>
    <row r="580" ht="15.75" customHeight="1" s="88"/>
    <row r="581" ht="15.75" customHeight="1" s="88"/>
    <row r="582" ht="15.75" customHeight="1" s="88"/>
    <row r="583" ht="15.75" customHeight="1" s="88"/>
    <row r="584" ht="15.75" customHeight="1" s="88"/>
    <row r="585" ht="15.75" customHeight="1" s="88"/>
    <row r="586" ht="15.75" customHeight="1" s="88"/>
    <row r="587" ht="15.75" customHeight="1" s="88"/>
    <row r="588" ht="15.75" customHeight="1" s="88"/>
    <row r="589" ht="15.75" customHeight="1" s="88"/>
    <row r="590" ht="15.75" customHeight="1" s="88"/>
    <row r="591" ht="15.75" customHeight="1" s="88"/>
    <row r="592" ht="15.75" customHeight="1" s="88"/>
    <row r="593" ht="15.75" customHeight="1" s="88"/>
    <row r="594" ht="15.75" customHeight="1" s="88"/>
    <row r="595" ht="15.75" customHeight="1" s="88"/>
    <row r="596" ht="15.75" customHeight="1" s="88"/>
    <row r="597" ht="15.75" customHeight="1" s="88"/>
    <row r="598" ht="15.75" customHeight="1" s="88"/>
    <row r="599" ht="15.75" customHeight="1" s="88"/>
    <row r="600" ht="15.75" customHeight="1" s="88"/>
    <row r="601" ht="15.75" customHeight="1" s="88"/>
    <row r="602" ht="15.75" customHeight="1" s="88"/>
    <row r="603" ht="15.75" customHeight="1" s="88"/>
    <row r="604" ht="15.75" customHeight="1" s="88"/>
    <row r="605" ht="15.75" customHeight="1" s="88"/>
    <row r="606" ht="15.75" customHeight="1" s="88"/>
    <row r="607" ht="15.75" customHeight="1" s="88"/>
    <row r="608" ht="15.75" customHeight="1" s="88"/>
    <row r="609" ht="15.75" customHeight="1" s="88"/>
    <row r="610" ht="15.75" customHeight="1" s="88"/>
    <row r="611" ht="15.75" customHeight="1" s="88"/>
    <row r="612" ht="15.75" customHeight="1" s="88"/>
    <row r="613" ht="15.75" customHeight="1" s="88"/>
    <row r="614" ht="15.75" customHeight="1" s="88"/>
    <row r="615" ht="15.75" customHeight="1" s="88"/>
    <row r="616" ht="15.75" customHeight="1" s="88"/>
    <row r="617" ht="15.75" customHeight="1" s="88"/>
    <row r="618" ht="15.75" customHeight="1" s="88"/>
    <row r="619" ht="15.75" customHeight="1" s="88"/>
    <row r="620" ht="15.75" customHeight="1" s="88"/>
    <row r="621" ht="15.75" customHeight="1" s="88"/>
    <row r="622" ht="15.75" customHeight="1" s="88"/>
    <row r="623" ht="15.75" customHeight="1" s="88"/>
    <row r="624" ht="15.75" customHeight="1" s="88"/>
    <row r="625" ht="15.75" customHeight="1" s="88"/>
    <row r="626" ht="15.75" customHeight="1" s="88"/>
    <row r="627" ht="15.75" customHeight="1" s="88"/>
    <row r="628" ht="15.75" customHeight="1" s="88"/>
    <row r="629" ht="15.75" customHeight="1" s="88"/>
    <row r="630" ht="15.75" customHeight="1" s="88"/>
    <row r="631" ht="15.75" customHeight="1" s="88"/>
    <row r="632" ht="15.75" customHeight="1" s="88"/>
    <row r="633" ht="15.75" customHeight="1" s="88"/>
    <row r="634" ht="15.75" customHeight="1" s="88"/>
    <row r="635" ht="15.75" customHeight="1" s="88"/>
    <row r="636" ht="15.75" customHeight="1" s="88"/>
    <row r="637" ht="15.75" customHeight="1" s="88"/>
    <row r="638" ht="15.75" customHeight="1" s="88"/>
    <row r="639" ht="15.75" customHeight="1" s="88"/>
    <row r="640" ht="15.75" customHeight="1" s="88"/>
    <row r="641" ht="15.75" customHeight="1" s="88"/>
    <row r="642" ht="15.75" customHeight="1" s="88"/>
    <row r="643" ht="15.75" customHeight="1" s="88"/>
    <row r="644" ht="15.75" customHeight="1" s="88"/>
    <row r="645" ht="15.75" customHeight="1" s="88"/>
    <row r="646" ht="15.75" customHeight="1" s="88"/>
    <row r="647" ht="15.75" customHeight="1" s="88"/>
    <row r="648" ht="15.75" customHeight="1" s="88"/>
    <row r="649" ht="15.75" customHeight="1" s="88"/>
    <row r="650" ht="15.75" customHeight="1" s="88"/>
    <row r="651" ht="15.75" customHeight="1" s="88"/>
    <row r="652" ht="15.75" customHeight="1" s="88"/>
    <row r="653" ht="15.75" customHeight="1" s="88"/>
    <row r="654" ht="15.75" customHeight="1" s="88"/>
    <row r="655" ht="15.75" customHeight="1" s="88"/>
    <row r="656" ht="15.75" customHeight="1" s="88"/>
    <row r="657" ht="15.75" customHeight="1" s="88"/>
    <row r="658" ht="15.75" customHeight="1" s="88"/>
    <row r="659" ht="15.75" customHeight="1" s="88"/>
    <row r="660" ht="15.75" customHeight="1" s="88"/>
    <row r="661" ht="15.75" customHeight="1" s="88"/>
    <row r="662" ht="15.75" customHeight="1" s="88"/>
    <row r="663" ht="15.75" customHeight="1" s="88"/>
    <row r="664" ht="15.75" customHeight="1" s="88"/>
    <row r="665" ht="15.75" customHeight="1" s="88"/>
    <row r="666" ht="15.75" customHeight="1" s="88"/>
    <row r="667" ht="15.75" customHeight="1" s="88"/>
    <row r="668" ht="15.75" customHeight="1" s="88"/>
    <row r="669" ht="15.75" customHeight="1" s="88"/>
    <row r="670" ht="15.75" customHeight="1" s="88"/>
    <row r="671" ht="15.75" customHeight="1" s="88"/>
    <row r="672" ht="15.75" customHeight="1" s="88"/>
    <row r="673" ht="15.75" customHeight="1" s="88"/>
    <row r="674" ht="15.75" customHeight="1" s="88"/>
    <row r="675" ht="15.75" customHeight="1" s="88"/>
    <row r="676" ht="15.75" customHeight="1" s="88"/>
    <row r="677" ht="15.75" customHeight="1" s="88"/>
    <row r="678" ht="15.75" customHeight="1" s="88"/>
    <row r="679" ht="15.75" customHeight="1" s="88"/>
    <row r="680" ht="15.75" customHeight="1" s="88"/>
    <row r="681" ht="15.75" customHeight="1" s="88"/>
    <row r="682" ht="15.75" customHeight="1" s="88"/>
    <row r="683" ht="15.75" customHeight="1" s="88"/>
    <row r="684" ht="15.75" customHeight="1" s="88"/>
    <row r="685" ht="15.75" customHeight="1" s="88"/>
    <row r="686" ht="15.75" customHeight="1" s="88"/>
    <row r="687" ht="15.75" customHeight="1" s="88"/>
    <row r="688" ht="15.75" customHeight="1" s="88"/>
    <row r="689" ht="15.75" customHeight="1" s="88"/>
    <row r="690" ht="15.75" customHeight="1" s="88"/>
    <row r="691" ht="15.75" customHeight="1" s="88"/>
    <row r="692" ht="15.75" customHeight="1" s="88"/>
    <row r="693" ht="15.75" customHeight="1" s="88"/>
    <row r="694" ht="15.75" customHeight="1" s="88"/>
    <row r="695" ht="15.75" customHeight="1" s="88"/>
    <row r="696" ht="15.75" customHeight="1" s="88"/>
    <row r="697" ht="15.75" customHeight="1" s="88"/>
    <row r="698" ht="15.75" customHeight="1" s="88"/>
    <row r="699" ht="15.75" customHeight="1" s="88"/>
    <row r="700" ht="15.75" customHeight="1" s="88"/>
    <row r="701" ht="15.75" customHeight="1" s="88"/>
    <row r="702" ht="15.75" customHeight="1" s="88"/>
    <row r="703" ht="15.75" customHeight="1" s="88"/>
    <row r="704" ht="15.75" customHeight="1" s="88"/>
    <row r="705" ht="15.75" customHeight="1" s="88"/>
    <row r="706" ht="15.75" customHeight="1" s="88"/>
    <row r="707" ht="15.75" customHeight="1" s="88"/>
    <row r="708" ht="15.75" customHeight="1" s="88"/>
    <row r="709" ht="15.75" customHeight="1" s="88"/>
    <row r="710" ht="15.75" customHeight="1" s="88"/>
    <row r="711" ht="15.75" customHeight="1" s="88"/>
    <row r="712" ht="15.75" customHeight="1" s="88"/>
    <row r="713" ht="15.75" customHeight="1" s="88"/>
    <row r="714" ht="15.75" customHeight="1" s="88"/>
    <row r="715" ht="15.75" customHeight="1" s="88"/>
    <row r="716" ht="15.75" customHeight="1" s="88"/>
    <row r="717" ht="15.75" customHeight="1" s="88"/>
    <row r="718" ht="15.75" customHeight="1" s="88"/>
    <row r="719" ht="15.75" customHeight="1" s="88"/>
    <row r="720" ht="15.75" customHeight="1" s="88"/>
    <row r="721" ht="15.75" customHeight="1" s="88"/>
    <row r="722" ht="15.75" customHeight="1" s="88"/>
    <row r="723" ht="15.75" customHeight="1" s="88"/>
    <row r="724" ht="15.75" customHeight="1" s="88"/>
    <row r="725" ht="15.75" customHeight="1" s="88"/>
    <row r="726" ht="15.75" customHeight="1" s="88"/>
    <row r="727" ht="15.75" customHeight="1" s="88"/>
    <row r="728" ht="15.75" customHeight="1" s="88"/>
    <row r="729" ht="15.75" customHeight="1" s="88"/>
    <row r="730" ht="15.75" customHeight="1" s="88"/>
    <row r="731" ht="15.75" customHeight="1" s="88"/>
    <row r="732" ht="15.75" customHeight="1" s="88"/>
    <row r="733" ht="15.75" customHeight="1" s="88"/>
    <row r="734" ht="15.75" customHeight="1" s="88"/>
    <row r="735" ht="15.75" customHeight="1" s="88"/>
    <row r="736" ht="15.75" customHeight="1" s="88"/>
    <row r="737" ht="15.75" customHeight="1" s="88"/>
    <row r="738" ht="15.75" customHeight="1" s="88"/>
    <row r="739" ht="15.75" customHeight="1" s="88"/>
    <row r="740" ht="15.75" customHeight="1" s="88"/>
    <row r="741" ht="15.75" customHeight="1" s="88"/>
    <row r="742" ht="15.75" customHeight="1" s="88"/>
    <row r="743" ht="15.75" customHeight="1" s="88"/>
    <row r="744" ht="15.75" customHeight="1" s="88"/>
    <row r="745" ht="15.75" customHeight="1" s="88"/>
    <row r="746" ht="15.75" customHeight="1" s="88"/>
    <row r="747" ht="15.75" customHeight="1" s="88"/>
    <row r="748" ht="15.75" customHeight="1" s="88"/>
    <row r="749" ht="15.75" customHeight="1" s="88"/>
    <row r="750" ht="15.75" customHeight="1" s="88"/>
    <row r="751" ht="15.75" customHeight="1" s="88"/>
    <row r="752" ht="15.75" customHeight="1" s="88"/>
    <row r="753" ht="15.75" customHeight="1" s="88"/>
    <row r="754" ht="15.75" customHeight="1" s="88"/>
    <row r="755" ht="15.75" customHeight="1" s="88"/>
    <row r="756" ht="15.75" customHeight="1" s="88"/>
    <row r="757" ht="15.75" customHeight="1" s="88"/>
    <row r="758" ht="15.75" customHeight="1" s="88"/>
    <row r="759" ht="15.75" customHeight="1" s="88"/>
    <row r="760" ht="15.75" customHeight="1" s="88"/>
    <row r="761" ht="15.75" customHeight="1" s="88"/>
    <row r="762" ht="15.75" customHeight="1" s="88"/>
    <row r="763" ht="15.75" customHeight="1" s="88"/>
    <row r="764" ht="15.75" customHeight="1" s="88"/>
    <row r="765" ht="15.75" customHeight="1" s="88"/>
    <row r="766" ht="15.75" customHeight="1" s="88"/>
    <row r="767" ht="15.75" customHeight="1" s="88"/>
    <row r="768" ht="15.75" customHeight="1" s="88"/>
    <row r="769" ht="15.75" customHeight="1" s="88"/>
    <row r="770" ht="15.75" customHeight="1" s="88"/>
    <row r="771" ht="15.75" customHeight="1" s="88"/>
    <row r="772" ht="15.75" customHeight="1" s="88"/>
    <row r="773" ht="15.75" customHeight="1" s="88"/>
    <row r="774" ht="15.75" customHeight="1" s="88"/>
    <row r="775" ht="15.75" customHeight="1" s="88"/>
    <row r="776" ht="15.75" customHeight="1" s="88"/>
    <row r="777" ht="15.75" customHeight="1" s="88"/>
    <row r="778" ht="15.75" customHeight="1" s="88"/>
    <row r="779" ht="15.75" customHeight="1" s="88"/>
    <row r="780" ht="15.75" customHeight="1" s="88"/>
    <row r="781" ht="15.75" customHeight="1" s="88"/>
    <row r="782" ht="15.75" customHeight="1" s="88"/>
    <row r="783" ht="15.75" customHeight="1" s="88"/>
    <row r="784" ht="15.75" customHeight="1" s="88"/>
    <row r="785" ht="15.75" customHeight="1" s="88"/>
    <row r="786" ht="15.75" customHeight="1" s="88"/>
    <row r="787" ht="15.75" customHeight="1" s="88"/>
    <row r="788" ht="15.75" customHeight="1" s="88"/>
    <row r="789" ht="15.75" customHeight="1" s="88"/>
    <row r="790" ht="15.75" customHeight="1" s="88"/>
    <row r="791" ht="15.75" customHeight="1" s="88"/>
    <row r="792" ht="15.75" customHeight="1" s="88"/>
    <row r="793" ht="15.75" customHeight="1" s="88"/>
    <row r="794" ht="15.75" customHeight="1" s="88"/>
    <row r="795" ht="15.75" customHeight="1" s="88"/>
    <row r="796" ht="15.75" customHeight="1" s="88"/>
    <row r="797" ht="15.75" customHeight="1" s="88"/>
    <row r="798" ht="15.75" customHeight="1" s="88"/>
    <row r="799" ht="15.75" customHeight="1" s="88"/>
    <row r="800" ht="15.75" customHeight="1" s="88"/>
    <row r="801" ht="15.75" customHeight="1" s="88"/>
    <row r="802" ht="15.75" customHeight="1" s="88"/>
    <row r="803" ht="15.75" customHeight="1" s="88"/>
    <row r="804" ht="15.75" customHeight="1" s="88"/>
    <row r="805" ht="15.75" customHeight="1" s="88"/>
    <row r="806" ht="15.75" customHeight="1" s="88"/>
    <row r="807" ht="15.75" customHeight="1" s="88"/>
    <row r="808" ht="15.75" customHeight="1" s="88"/>
    <row r="809" ht="15.75" customHeight="1" s="88"/>
    <row r="810" ht="15.75" customHeight="1" s="88"/>
    <row r="811" ht="15.75" customHeight="1" s="88"/>
    <row r="812" ht="15.75" customHeight="1" s="88"/>
    <row r="813" ht="15.75" customHeight="1" s="88"/>
    <row r="814" ht="15.75" customHeight="1" s="88"/>
    <row r="815" ht="15.75" customHeight="1" s="88"/>
    <row r="816" ht="15.75" customHeight="1" s="88"/>
    <row r="817" ht="15.75" customHeight="1" s="88"/>
    <row r="818" ht="15.75" customHeight="1" s="88"/>
    <row r="819" ht="15.75" customHeight="1" s="88"/>
    <row r="820" ht="15.75" customHeight="1" s="88"/>
    <row r="821" ht="15.75" customHeight="1" s="88"/>
    <row r="822" ht="15.75" customHeight="1" s="88"/>
    <row r="823" ht="15.75" customHeight="1" s="88"/>
    <row r="824" ht="15.75" customHeight="1" s="88"/>
    <row r="825" ht="15.75" customHeight="1" s="88"/>
    <row r="826" ht="15.75" customHeight="1" s="88"/>
    <row r="827" ht="15.75" customHeight="1" s="88"/>
    <row r="828" ht="15.75" customHeight="1" s="88"/>
    <row r="829" ht="15.75" customHeight="1" s="88"/>
    <row r="830" ht="15.75" customHeight="1" s="88"/>
    <row r="831" ht="15.75" customHeight="1" s="88"/>
    <row r="832" ht="15.75" customHeight="1" s="88"/>
    <row r="833" ht="15.75" customHeight="1" s="88"/>
    <row r="834" ht="15.75" customHeight="1" s="88"/>
    <row r="835" ht="15.75" customHeight="1" s="88"/>
    <row r="836" ht="15.75" customHeight="1" s="88"/>
    <row r="837" ht="15.75" customHeight="1" s="88"/>
    <row r="838" ht="15.75" customHeight="1" s="88"/>
    <row r="839" ht="15.75" customHeight="1" s="88"/>
    <row r="840" ht="15.75" customHeight="1" s="88"/>
    <row r="841" ht="15.75" customHeight="1" s="88"/>
    <row r="842" ht="15.75" customHeight="1" s="88"/>
    <row r="843" ht="15.75" customHeight="1" s="88"/>
    <row r="844" ht="15.75" customHeight="1" s="88"/>
    <row r="845" ht="15.75" customHeight="1" s="88"/>
    <row r="846" ht="15.75" customHeight="1" s="88"/>
    <row r="847" ht="15.75" customHeight="1" s="88"/>
    <row r="848" ht="15.75" customHeight="1" s="88"/>
    <row r="849" ht="15.75" customHeight="1" s="88"/>
    <row r="850" ht="15.75" customHeight="1" s="88"/>
    <row r="851" ht="15.75" customHeight="1" s="88"/>
    <row r="852" ht="15.75" customHeight="1" s="88"/>
  </sheetData>
  <mergeCells count="9">
    <mergeCell ref="A5:A6"/>
    <mergeCell ref="A4:H4"/>
    <mergeCell ref="A3:H3"/>
    <mergeCell ref="A2:H2"/>
    <mergeCell ref="G5:H5"/>
    <mergeCell ref="A1:H1"/>
    <mergeCell ref="A7:C7"/>
    <mergeCell ref="F39:H39"/>
    <mergeCell ref="B5:B6"/>
  </mergeCells>
  <conditionalFormatting sqref="F8:F37">
    <cfRule type="containsText" priority="3" operator="containsText" dxfId="1" text="AB">
      <formula>NOT(ISERROR(SEARCH(("AB"),(F8))))</formula>
    </cfRule>
  </conditionalFormatting>
  <conditionalFormatting sqref="G8:H37">
    <cfRule type="cellIs" priority="8" operator="equal" dxfId="0">
      <formula>0</formula>
    </cfRule>
  </conditionalFormatting>
  <conditionalFormatting sqref="E8:E37">
    <cfRule type="cellIs" priority="19" operator="equal" dxfId="0">
      <formula>"F"</formula>
    </cfRule>
    <cfRule type="colorScale" priority="20">
      <colorScale>
        <cfvo type="formula" val="F"/>
        <cfvo type="max"/>
        <color rgb="FFFF7128"/>
        <color rgb="FFFFEF9C"/>
      </colorScale>
    </cfRule>
  </conditionalFormatting>
  <pageMargins left="0.7" right="0.7" top="0.75" bottom="0.75" header="0" footer="0"/>
  <pageSetup orientation="landscape" paperSize="9"/>
  <rowBreaks count="1" manualBreakCount="1">
    <brk id="3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workbookViewId="0">
      <selection activeCell="F12" sqref="F12"/>
    </sheetView>
  </sheetViews>
  <sheetFormatPr baseColWidth="8" defaultColWidth="12.59765625" defaultRowHeight="15" customHeight="1"/>
  <cols>
    <col width="10.8984375" customWidth="1" style="88" min="1" max="1"/>
    <col width="8.8984375" customWidth="1" style="88" min="2" max="2"/>
    <col width="12.8984375" customWidth="1" style="88" min="3" max="3"/>
    <col width="13.19921875" customWidth="1" style="88" min="4" max="4"/>
    <col width="11" customWidth="1" style="88" min="5" max="5"/>
    <col width="12.69921875" customWidth="1" style="88" min="6" max="7"/>
    <col width="17.69921875" customWidth="1" style="88" min="8" max="8"/>
    <col width="13.19921875" customWidth="1" style="88" min="9" max="9"/>
    <col width="12.69921875" customWidth="1" style="88" min="10" max="26"/>
  </cols>
  <sheetData>
    <row r="1" ht="19.5" customHeight="1" s="88">
      <c r="A1" s="15">
        <f>'CO-PO Mapping'!A1:P1</f>
        <v/>
      </c>
      <c r="B1" s="123" t="n"/>
      <c r="C1" s="123" t="n"/>
      <c r="D1" s="123" t="n"/>
      <c r="E1" s="123" t="n"/>
      <c r="F1" s="123" t="n"/>
      <c r="G1" s="123" t="n"/>
      <c r="H1" s="123" t="n"/>
      <c r="I1" s="124" t="n"/>
    </row>
    <row r="2" ht="19.5" customHeight="1" s="88">
      <c r="A2" s="15" t="inlineStr">
        <is>
          <t xml:space="preserve">Attainment of Subject </t>
        </is>
      </c>
      <c r="B2" s="123" t="n"/>
      <c r="C2" s="123" t="n"/>
      <c r="D2" s="123" t="n"/>
      <c r="E2" s="123" t="n"/>
      <c r="F2" s="123" t="n"/>
      <c r="G2" s="123" t="n"/>
      <c r="H2" s="123" t="n"/>
      <c r="I2" s="124" t="n"/>
    </row>
    <row r="3" ht="19.5" customHeight="1" s="88">
      <c r="A3" s="15">
        <f>'CO-PO Mapping'!A3:P3</f>
        <v/>
      </c>
      <c r="B3" s="123" t="n"/>
      <c r="C3" s="123" t="n"/>
      <c r="D3" s="123" t="n"/>
      <c r="E3" s="123" t="n"/>
      <c r="F3" s="123" t="n"/>
      <c r="G3" s="123" t="n"/>
      <c r="H3" s="123" t="n"/>
      <c r="I3" s="124" t="n"/>
    </row>
    <row r="4" ht="19.5" customHeight="1" s="88">
      <c r="A4" s="15">
        <f>'CO-PO Mapping'!A4:P4</f>
        <v/>
      </c>
      <c r="B4" s="123" t="n"/>
      <c r="C4" s="123" t="n"/>
      <c r="D4" s="123" t="n"/>
      <c r="E4" s="123" t="n"/>
      <c r="F4" s="123" t="n"/>
      <c r="G4" s="123" t="n"/>
      <c r="H4" s="123" t="n"/>
      <c r="I4" s="124" t="n"/>
    </row>
    <row r="5" ht="78" customHeight="1" s="88">
      <c r="A5" s="12" t="inlineStr">
        <is>
          <t>Course code as per NBA</t>
        </is>
      </c>
      <c r="B5" s="12" t="inlineStr">
        <is>
          <t>Subject Code</t>
        </is>
      </c>
      <c r="C5" s="12" t="inlineStr">
        <is>
          <t>% of students securing 60% or more Marks in theory</t>
        </is>
      </c>
      <c r="D5" s="12" t="inlineStr">
        <is>
          <t>Attainment Level</t>
        </is>
      </c>
      <c r="E5" s="12" t="inlineStr">
        <is>
          <t>Attainment Level considering 80% weightage</t>
        </is>
      </c>
      <c r="F5" s="12" t="inlineStr">
        <is>
          <t>% of students securing 75% or more Marks in sessional</t>
        </is>
      </c>
      <c r="G5" s="12" t="inlineStr">
        <is>
          <t>Attainment Level</t>
        </is>
      </c>
      <c r="H5" s="12" t="inlineStr">
        <is>
          <t>Attainment Level considering 20% weightage</t>
        </is>
      </c>
      <c r="I5" s="12" t="inlineStr">
        <is>
          <t>Total Attinment</t>
        </is>
      </c>
    </row>
    <row r="6" ht="19.5" customHeight="1" s="88">
      <c r="A6" s="41">
        <f>'CO-PO Mapping'!A11</f>
        <v/>
      </c>
      <c r="B6" s="41" t="inlineStr">
        <is>
          <t>5CS2-03</t>
        </is>
      </c>
      <c r="C6" s="41">
        <f>'Sessional + End Term Assessment'!D40</f>
        <v/>
      </c>
      <c r="D6" s="41">
        <f>'Sessional + End Term Assessment'!E40</f>
        <v/>
      </c>
      <c r="E6" s="41">
        <f>D6*'Sessional + End Term Assessment'!D6/'Sessional + End Term Assessment'!F6</f>
        <v/>
      </c>
      <c r="F6" s="41">
        <f>'Sessional + End Term Assessment'!D41</f>
        <v/>
      </c>
      <c r="G6" s="41">
        <f>'Sessional + End Term Assessment'!E41</f>
        <v/>
      </c>
      <c r="H6" s="41">
        <f>G6*'Sessional + End Term Assessment'!E6/'Sessional + End Term Assessment'!F6</f>
        <v/>
      </c>
      <c r="I6" s="41">
        <f>E6+H6</f>
        <v/>
      </c>
    </row>
    <row r="7" ht="30.75" customHeight="1" s="88">
      <c r="A7" s="33" t="inlineStr">
        <is>
          <t>Signature HOD</t>
        </is>
      </c>
      <c r="B7" s="126" t="n"/>
      <c r="C7" s="126" t="n"/>
      <c r="D7" s="126" t="n"/>
      <c r="E7" s="126" t="n"/>
      <c r="F7" s="127" t="n"/>
      <c r="G7" s="32" t="inlineStr">
        <is>
          <t>Signature Subject Teacher</t>
        </is>
      </c>
      <c r="H7" s="123" t="n"/>
      <c r="I7" s="124" t="n"/>
    </row>
    <row r="8" ht="13.8" customHeight="1" s="88">
      <c r="A8" s="128" t="n"/>
      <c r="F8" s="129" t="n"/>
      <c r="G8" s="33" t="n"/>
      <c r="H8" s="126" t="n"/>
      <c r="I8" s="127" t="n"/>
    </row>
    <row r="9" ht="13.8" customHeight="1" s="88">
      <c r="A9" s="130" t="n"/>
      <c r="B9" s="131" t="n"/>
      <c r="C9" s="131" t="n"/>
      <c r="D9" s="131" t="n"/>
      <c r="E9" s="131" t="n"/>
      <c r="F9" s="132" t="n"/>
      <c r="G9" s="130" t="n"/>
      <c r="H9" s="131" t="n"/>
      <c r="I9" s="132" t="n"/>
    </row>
    <row r="21" ht="15.75" customHeight="1" s="88"/>
    <row r="22" ht="15.75" customHeight="1" s="88"/>
    <row r="23" ht="15.75" customHeight="1" s="88"/>
    <row r="24" ht="15.75" customHeight="1" s="88"/>
    <row r="25" ht="15.75" customHeight="1" s="88"/>
    <row r="26" ht="15.75" customHeight="1" s="88"/>
    <row r="27" ht="15.75" customHeight="1" s="88"/>
    <row r="28" ht="15.75" customHeight="1" s="88"/>
    <row r="29" ht="15.75" customHeight="1" s="88"/>
    <row r="30" ht="15.75" customHeight="1" s="88"/>
    <row r="31" ht="15.75" customHeight="1" s="88"/>
    <row r="32" ht="15.75" customHeight="1" s="88"/>
    <row r="33" ht="15.75" customHeight="1" s="88"/>
    <row r="34" ht="15.75" customHeight="1" s="88"/>
    <row r="35" ht="15.75" customHeight="1" s="88"/>
    <row r="36" ht="15.75" customHeight="1" s="88"/>
    <row r="37" ht="15.75" customHeight="1" s="88"/>
    <row r="38" ht="15.75" customHeight="1" s="88"/>
    <row r="39" ht="15.75" customHeight="1" s="88"/>
    <row r="40" ht="15.75" customHeight="1" s="88"/>
    <row r="41" ht="15.75" customHeight="1" s="88"/>
    <row r="42" ht="15.75" customHeight="1" s="88"/>
    <row r="43" ht="15.75" customHeight="1" s="88"/>
    <row r="44" ht="15.75" customHeight="1" s="88"/>
    <row r="45" ht="15.75" customHeight="1" s="88"/>
    <row r="46" ht="15.75" customHeight="1" s="88"/>
    <row r="47" ht="15.75" customHeight="1" s="88"/>
    <row r="48" ht="15.75" customHeight="1" s="88"/>
    <row r="49" ht="15.75" customHeight="1" s="88"/>
    <row r="50" ht="15.75" customHeight="1" s="88"/>
    <row r="51" ht="15.75" customHeight="1" s="88"/>
    <row r="52" ht="15.75" customHeight="1" s="88"/>
    <row r="53" ht="15.75" customHeight="1" s="88"/>
    <row r="54" ht="15.75" customHeight="1" s="88"/>
    <row r="55" ht="15.75" customHeight="1" s="88"/>
    <row r="56" ht="15.75" customHeight="1" s="88"/>
    <row r="57" ht="15.75" customHeight="1" s="88"/>
    <row r="58" ht="15.75" customHeight="1" s="88"/>
    <row r="59" ht="15.75" customHeight="1" s="88"/>
    <row r="60" ht="15.75" customHeight="1" s="88"/>
    <row r="61" ht="15.75" customHeight="1" s="88"/>
    <row r="62" ht="15.75" customHeight="1" s="88"/>
    <row r="63" ht="15.75" customHeight="1" s="88"/>
    <row r="64" ht="15.75" customHeight="1" s="88"/>
    <row r="65" ht="15.75" customHeight="1" s="88"/>
    <row r="66" ht="15.75" customHeight="1" s="88"/>
    <row r="67" ht="15.75" customHeight="1" s="88"/>
    <row r="68" ht="15.75" customHeight="1" s="88"/>
    <row r="69" ht="15.75" customHeight="1" s="88"/>
    <row r="70" ht="15.75" customHeight="1" s="88"/>
    <row r="71" ht="15.75" customHeight="1" s="88"/>
    <row r="72" ht="15.75" customHeight="1" s="88"/>
    <row r="73" ht="15.75" customHeight="1" s="88"/>
    <row r="74" ht="15.75" customHeight="1" s="88"/>
    <row r="75" ht="15.75" customHeight="1" s="88"/>
    <row r="76" ht="15.75" customHeight="1" s="88"/>
    <row r="77" ht="15.75" customHeight="1" s="88"/>
    <row r="78" ht="15.75" customHeight="1" s="88"/>
    <row r="79" ht="15.75" customHeight="1" s="88"/>
    <row r="80" ht="15.75" customHeight="1" s="88"/>
    <row r="81" ht="15.75" customHeight="1" s="88"/>
    <row r="82" ht="15.75" customHeight="1" s="88"/>
    <row r="83" ht="15.75" customHeight="1" s="88"/>
    <row r="84" ht="15.75" customHeight="1" s="88"/>
    <row r="85" ht="15.75" customHeight="1" s="88"/>
    <row r="86" ht="15.75" customHeight="1" s="88"/>
    <row r="87" ht="15.75" customHeight="1" s="88"/>
    <row r="88" ht="15.75" customHeight="1" s="88"/>
    <row r="89" ht="15.75" customHeight="1" s="88"/>
    <row r="90" ht="15.75" customHeight="1" s="88"/>
    <row r="91" ht="15.75" customHeight="1" s="88"/>
    <row r="92" ht="15.75" customHeight="1" s="88"/>
    <row r="93" ht="15.75" customHeight="1" s="88"/>
    <row r="94" ht="15.75" customHeight="1" s="88"/>
    <row r="95" ht="15.75" customHeight="1" s="88"/>
    <row r="96" ht="15.75" customHeight="1" s="88"/>
    <row r="97" ht="15.75" customHeight="1" s="88"/>
    <row r="98" ht="15.75" customHeight="1" s="88"/>
    <row r="99" ht="15.75" customHeight="1" s="88"/>
    <row r="100" ht="15.75" customHeight="1" s="88"/>
    <row r="101" ht="15.75" customHeight="1" s="88"/>
    <row r="102" ht="15.75" customHeight="1" s="88"/>
    <row r="103" ht="15.75" customHeight="1" s="88"/>
    <row r="104" ht="15.75" customHeight="1" s="88"/>
    <row r="105" ht="15.75" customHeight="1" s="88"/>
    <row r="106" ht="15.75" customHeight="1" s="88"/>
    <row r="107" ht="15.75" customHeight="1" s="88"/>
    <row r="108" ht="15.75" customHeight="1" s="88"/>
    <row r="109" ht="15.75" customHeight="1" s="88"/>
    <row r="110" ht="15.75" customHeight="1" s="88"/>
    <row r="111" ht="15.75" customHeight="1" s="88"/>
    <row r="112" ht="15.75" customHeight="1" s="88"/>
    <row r="113" ht="15.75" customHeight="1" s="88"/>
    <row r="114" ht="15.75" customHeight="1" s="88"/>
    <row r="115" ht="15.75" customHeight="1" s="88"/>
    <row r="116" ht="15.75" customHeight="1" s="88"/>
    <row r="117" ht="15.75" customHeight="1" s="88"/>
    <row r="118" ht="15.75" customHeight="1" s="88"/>
    <row r="119" ht="15.75" customHeight="1" s="88"/>
    <row r="120" ht="15.75" customHeight="1" s="88"/>
    <row r="121" ht="15.75" customHeight="1" s="88"/>
    <row r="122" ht="15.75" customHeight="1" s="88"/>
    <row r="123" ht="15.75" customHeight="1" s="88"/>
    <row r="124" ht="15.75" customHeight="1" s="88"/>
    <row r="125" ht="15.75" customHeight="1" s="88"/>
    <row r="126" ht="15.75" customHeight="1" s="88"/>
    <row r="127" ht="15.75" customHeight="1" s="88"/>
    <row r="128" ht="15.75" customHeight="1" s="88"/>
    <row r="129" ht="15.75" customHeight="1" s="88"/>
    <row r="130" ht="15.75" customHeight="1" s="88"/>
    <row r="131" ht="15.75" customHeight="1" s="88"/>
    <row r="132" ht="15.75" customHeight="1" s="88"/>
    <row r="133" ht="15.75" customHeight="1" s="88"/>
    <row r="134" ht="15.75" customHeight="1" s="88"/>
    <row r="135" ht="15.75" customHeight="1" s="88"/>
    <row r="136" ht="15.75" customHeight="1" s="88"/>
    <row r="137" ht="15.75" customHeight="1" s="88"/>
    <row r="138" ht="15.75" customHeight="1" s="88"/>
    <row r="139" ht="15.75" customHeight="1" s="88"/>
    <row r="140" ht="15.75" customHeight="1" s="88"/>
    <row r="141" ht="15.75" customHeight="1" s="88"/>
    <row r="142" ht="15.75" customHeight="1" s="88"/>
    <row r="143" ht="15.75" customHeight="1" s="88"/>
    <row r="144" ht="15.75" customHeight="1" s="88"/>
    <row r="145" ht="15.75" customHeight="1" s="88"/>
    <row r="146" ht="15.75" customHeight="1" s="88"/>
    <row r="147" ht="15.75" customHeight="1" s="88"/>
    <row r="148" ht="15.75" customHeight="1" s="88"/>
    <row r="149" ht="15.75" customHeight="1" s="88"/>
    <row r="150" ht="15.75" customHeight="1" s="88"/>
    <row r="151" ht="15.75" customHeight="1" s="88"/>
    <row r="152" ht="15.75" customHeight="1" s="88"/>
    <row r="153" ht="15.75" customHeight="1" s="88"/>
    <row r="154" ht="15.75" customHeight="1" s="88"/>
    <row r="155" ht="15.75" customHeight="1" s="88"/>
    <row r="156" ht="15.75" customHeight="1" s="88"/>
    <row r="157" ht="15.75" customHeight="1" s="88"/>
    <row r="158" ht="15.75" customHeight="1" s="88"/>
    <row r="159" ht="15.75" customHeight="1" s="88"/>
    <row r="160" ht="15.75" customHeight="1" s="88"/>
    <row r="161" ht="15.75" customHeight="1" s="88"/>
    <row r="162" ht="15.75" customHeight="1" s="88"/>
    <row r="163" ht="15.75" customHeight="1" s="88"/>
    <row r="164" ht="15.75" customHeight="1" s="88"/>
    <row r="165" ht="15.75" customHeight="1" s="88"/>
    <row r="166" ht="15.75" customHeight="1" s="88"/>
    <row r="167" ht="15.75" customHeight="1" s="88"/>
    <row r="168" ht="15.75" customHeight="1" s="88"/>
    <row r="169" ht="15.75" customHeight="1" s="88"/>
    <row r="170" ht="15.75" customHeight="1" s="88"/>
    <row r="171" ht="15.75" customHeight="1" s="88"/>
    <row r="172" ht="15.75" customHeight="1" s="88"/>
    <row r="173" ht="15.75" customHeight="1" s="88"/>
    <row r="174" ht="15.75" customHeight="1" s="88"/>
    <row r="175" ht="15.75" customHeight="1" s="88"/>
    <row r="176" ht="15.75" customHeight="1" s="88"/>
    <row r="177" ht="15.75" customHeight="1" s="88"/>
    <row r="178" ht="15.75" customHeight="1" s="88"/>
    <row r="179" ht="15.75" customHeight="1" s="88"/>
    <row r="180" ht="15.75" customHeight="1" s="88"/>
    <row r="181" ht="15.75" customHeight="1" s="88"/>
    <row r="182" ht="15.75" customHeight="1" s="88"/>
    <row r="183" ht="15.75" customHeight="1" s="88"/>
    <row r="184" ht="15.75" customHeight="1" s="88"/>
    <row r="185" ht="15.75" customHeight="1" s="88"/>
    <row r="186" ht="15.75" customHeight="1" s="88"/>
    <row r="187" ht="15.75" customHeight="1" s="88"/>
    <row r="188" ht="15.75" customHeight="1" s="88"/>
    <row r="189" ht="15.75" customHeight="1" s="88"/>
    <row r="190" ht="15.75" customHeight="1" s="88"/>
    <row r="191" ht="15.75" customHeight="1" s="88"/>
    <row r="192" ht="15.75" customHeight="1" s="88"/>
    <row r="193" ht="15.75" customHeight="1" s="88"/>
    <row r="194" ht="15.75" customHeight="1" s="88"/>
    <row r="195" ht="15.75" customHeight="1" s="88"/>
    <row r="196" ht="15.75" customHeight="1" s="88"/>
    <row r="197" ht="15.75" customHeight="1" s="88"/>
    <row r="198" ht="15.75" customHeight="1" s="88"/>
    <row r="199" ht="15.75" customHeight="1" s="88"/>
    <row r="200" ht="15.75" customHeight="1" s="88"/>
    <row r="201" ht="15.75" customHeight="1" s="88"/>
    <row r="202" ht="15.75" customHeight="1" s="88"/>
    <row r="203" ht="15.75" customHeight="1" s="88"/>
    <row r="204" ht="15.75" customHeight="1" s="88"/>
    <row r="205" ht="15.75" customHeight="1" s="88"/>
    <row r="206" ht="15.75" customHeight="1" s="88"/>
    <row r="207" ht="15.75" customHeight="1" s="88"/>
    <row r="208" ht="15.75" customHeight="1" s="88"/>
    <row r="209" ht="15.75" customHeight="1" s="88"/>
    <row r="210" ht="15.75" customHeight="1" s="88"/>
    <row r="211" ht="15.75" customHeight="1" s="88"/>
    <row r="212" ht="15.75" customHeight="1" s="88"/>
    <row r="213" ht="15.75" customHeight="1" s="88"/>
    <row r="214" ht="15.75" customHeight="1" s="88"/>
    <row r="215" ht="15.75" customHeight="1" s="88"/>
    <row r="216" ht="15.75" customHeight="1" s="88"/>
    <row r="217" ht="15.75" customHeight="1" s="88"/>
    <row r="218" ht="15.75" customHeight="1" s="88"/>
    <row r="219" ht="15.75" customHeight="1" s="88"/>
    <row r="220" ht="15.75" customHeight="1" s="88"/>
    <row r="221" ht="15.75" customHeight="1" s="88"/>
    <row r="222" ht="15.75" customHeight="1" s="88"/>
    <row r="223" ht="15.75" customHeight="1" s="88"/>
    <row r="224" ht="15.75" customHeight="1" s="88"/>
    <row r="225" ht="15.75" customHeight="1" s="88"/>
    <row r="226" ht="15.75" customHeight="1" s="88"/>
    <row r="227" ht="15.75" customHeight="1" s="88"/>
    <row r="228" ht="15.75" customHeight="1" s="88"/>
    <row r="229" ht="15.75" customHeight="1" s="88"/>
    <row r="230" ht="15.75" customHeight="1" s="88"/>
    <row r="231" ht="15.75" customHeight="1" s="88"/>
    <row r="232" ht="15.75" customHeight="1" s="88"/>
    <row r="233" ht="15.75" customHeight="1" s="88"/>
    <row r="234" ht="15.75" customHeight="1" s="88"/>
    <row r="235" ht="15.75" customHeight="1" s="88"/>
    <row r="236" ht="15.75" customHeight="1" s="88"/>
    <row r="237" ht="15.75" customHeight="1" s="88"/>
    <row r="238" ht="15.75" customHeight="1" s="88"/>
    <row r="239" ht="15.75" customHeight="1" s="88"/>
    <row r="240" ht="15.75" customHeight="1" s="88"/>
    <row r="241" ht="15.75" customHeight="1" s="88"/>
    <row r="242" ht="15.75" customHeight="1" s="88"/>
    <row r="243" ht="15.75" customHeight="1" s="88"/>
    <row r="244" ht="15.75" customHeight="1" s="88"/>
    <row r="245" ht="15.75" customHeight="1" s="88"/>
    <row r="246" ht="15.75" customHeight="1" s="88"/>
    <row r="247" ht="15.75" customHeight="1" s="88"/>
    <row r="248" ht="15.75" customHeight="1" s="88"/>
    <row r="249" ht="15.75" customHeight="1" s="88"/>
    <row r="250" ht="15.75" customHeight="1" s="88"/>
    <row r="251" ht="15.75" customHeight="1" s="88"/>
    <row r="252" ht="15.75" customHeight="1" s="88"/>
    <row r="253" ht="15.75" customHeight="1" s="88"/>
    <row r="254" ht="15.75" customHeight="1" s="88"/>
    <row r="255" ht="15.75" customHeight="1" s="88"/>
    <row r="256" ht="15.75" customHeight="1" s="88"/>
    <row r="257" ht="15.75" customHeight="1" s="88"/>
    <row r="258" ht="15.75" customHeight="1" s="88"/>
    <row r="259" ht="15.75" customHeight="1" s="88"/>
    <row r="260" ht="15.75" customHeight="1" s="88"/>
    <row r="261" ht="15.75" customHeight="1" s="88"/>
    <row r="262" ht="15.75" customHeight="1" s="88"/>
    <row r="263" ht="15.75" customHeight="1" s="88"/>
    <row r="264" ht="15.75" customHeight="1" s="88"/>
    <row r="265" ht="15.75" customHeight="1" s="88"/>
    <row r="266" ht="15.75" customHeight="1" s="88"/>
    <row r="267" ht="15.75" customHeight="1" s="88"/>
    <row r="268" ht="15.75" customHeight="1" s="88"/>
    <row r="269" ht="15.75" customHeight="1" s="88"/>
    <row r="270" ht="15.75" customHeight="1" s="88"/>
    <row r="271" ht="15.75" customHeight="1" s="88"/>
    <row r="272" ht="15.75" customHeight="1" s="88"/>
    <row r="273" ht="15.75" customHeight="1" s="88"/>
    <row r="274" ht="15.75" customHeight="1" s="88"/>
    <row r="275" ht="15.75" customHeight="1" s="88"/>
    <row r="276" ht="15.75" customHeight="1" s="88"/>
    <row r="277" ht="15.75" customHeight="1" s="88"/>
    <row r="278" ht="15.75" customHeight="1" s="88"/>
    <row r="279" ht="15.75" customHeight="1" s="88"/>
    <row r="280" ht="15.75" customHeight="1" s="88"/>
    <row r="281" ht="15.75" customHeight="1" s="88"/>
    <row r="282" ht="15.75" customHeight="1" s="88"/>
    <row r="283" ht="15.75" customHeight="1" s="88"/>
    <row r="284" ht="15.75" customHeight="1" s="88"/>
    <row r="285" ht="15.75" customHeight="1" s="88"/>
    <row r="286" ht="15.75" customHeight="1" s="88"/>
    <row r="287" ht="15.75" customHeight="1" s="88"/>
    <row r="288" ht="15.75" customHeight="1" s="88"/>
    <row r="289" ht="15.75" customHeight="1" s="88"/>
    <row r="290" ht="15.75" customHeight="1" s="88"/>
    <row r="291" ht="15.75" customHeight="1" s="88"/>
    <row r="292" ht="15.75" customHeight="1" s="88"/>
    <row r="293" ht="15.75" customHeight="1" s="88"/>
    <row r="294" ht="15.75" customHeight="1" s="88"/>
    <row r="295" ht="15.75" customHeight="1" s="88"/>
    <row r="296" ht="15.75" customHeight="1" s="88"/>
    <row r="297" ht="15.75" customHeight="1" s="88"/>
    <row r="298" ht="15.75" customHeight="1" s="88"/>
    <row r="299" ht="15.75" customHeight="1" s="88"/>
    <row r="300" ht="15.75" customHeight="1" s="88"/>
    <row r="301" ht="15.75" customHeight="1" s="88"/>
    <row r="302" ht="15.75" customHeight="1" s="88"/>
    <row r="303" ht="15.75" customHeight="1" s="88"/>
    <row r="304" ht="15.75" customHeight="1" s="88"/>
    <row r="305" ht="15.75" customHeight="1" s="88"/>
    <row r="306" ht="15.75" customHeight="1" s="88"/>
    <row r="307" ht="15.75" customHeight="1" s="88"/>
    <row r="308" ht="15.75" customHeight="1" s="88"/>
    <row r="309" ht="15.75" customHeight="1" s="88"/>
    <row r="310" ht="15.75" customHeight="1" s="88"/>
    <row r="311" ht="15.75" customHeight="1" s="88"/>
    <row r="312" ht="15.75" customHeight="1" s="88"/>
    <row r="313" ht="15.75" customHeight="1" s="88"/>
    <row r="314" ht="15.75" customHeight="1" s="88"/>
    <row r="315" ht="15.75" customHeight="1" s="88"/>
    <row r="316" ht="15.75" customHeight="1" s="88"/>
    <row r="317" ht="15.75" customHeight="1" s="88"/>
    <row r="318" ht="15.75" customHeight="1" s="88"/>
    <row r="319" ht="15.75" customHeight="1" s="88"/>
    <row r="320" ht="15.75" customHeight="1" s="88"/>
    <row r="321" ht="15.75" customHeight="1" s="88"/>
    <row r="322" ht="15.75" customHeight="1" s="88"/>
    <row r="323" ht="15.75" customHeight="1" s="88"/>
    <row r="324" ht="15.75" customHeight="1" s="88"/>
    <row r="325" ht="15.75" customHeight="1" s="88"/>
    <row r="326" ht="15.75" customHeight="1" s="88"/>
    <row r="327" ht="15.75" customHeight="1" s="88"/>
    <row r="328" ht="15.75" customHeight="1" s="88"/>
    <row r="329" ht="15.75" customHeight="1" s="88"/>
    <row r="330" ht="15.75" customHeight="1" s="88"/>
    <row r="331" ht="15.75" customHeight="1" s="88"/>
    <row r="332" ht="15.75" customHeight="1" s="88"/>
    <row r="333" ht="15.75" customHeight="1" s="88"/>
    <row r="334" ht="15.75" customHeight="1" s="88"/>
    <row r="335" ht="15.75" customHeight="1" s="88"/>
    <row r="336" ht="15.75" customHeight="1" s="88"/>
    <row r="337" ht="15.75" customHeight="1" s="88"/>
    <row r="338" ht="15.75" customHeight="1" s="88"/>
    <row r="339" ht="15.75" customHeight="1" s="88"/>
    <row r="340" ht="15.75" customHeight="1" s="88"/>
    <row r="341" ht="15.75" customHeight="1" s="88"/>
    <row r="342" ht="15.75" customHeight="1" s="88"/>
    <row r="343" ht="15.75" customHeight="1" s="88"/>
    <row r="344" ht="15.75" customHeight="1" s="88"/>
    <row r="345" ht="15.75" customHeight="1" s="88"/>
    <row r="346" ht="15.75" customHeight="1" s="88"/>
    <row r="347" ht="15.75" customHeight="1" s="88"/>
    <row r="348" ht="15.75" customHeight="1" s="88"/>
    <row r="349" ht="15.75" customHeight="1" s="88"/>
    <row r="350" ht="15.75" customHeight="1" s="88"/>
    <row r="351" ht="15.75" customHeight="1" s="88"/>
    <row r="352" ht="15.75" customHeight="1" s="88"/>
    <row r="353" ht="15.75" customHeight="1" s="88"/>
    <row r="354" ht="15.75" customHeight="1" s="88"/>
    <row r="355" ht="15.75" customHeight="1" s="88"/>
    <row r="356" ht="15.75" customHeight="1" s="88"/>
    <row r="357" ht="15.75" customHeight="1" s="88"/>
    <row r="358" ht="15.75" customHeight="1" s="88"/>
    <row r="359" ht="15.75" customHeight="1" s="88"/>
    <row r="360" ht="15.75" customHeight="1" s="88"/>
    <row r="361" ht="15.75" customHeight="1" s="88"/>
    <row r="362" ht="15.75" customHeight="1" s="88"/>
    <row r="363" ht="15.75" customHeight="1" s="88"/>
    <row r="364" ht="15.75" customHeight="1" s="88"/>
    <row r="365" ht="15.75" customHeight="1" s="88"/>
    <row r="366" ht="15.75" customHeight="1" s="88"/>
    <row r="367" ht="15.75" customHeight="1" s="88"/>
    <row r="368" ht="15.75" customHeight="1" s="88"/>
    <row r="369" ht="15.75" customHeight="1" s="88"/>
    <row r="370" ht="15.75" customHeight="1" s="88"/>
    <row r="371" ht="15.75" customHeight="1" s="88"/>
    <row r="372" ht="15.75" customHeight="1" s="88"/>
    <row r="373" ht="15.75" customHeight="1" s="88"/>
    <row r="374" ht="15.75" customHeight="1" s="88"/>
    <row r="375" ht="15.75" customHeight="1" s="88"/>
    <row r="376" ht="15.75" customHeight="1" s="88"/>
    <row r="377" ht="15.75" customHeight="1" s="88"/>
    <row r="378" ht="15.75" customHeight="1" s="88"/>
    <row r="379" ht="15.75" customHeight="1" s="88"/>
    <row r="380" ht="15.75" customHeight="1" s="88"/>
    <row r="381" ht="15.75" customHeight="1" s="88"/>
    <row r="382" ht="15.75" customHeight="1" s="88"/>
    <row r="383" ht="15.75" customHeight="1" s="88"/>
    <row r="384" ht="15.75" customHeight="1" s="88"/>
    <row r="385" ht="15.75" customHeight="1" s="88"/>
    <row r="386" ht="15.75" customHeight="1" s="88"/>
    <row r="387" ht="15.75" customHeight="1" s="88"/>
    <row r="388" ht="15.75" customHeight="1" s="88"/>
    <row r="389" ht="15.75" customHeight="1" s="88"/>
    <row r="390" ht="15.75" customHeight="1" s="88"/>
    <row r="391" ht="15.75" customHeight="1" s="88"/>
    <row r="392" ht="15.75" customHeight="1" s="88"/>
    <row r="393" ht="15.75" customHeight="1" s="88"/>
    <row r="394" ht="15.75" customHeight="1" s="88"/>
    <row r="395" ht="15.75" customHeight="1" s="88"/>
    <row r="396" ht="15.75" customHeight="1" s="88"/>
    <row r="397" ht="15.75" customHeight="1" s="88"/>
    <row r="398" ht="15.75" customHeight="1" s="88"/>
    <row r="399" ht="15.75" customHeight="1" s="88"/>
    <row r="400" ht="15.75" customHeight="1" s="88"/>
    <row r="401" ht="15.75" customHeight="1" s="88"/>
    <row r="402" ht="15.75" customHeight="1" s="88"/>
    <row r="403" ht="15.75" customHeight="1" s="88"/>
    <row r="404" ht="15.75" customHeight="1" s="88"/>
    <row r="405" ht="15.75" customHeight="1" s="88"/>
    <row r="406" ht="15.75" customHeight="1" s="88"/>
    <row r="407" ht="15.75" customHeight="1" s="88"/>
    <row r="408" ht="15.75" customHeight="1" s="88"/>
    <row r="409" ht="15.75" customHeight="1" s="88"/>
    <row r="410" ht="15.75" customHeight="1" s="88"/>
    <row r="411" ht="15.75" customHeight="1" s="88"/>
    <row r="412" ht="15.75" customHeight="1" s="88"/>
    <row r="413" ht="15.75" customHeight="1" s="88"/>
    <row r="414" ht="15.75" customHeight="1" s="88"/>
    <row r="415" ht="15.75" customHeight="1" s="88"/>
    <row r="416" ht="15.75" customHeight="1" s="88"/>
    <row r="417" ht="15.75" customHeight="1" s="88"/>
    <row r="418" ht="15.75" customHeight="1" s="88"/>
    <row r="419" ht="15.75" customHeight="1" s="88"/>
    <row r="420" ht="15.75" customHeight="1" s="88"/>
    <row r="421" ht="15.75" customHeight="1" s="88"/>
    <row r="422" ht="15.75" customHeight="1" s="88"/>
    <row r="423" ht="15.75" customHeight="1" s="88"/>
    <row r="424" ht="15.75" customHeight="1" s="88"/>
    <row r="425" ht="15.75" customHeight="1" s="88"/>
    <row r="426" ht="15.75" customHeight="1" s="88"/>
    <row r="427" ht="15.75" customHeight="1" s="88"/>
    <row r="428" ht="15.75" customHeight="1" s="88"/>
    <row r="429" ht="15.75" customHeight="1" s="88"/>
    <row r="430" ht="15.75" customHeight="1" s="88"/>
    <row r="431" ht="15.75" customHeight="1" s="88"/>
    <row r="432" ht="15.75" customHeight="1" s="88"/>
    <row r="433" ht="15.75" customHeight="1" s="88"/>
    <row r="434" ht="15.75" customHeight="1" s="88"/>
    <row r="435" ht="15.75" customHeight="1" s="88"/>
    <row r="436" ht="15.75" customHeight="1" s="88"/>
    <row r="437" ht="15.75" customHeight="1" s="88"/>
    <row r="438" ht="15.75" customHeight="1" s="88"/>
    <row r="439" ht="15.75" customHeight="1" s="88"/>
    <row r="440" ht="15.75" customHeight="1" s="88"/>
    <row r="441" ht="15.75" customHeight="1" s="88"/>
    <row r="442" ht="15.75" customHeight="1" s="88"/>
    <row r="443" ht="15.75" customHeight="1" s="88"/>
    <row r="444" ht="15.75" customHeight="1" s="88"/>
    <row r="445" ht="15.75" customHeight="1" s="88"/>
    <row r="446" ht="15.75" customHeight="1" s="88"/>
    <row r="447" ht="15.75" customHeight="1" s="88"/>
    <row r="448" ht="15.75" customHeight="1" s="88"/>
    <row r="449" ht="15.75" customHeight="1" s="88"/>
    <row r="450" ht="15.75" customHeight="1" s="88"/>
    <row r="451" ht="15.75" customHeight="1" s="88"/>
    <row r="452" ht="15.75" customHeight="1" s="88"/>
    <row r="453" ht="15.75" customHeight="1" s="88"/>
    <row r="454" ht="15.75" customHeight="1" s="88"/>
    <row r="455" ht="15.75" customHeight="1" s="88"/>
    <row r="456" ht="15.75" customHeight="1" s="88"/>
    <row r="457" ht="15.75" customHeight="1" s="88"/>
    <row r="458" ht="15.75" customHeight="1" s="88"/>
    <row r="459" ht="15.75" customHeight="1" s="88"/>
    <row r="460" ht="15.75" customHeight="1" s="88"/>
    <row r="461" ht="15.75" customHeight="1" s="88"/>
    <row r="462" ht="15.75" customHeight="1" s="88"/>
    <row r="463" ht="15.75" customHeight="1" s="88"/>
    <row r="464" ht="15.75" customHeight="1" s="88"/>
    <row r="465" ht="15.75" customHeight="1" s="88"/>
    <row r="466" ht="15.75" customHeight="1" s="88"/>
    <row r="467" ht="15.75" customHeight="1" s="88"/>
    <row r="468" ht="15.75" customHeight="1" s="88"/>
    <row r="469" ht="15.75" customHeight="1" s="88"/>
    <row r="470" ht="15.75" customHeight="1" s="88"/>
    <row r="471" ht="15.75" customHeight="1" s="88"/>
    <row r="472" ht="15.75" customHeight="1" s="88"/>
    <row r="473" ht="15.75" customHeight="1" s="88"/>
    <row r="474" ht="15.75" customHeight="1" s="88"/>
    <row r="475" ht="15.75" customHeight="1" s="88"/>
    <row r="476" ht="15.75" customHeight="1" s="88"/>
    <row r="477" ht="15.75" customHeight="1" s="88"/>
    <row r="478" ht="15.75" customHeight="1" s="88"/>
    <row r="479" ht="15.75" customHeight="1" s="88"/>
    <row r="480" ht="15.75" customHeight="1" s="88"/>
    <row r="481" ht="15.75" customHeight="1" s="88"/>
    <row r="482" ht="15.75" customHeight="1" s="88"/>
    <row r="483" ht="15.75" customHeight="1" s="88"/>
    <row r="484" ht="15.75" customHeight="1" s="88"/>
    <row r="485" ht="15.75" customHeight="1" s="88"/>
    <row r="486" ht="15.75" customHeight="1" s="88"/>
    <row r="487" ht="15.75" customHeight="1" s="88"/>
    <row r="488" ht="15.75" customHeight="1" s="88"/>
    <row r="489" ht="15.75" customHeight="1" s="88"/>
    <row r="490" ht="15.75" customHeight="1" s="88"/>
    <row r="491" ht="15.75" customHeight="1" s="88"/>
    <row r="492" ht="15.75" customHeight="1" s="88"/>
    <row r="493" ht="15.75" customHeight="1" s="88"/>
    <row r="494" ht="15.75" customHeight="1" s="88"/>
    <row r="495" ht="15.75" customHeight="1" s="88"/>
    <row r="496" ht="15.75" customHeight="1" s="88"/>
    <row r="497" ht="15.75" customHeight="1" s="88"/>
    <row r="498" ht="15.75" customHeight="1" s="88"/>
    <row r="499" ht="15.75" customHeight="1" s="88"/>
    <row r="500" ht="15.75" customHeight="1" s="88"/>
    <row r="501" ht="15.75" customHeight="1" s="88"/>
    <row r="502" ht="15.75" customHeight="1" s="88"/>
    <row r="503" ht="15.75" customHeight="1" s="88"/>
    <row r="504" ht="15.75" customHeight="1" s="88"/>
    <row r="505" ht="15.75" customHeight="1" s="88"/>
    <row r="506" ht="15.75" customHeight="1" s="88"/>
    <row r="507" ht="15.75" customHeight="1" s="88"/>
    <row r="508" ht="15.75" customHeight="1" s="88"/>
    <row r="509" ht="15.75" customHeight="1" s="88"/>
    <row r="510" ht="15.75" customHeight="1" s="88"/>
    <row r="511" ht="15.75" customHeight="1" s="88"/>
    <row r="512" ht="15.75" customHeight="1" s="88"/>
    <row r="513" ht="15.75" customHeight="1" s="88"/>
    <row r="514" ht="15.75" customHeight="1" s="88"/>
    <row r="515" ht="15.75" customHeight="1" s="88"/>
    <row r="516" ht="15.75" customHeight="1" s="88"/>
    <row r="517" ht="15.75" customHeight="1" s="88"/>
    <row r="518" ht="15.75" customHeight="1" s="88"/>
    <row r="519" ht="15.75" customHeight="1" s="88"/>
    <row r="520" ht="15.75" customHeight="1" s="88"/>
    <row r="521" ht="15.75" customHeight="1" s="88"/>
    <row r="522" ht="15.75" customHeight="1" s="88"/>
    <row r="523" ht="15.75" customHeight="1" s="88"/>
    <row r="524" ht="15.75" customHeight="1" s="88"/>
    <row r="525" ht="15.75" customHeight="1" s="88"/>
    <row r="526" ht="15.75" customHeight="1" s="88"/>
    <row r="527" ht="15.75" customHeight="1" s="88"/>
    <row r="528" ht="15.75" customHeight="1" s="88"/>
    <row r="529" ht="15.75" customHeight="1" s="88"/>
    <row r="530" ht="15.75" customHeight="1" s="88"/>
    <row r="531" ht="15.75" customHeight="1" s="88"/>
    <row r="532" ht="15.75" customHeight="1" s="88"/>
    <row r="533" ht="15.75" customHeight="1" s="88"/>
    <row r="534" ht="15.75" customHeight="1" s="88"/>
    <row r="535" ht="15.75" customHeight="1" s="88"/>
    <row r="536" ht="15.75" customHeight="1" s="88"/>
    <row r="537" ht="15.75" customHeight="1" s="88"/>
    <row r="538" ht="15.75" customHeight="1" s="88"/>
    <row r="539" ht="15.75" customHeight="1" s="88"/>
    <row r="540" ht="15.75" customHeight="1" s="88"/>
    <row r="541" ht="15.75" customHeight="1" s="88"/>
    <row r="542" ht="15.75" customHeight="1" s="88"/>
    <row r="543" ht="15.75" customHeight="1" s="88"/>
    <row r="544" ht="15.75" customHeight="1" s="88"/>
    <row r="545" ht="15.75" customHeight="1" s="88"/>
    <row r="546" ht="15.75" customHeight="1" s="88"/>
    <row r="547" ht="15.75" customHeight="1" s="88"/>
    <row r="548" ht="15.75" customHeight="1" s="88"/>
    <row r="549" ht="15.75" customHeight="1" s="88"/>
    <row r="550" ht="15.75" customHeight="1" s="88"/>
    <row r="551" ht="15.75" customHeight="1" s="88"/>
    <row r="552" ht="15.75" customHeight="1" s="88"/>
    <row r="553" ht="15.75" customHeight="1" s="88"/>
    <row r="554" ht="15.75" customHeight="1" s="88"/>
    <row r="555" ht="15.75" customHeight="1" s="88"/>
    <row r="556" ht="15.75" customHeight="1" s="88"/>
    <row r="557" ht="15.75" customHeight="1" s="88"/>
    <row r="558" ht="15.75" customHeight="1" s="88"/>
    <row r="559" ht="15.75" customHeight="1" s="88"/>
    <row r="560" ht="15.75" customHeight="1" s="88"/>
    <row r="561" ht="15.75" customHeight="1" s="88"/>
    <row r="562" ht="15.75" customHeight="1" s="88"/>
    <row r="563" ht="15.75" customHeight="1" s="88"/>
    <row r="564" ht="15.75" customHeight="1" s="88"/>
    <row r="565" ht="15.75" customHeight="1" s="88"/>
    <row r="566" ht="15.75" customHeight="1" s="88"/>
    <row r="567" ht="15.75" customHeight="1" s="88"/>
    <row r="568" ht="15.75" customHeight="1" s="88"/>
    <row r="569" ht="15.75" customHeight="1" s="88"/>
    <row r="570" ht="15.75" customHeight="1" s="88"/>
    <row r="571" ht="15.75" customHeight="1" s="88"/>
    <row r="572" ht="15.75" customHeight="1" s="88"/>
    <row r="573" ht="15.75" customHeight="1" s="88"/>
    <row r="574" ht="15.75" customHeight="1" s="88"/>
    <row r="575" ht="15.75" customHeight="1" s="88"/>
    <row r="576" ht="15.75" customHeight="1" s="88"/>
    <row r="577" ht="15.75" customHeight="1" s="88"/>
    <row r="578" ht="15.75" customHeight="1" s="88"/>
    <row r="579" ht="15.75" customHeight="1" s="88"/>
    <row r="580" ht="15.75" customHeight="1" s="88"/>
    <row r="581" ht="15.75" customHeight="1" s="88"/>
    <row r="582" ht="15.75" customHeight="1" s="88"/>
    <row r="583" ht="15.75" customHeight="1" s="88"/>
    <row r="584" ht="15.75" customHeight="1" s="88"/>
    <row r="585" ht="15.75" customHeight="1" s="88"/>
    <row r="586" ht="15.75" customHeight="1" s="88"/>
    <row r="587" ht="15.75" customHeight="1" s="88"/>
    <row r="588" ht="15.75" customHeight="1" s="88"/>
    <row r="589" ht="15.75" customHeight="1" s="88"/>
    <row r="590" ht="15.75" customHeight="1" s="88"/>
    <row r="591" ht="15.75" customHeight="1" s="88"/>
    <row r="592" ht="15.75" customHeight="1" s="88"/>
    <row r="593" ht="15.75" customHeight="1" s="88"/>
    <row r="594" ht="15.75" customHeight="1" s="88"/>
    <row r="595" ht="15.75" customHeight="1" s="88"/>
    <row r="596" ht="15.75" customHeight="1" s="88"/>
    <row r="597" ht="15.75" customHeight="1" s="88"/>
    <row r="598" ht="15.75" customHeight="1" s="88"/>
    <row r="599" ht="15.75" customHeight="1" s="88"/>
    <row r="600" ht="15.75" customHeight="1" s="88"/>
    <row r="601" ht="15.75" customHeight="1" s="88"/>
    <row r="602" ht="15.75" customHeight="1" s="88"/>
    <row r="603" ht="15.75" customHeight="1" s="88"/>
    <row r="604" ht="15.75" customHeight="1" s="88"/>
    <row r="605" ht="15.75" customHeight="1" s="88"/>
    <row r="606" ht="15.75" customHeight="1" s="88"/>
    <row r="607" ht="15.75" customHeight="1" s="88"/>
    <row r="608" ht="15.75" customHeight="1" s="88"/>
    <row r="609" ht="15.75" customHeight="1" s="88"/>
    <row r="610" ht="15.75" customHeight="1" s="88"/>
    <row r="611" ht="15.75" customHeight="1" s="88"/>
    <row r="612" ht="15.75" customHeight="1" s="88"/>
    <row r="613" ht="15.75" customHeight="1" s="88"/>
    <row r="614" ht="15.75" customHeight="1" s="88"/>
    <row r="615" ht="15.75" customHeight="1" s="88"/>
    <row r="616" ht="15.75" customHeight="1" s="88"/>
    <row r="617" ht="15.75" customHeight="1" s="88"/>
    <row r="618" ht="15.75" customHeight="1" s="88"/>
    <row r="619" ht="15.75" customHeight="1" s="88"/>
    <row r="620" ht="15.75" customHeight="1" s="88"/>
    <row r="621" ht="15.75" customHeight="1" s="88"/>
    <row r="622" ht="15.75" customHeight="1" s="88"/>
    <row r="623" ht="15.75" customHeight="1" s="88"/>
    <row r="624" ht="15.75" customHeight="1" s="88"/>
    <row r="625" ht="15.75" customHeight="1" s="88"/>
    <row r="626" ht="15.75" customHeight="1" s="88"/>
    <row r="627" ht="15.75" customHeight="1" s="88"/>
    <row r="628" ht="15.75" customHeight="1" s="88"/>
    <row r="629" ht="15.75" customHeight="1" s="88"/>
    <row r="630" ht="15.75" customHeight="1" s="88"/>
    <row r="631" ht="15.75" customHeight="1" s="88"/>
    <row r="632" ht="15.75" customHeight="1" s="88"/>
    <row r="633" ht="15.75" customHeight="1" s="88"/>
    <row r="634" ht="15.75" customHeight="1" s="88"/>
    <row r="635" ht="15.75" customHeight="1" s="88"/>
    <row r="636" ht="15.75" customHeight="1" s="88"/>
    <row r="637" ht="15.75" customHeight="1" s="88"/>
    <row r="638" ht="15.75" customHeight="1" s="88"/>
    <row r="639" ht="15.75" customHeight="1" s="88"/>
    <row r="640" ht="15.75" customHeight="1" s="88"/>
    <row r="641" ht="15.75" customHeight="1" s="88"/>
    <row r="642" ht="15.75" customHeight="1" s="88"/>
    <row r="643" ht="15.75" customHeight="1" s="88"/>
    <row r="644" ht="15.75" customHeight="1" s="88"/>
    <row r="645" ht="15.75" customHeight="1" s="88"/>
    <row r="646" ht="15.75" customHeight="1" s="88"/>
    <row r="647" ht="15.75" customHeight="1" s="88"/>
    <row r="648" ht="15.75" customHeight="1" s="88"/>
    <row r="649" ht="15.75" customHeight="1" s="88"/>
    <row r="650" ht="15.75" customHeight="1" s="88"/>
    <row r="651" ht="15.75" customHeight="1" s="88"/>
    <row r="652" ht="15.75" customHeight="1" s="88"/>
    <row r="653" ht="15.75" customHeight="1" s="88"/>
    <row r="654" ht="15.75" customHeight="1" s="88"/>
    <row r="655" ht="15.75" customHeight="1" s="88"/>
    <row r="656" ht="15.75" customHeight="1" s="88"/>
    <row r="657" ht="15.75" customHeight="1" s="88"/>
    <row r="658" ht="15.75" customHeight="1" s="88"/>
    <row r="659" ht="15.75" customHeight="1" s="88"/>
    <row r="660" ht="15.75" customHeight="1" s="88"/>
    <row r="661" ht="15.75" customHeight="1" s="88"/>
    <row r="662" ht="15.75" customHeight="1" s="88"/>
    <row r="663" ht="15.75" customHeight="1" s="88"/>
    <row r="664" ht="15.75" customHeight="1" s="88"/>
    <row r="665" ht="15.75" customHeight="1" s="88"/>
    <row r="666" ht="15.75" customHeight="1" s="88"/>
    <row r="667" ht="15.75" customHeight="1" s="88"/>
    <row r="668" ht="15.75" customHeight="1" s="88"/>
    <row r="669" ht="15.75" customHeight="1" s="88"/>
    <row r="670" ht="15.75" customHeight="1" s="88"/>
    <row r="671" ht="15.75" customHeight="1" s="88"/>
    <row r="672" ht="15.75" customHeight="1" s="88"/>
    <row r="673" ht="15.75" customHeight="1" s="88"/>
    <row r="674" ht="15.75" customHeight="1" s="88"/>
    <row r="675" ht="15.75" customHeight="1" s="88"/>
    <row r="676" ht="15.75" customHeight="1" s="88"/>
    <row r="677" ht="15.75" customHeight="1" s="88"/>
    <row r="678" ht="15.75" customHeight="1" s="88"/>
    <row r="679" ht="15.75" customHeight="1" s="88"/>
    <row r="680" ht="15.75" customHeight="1" s="88"/>
    <row r="681" ht="15.75" customHeight="1" s="88"/>
    <row r="682" ht="15.75" customHeight="1" s="88"/>
    <row r="683" ht="15.75" customHeight="1" s="88"/>
    <row r="684" ht="15.75" customHeight="1" s="88"/>
    <row r="685" ht="15.75" customHeight="1" s="88"/>
    <row r="686" ht="15.75" customHeight="1" s="88"/>
    <row r="687" ht="15.75" customHeight="1" s="88"/>
    <row r="688" ht="15.75" customHeight="1" s="88"/>
    <row r="689" ht="15.75" customHeight="1" s="88"/>
    <row r="690" ht="15.75" customHeight="1" s="88"/>
    <row r="691" ht="15.75" customHeight="1" s="88"/>
    <row r="692" ht="15.75" customHeight="1" s="88"/>
    <row r="693" ht="15.75" customHeight="1" s="88"/>
    <row r="694" ht="15.75" customHeight="1" s="88"/>
    <row r="695" ht="15.75" customHeight="1" s="88"/>
    <row r="696" ht="15.75" customHeight="1" s="88"/>
    <row r="697" ht="15.75" customHeight="1" s="88"/>
    <row r="698" ht="15.75" customHeight="1" s="88"/>
    <row r="699" ht="15.75" customHeight="1" s="88"/>
    <row r="700" ht="15.75" customHeight="1" s="88"/>
    <row r="701" ht="15.75" customHeight="1" s="88"/>
    <row r="702" ht="15.75" customHeight="1" s="88"/>
    <row r="703" ht="15.75" customHeight="1" s="88"/>
    <row r="704" ht="15.75" customHeight="1" s="88"/>
    <row r="705" ht="15.75" customHeight="1" s="88"/>
    <row r="706" ht="15.75" customHeight="1" s="88"/>
    <row r="707" ht="15.75" customHeight="1" s="88"/>
    <row r="708" ht="15.75" customHeight="1" s="88"/>
    <row r="709" ht="15.75" customHeight="1" s="88"/>
    <row r="710" ht="15.75" customHeight="1" s="88"/>
    <row r="711" ht="15.75" customHeight="1" s="88"/>
    <row r="712" ht="15.75" customHeight="1" s="88"/>
    <row r="713" ht="15.75" customHeight="1" s="88"/>
    <row r="714" ht="15.75" customHeight="1" s="88"/>
    <row r="715" ht="15.75" customHeight="1" s="88"/>
    <row r="716" ht="15.75" customHeight="1" s="88"/>
    <row r="717" ht="15.75" customHeight="1" s="88"/>
    <row r="718" ht="15.75" customHeight="1" s="88"/>
    <row r="719" ht="15.75" customHeight="1" s="88"/>
    <row r="720" ht="15.75" customHeight="1" s="88"/>
    <row r="721" ht="15.75" customHeight="1" s="88"/>
    <row r="722" ht="15.75" customHeight="1" s="88"/>
    <row r="723" ht="15.75" customHeight="1" s="88"/>
    <row r="724" ht="15.75" customHeight="1" s="88"/>
    <row r="725" ht="15.75" customHeight="1" s="88"/>
    <row r="726" ht="15.75" customHeight="1" s="88"/>
    <row r="727" ht="15.75" customHeight="1" s="88"/>
    <row r="728" ht="15.75" customHeight="1" s="88"/>
    <row r="729" ht="15.75" customHeight="1" s="88"/>
    <row r="730" ht="15.75" customHeight="1" s="88"/>
    <row r="731" ht="15.75" customHeight="1" s="88"/>
    <row r="732" ht="15.75" customHeight="1" s="88"/>
    <row r="733" ht="15.75" customHeight="1" s="88"/>
    <row r="734" ht="15.75" customHeight="1" s="88"/>
    <row r="735" ht="15.75" customHeight="1" s="88"/>
    <row r="736" ht="15.75" customHeight="1" s="88"/>
    <row r="737" ht="15.75" customHeight="1" s="88"/>
    <row r="738" ht="15.75" customHeight="1" s="88"/>
    <row r="739" ht="15.75" customHeight="1" s="88"/>
    <row r="740" ht="15.75" customHeight="1" s="88"/>
    <row r="741" ht="15.75" customHeight="1" s="88"/>
    <row r="742" ht="15.75" customHeight="1" s="88"/>
    <row r="743" ht="15.75" customHeight="1" s="88"/>
    <row r="744" ht="15.75" customHeight="1" s="88"/>
    <row r="745" ht="15.75" customHeight="1" s="88"/>
    <row r="746" ht="15.75" customHeight="1" s="88"/>
    <row r="747" ht="15.75" customHeight="1" s="88"/>
    <row r="748" ht="15.75" customHeight="1" s="88"/>
    <row r="749" ht="15.75" customHeight="1" s="88"/>
    <row r="750" ht="15.75" customHeight="1" s="88"/>
    <row r="751" ht="15.75" customHeight="1" s="88"/>
    <row r="752" ht="15.75" customHeight="1" s="88"/>
    <row r="753" ht="15.75" customHeight="1" s="88"/>
    <row r="754" ht="15.75" customHeight="1" s="88"/>
    <row r="755" ht="15.75" customHeight="1" s="88"/>
    <row r="756" ht="15.75" customHeight="1" s="88"/>
    <row r="757" ht="15.75" customHeight="1" s="88"/>
    <row r="758" ht="15.75" customHeight="1" s="88"/>
    <row r="759" ht="15.75" customHeight="1" s="88"/>
    <row r="760" ht="15.75" customHeight="1" s="88"/>
    <row r="761" ht="15.75" customHeight="1" s="88"/>
    <row r="762" ht="15.75" customHeight="1" s="88"/>
    <row r="763" ht="15.75" customHeight="1" s="88"/>
    <row r="764" ht="15.75" customHeight="1" s="88"/>
    <row r="765" ht="15.75" customHeight="1" s="88"/>
    <row r="766" ht="15.75" customHeight="1" s="88"/>
    <row r="767" ht="15.75" customHeight="1" s="88"/>
    <row r="768" ht="15.75" customHeight="1" s="88"/>
    <row r="769" ht="15.75" customHeight="1" s="88"/>
    <row r="770" ht="15.75" customHeight="1" s="88"/>
    <row r="771" ht="15.75" customHeight="1" s="88"/>
    <row r="772" ht="15.75" customHeight="1" s="88"/>
    <row r="773" ht="15.75" customHeight="1" s="88"/>
    <row r="774" ht="15.75" customHeight="1" s="88"/>
    <row r="775" ht="15.75" customHeight="1" s="88"/>
    <row r="776" ht="15.75" customHeight="1" s="88"/>
    <row r="777" ht="15.75" customHeight="1" s="88"/>
    <row r="778" ht="15.75" customHeight="1" s="88"/>
    <row r="779" ht="15.75" customHeight="1" s="88"/>
    <row r="780" ht="15.75" customHeight="1" s="88"/>
    <row r="781" ht="15.75" customHeight="1" s="88"/>
    <row r="782" ht="15.75" customHeight="1" s="88"/>
    <row r="783" ht="15.75" customHeight="1" s="88"/>
    <row r="784" ht="15.75" customHeight="1" s="88"/>
    <row r="785" ht="15.75" customHeight="1" s="88"/>
    <row r="786" ht="15.75" customHeight="1" s="88"/>
    <row r="787" ht="15.75" customHeight="1" s="88"/>
    <row r="788" ht="15.75" customHeight="1" s="88"/>
    <row r="789" ht="15.75" customHeight="1" s="88"/>
    <row r="790" ht="15.75" customHeight="1" s="88"/>
    <row r="791" ht="15.75" customHeight="1" s="88"/>
    <row r="792" ht="15.75" customHeight="1" s="88"/>
    <row r="793" ht="15.75" customHeight="1" s="88"/>
    <row r="794" ht="15.75" customHeight="1" s="88"/>
    <row r="795" ht="15.75" customHeight="1" s="88"/>
    <row r="796" ht="15.75" customHeight="1" s="88"/>
    <row r="797" ht="15.75" customHeight="1" s="88"/>
    <row r="798" ht="15.75" customHeight="1" s="88"/>
    <row r="799" ht="15.75" customHeight="1" s="88"/>
    <row r="800" ht="15.75" customHeight="1" s="88"/>
    <row r="801" ht="15.75" customHeight="1" s="88"/>
    <row r="802" ht="15.75" customHeight="1" s="88"/>
    <row r="803" ht="15.75" customHeight="1" s="88"/>
    <row r="804" ht="15.75" customHeight="1" s="88"/>
    <row r="805" ht="15.75" customHeight="1" s="88"/>
    <row r="806" ht="15.75" customHeight="1" s="88"/>
    <row r="807" ht="15.75" customHeight="1" s="88"/>
    <row r="808" ht="15.75" customHeight="1" s="88"/>
    <row r="809" ht="15.75" customHeight="1" s="88"/>
    <row r="810" ht="15.75" customHeight="1" s="88"/>
    <row r="811" ht="15.75" customHeight="1" s="88"/>
    <row r="812" ht="15.75" customHeight="1" s="88"/>
    <row r="813" ht="15.75" customHeight="1" s="88"/>
    <row r="814" ht="15.75" customHeight="1" s="88"/>
    <row r="815" ht="15.75" customHeight="1" s="88"/>
    <row r="816" ht="15.75" customHeight="1" s="88"/>
    <row r="817" ht="15.75" customHeight="1" s="88"/>
    <row r="818" ht="15.75" customHeight="1" s="88"/>
    <row r="819" ht="15.75" customHeight="1" s="88"/>
    <row r="820" ht="15.75" customHeight="1" s="88"/>
    <row r="821" ht="15.75" customHeight="1" s="88"/>
    <row r="822" ht="15.75" customHeight="1" s="88"/>
    <row r="823" ht="15.75" customHeight="1" s="88"/>
    <row r="824" ht="15.75" customHeight="1" s="88"/>
    <row r="825" ht="15.75" customHeight="1" s="88"/>
    <row r="826" ht="15.75" customHeight="1" s="88"/>
    <row r="827" ht="15.75" customHeight="1" s="88"/>
    <row r="828" ht="15.75" customHeight="1" s="88"/>
    <row r="829" ht="15.75" customHeight="1" s="88"/>
    <row r="830" ht="15.75" customHeight="1" s="88"/>
    <row r="831" ht="15.75" customHeight="1" s="88"/>
    <row r="832" ht="15.75" customHeight="1" s="88"/>
    <row r="833" ht="15.75" customHeight="1" s="88"/>
    <row r="834" ht="15.75" customHeight="1" s="88"/>
    <row r="835" ht="15.75" customHeight="1" s="88"/>
    <row r="836" ht="15.75" customHeight="1" s="88"/>
    <row r="837" ht="15.75" customHeight="1" s="88"/>
    <row r="838" ht="15.75" customHeight="1" s="88"/>
    <row r="839" ht="15.75" customHeight="1" s="88"/>
    <row r="840" ht="15.75" customHeight="1" s="88"/>
    <row r="841" ht="15.75" customHeight="1" s="88"/>
    <row r="842" ht="15.75" customHeight="1" s="88"/>
    <row r="843" ht="15.75" customHeight="1" s="88"/>
    <row r="844" ht="15.75" customHeight="1" s="88"/>
    <row r="845" ht="15.75" customHeight="1" s="88"/>
    <row r="846" ht="15.75" customHeight="1" s="88"/>
    <row r="847" ht="15.75" customHeight="1" s="88"/>
    <row r="848" ht="15.75" customHeight="1" s="88"/>
    <row r="849" ht="15.75" customHeight="1" s="88"/>
    <row r="850" ht="15.75" customHeight="1" s="88"/>
    <row r="851" ht="15.75" customHeight="1" s="88"/>
    <row r="852" ht="15.75" customHeight="1" s="88"/>
    <row r="853" ht="15.75" customHeight="1" s="88"/>
    <row r="854" ht="15.75" customHeight="1" s="88"/>
    <row r="855" ht="15.75" customHeight="1" s="88"/>
    <row r="856" ht="15.75" customHeight="1" s="88"/>
    <row r="857" ht="15.75" customHeight="1" s="88"/>
    <row r="858" ht="15.75" customHeight="1" s="88"/>
    <row r="859" ht="15.75" customHeight="1" s="88"/>
    <row r="860" ht="15.75" customHeight="1" s="88"/>
    <row r="861" ht="15.75" customHeight="1" s="88"/>
    <row r="862" ht="15.75" customHeight="1" s="88"/>
    <row r="863" ht="15.75" customHeight="1" s="88"/>
    <row r="864" ht="15.75" customHeight="1" s="88"/>
    <row r="865" ht="15.75" customHeight="1" s="88"/>
    <row r="866" ht="15.75" customHeight="1" s="88"/>
    <row r="867" ht="15.75" customHeight="1" s="88"/>
    <row r="868" ht="15.75" customHeight="1" s="88"/>
    <row r="869" ht="15.75" customHeight="1" s="88"/>
    <row r="870" ht="15.75" customHeight="1" s="88"/>
    <row r="871" ht="15.75" customHeight="1" s="88"/>
    <row r="872" ht="15.75" customHeight="1" s="88"/>
    <row r="873" ht="15.75" customHeight="1" s="88"/>
    <row r="874" ht="15.75" customHeight="1" s="88"/>
    <row r="875" ht="15.75" customHeight="1" s="88"/>
    <row r="876" ht="15.75" customHeight="1" s="88"/>
    <row r="877" ht="15.75" customHeight="1" s="88"/>
    <row r="878" ht="15.75" customHeight="1" s="88"/>
    <row r="879" ht="15.75" customHeight="1" s="88"/>
    <row r="880" ht="15.75" customHeight="1" s="88"/>
    <row r="881" ht="15.75" customHeight="1" s="88"/>
    <row r="882" ht="15.75" customHeight="1" s="88"/>
    <row r="883" ht="15.75" customHeight="1" s="88"/>
    <row r="884" ht="15.75" customHeight="1" s="88"/>
    <row r="885" ht="15.75" customHeight="1" s="88"/>
    <row r="886" ht="15.75" customHeight="1" s="88"/>
    <row r="887" ht="15.75" customHeight="1" s="88"/>
    <row r="888" ht="15.75" customHeight="1" s="88"/>
    <row r="889" ht="15.75" customHeight="1" s="88"/>
    <row r="890" ht="15.75" customHeight="1" s="88"/>
    <row r="891" ht="15.75" customHeight="1" s="88"/>
    <row r="892" ht="15.75" customHeight="1" s="88"/>
    <row r="893" ht="15.75" customHeight="1" s="88"/>
    <row r="894" ht="15.75" customHeight="1" s="88"/>
    <row r="895" ht="15.75" customHeight="1" s="88"/>
    <row r="896" ht="15.75" customHeight="1" s="88"/>
    <row r="897" ht="15.75" customHeight="1" s="88"/>
    <row r="898" ht="15.75" customHeight="1" s="88"/>
    <row r="899" ht="15.75" customHeight="1" s="88"/>
    <row r="900" ht="15.75" customHeight="1" s="88"/>
    <row r="901" ht="15.75" customHeight="1" s="88"/>
    <row r="902" ht="15.75" customHeight="1" s="88"/>
    <row r="903" ht="15.75" customHeight="1" s="88"/>
    <row r="904" ht="15.75" customHeight="1" s="88"/>
    <row r="905" ht="15.75" customHeight="1" s="88"/>
    <row r="906" ht="15.75" customHeight="1" s="88"/>
    <row r="907" ht="15.75" customHeight="1" s="88"/>
    <row r="908" ht="15.75" customHeight="1" s="88"/>
    <row r="909" ht="15.75" customHeight="1" s="88"/>
    <row r="910" ht="15.75" customHeight="1" s="88"/>
    <row r="911" ht="15.75" customHeight="1" s="88"/>
    <row r="912" ht="15.75" customHeight="1" s="88"/>
    <row r="913" ht="15.75" customHeight="1" s="88"/>
    <row r="914" ht="15.75" customHeight="1" s="88"/>
    <row r="915" ht="15.75" customHeight="1" s="88"/>
    <row r="916" ht="15.75" customHeight="1" s="88"/>
    <row r="917" ht="15.75" customHeight="1" s="88"/>
    <row r="918" ht="15.75" customHeight="1" s="88"/>
    <row r="919" ht="15.75" customHeight="1" s="88"/>
    <row r="920" ht="15.75" customHeight="1" s="88"/>
    <row r="921" ht="15.75" customHeight="1" s="88"/>
    <row r="922" ht="15.75" customHeight="1" s="88"/>
    <row r="923" ht="15.75" customHeight="1" s="88"/>
    <row r="924" ht="15.75" customHeight="1" s="88"/>
    <row r="925" ht="15.75" customHeight="1" s="88"/>
    <row r="926" ht="15.75" customHeight="1" s="88"/>
    <row r="927" ht="15.75" customHeight="1" s="88"/>
    <row r="928" ht="15.75" customHeight="1" s="88"/>
    <row r="929" ht="15.75" customHeight="1" s="88"/>
    <row r="930" ht="15.75" customHeight="1" s="88"/>
    <row r="931" ht="15.75" customHeight="1" s="88"/>
    <row r="932" ht="15.75" customHeight="1" s="88"/>
    <row r="933" ht="15.75" customHeight="1" s="88"/>
    <row r="934" ht="15.75" customHeight="1" s="88"/>
    <row r="935" ht="15.75" customHeight="1" s="88"/>
    <row r="936" ht="15.75" customHeight="1" s="88"/>
    <row r="937" ht="15.75" customHeight="1" s="88"/>
    <row r="938" ht="15.75" customHeight="1" s="88"/>
    <row r="939" ht="15.75" customHeight="1" s="88"/>
    <row r="940" ht="15.75" customHeight="1" s="88"/>
    <row r="941" ht="15.75" customHeight="1" s="88"/>
    <row r="942" ht="15.75" customHeight="1" s="88"/>
    <row r="943" ht="15.75" customHeight="1" s="88"/>
    <row r="944" ht="15.75" customHeight="1" s="88"/>
    <row r="945" ht="15.75" customHeight="1" s="88"/>
    <row r="946" ht="15.75" customHeight="1" s="88"/>
    <row r="947" ht="15.75" customHeight="1" s="88"/>
    <row r="948" ht="15.75" customHeight="1" s="88"/>
    <row r="949" ht="15.75" customHeight="1" s="88"/>
    <row r="950" ht="15.75" customHeight="1" s="88"/>
    <row r="951" ht="15.75" customHeight="1" s="88"/>
    <row r="952" ht="15.75" customHeight="1" s="88"/>
    <row r="953" ht="15.75" customHeight="1" s="88"/>
    <row r="954" ht="15.75" customHeight="1" s="88"/>
    <row r="955" ht="15.75" customHeight="1" s="88"/>
    <row r="956" ht="15.75" customHeight="1" s="88"/>
    <row r="957" ht="15.75" customHeight="1" s="88"/>
    <row r="958" ht="15.75" customHeight="1" s="88"/>
    <row r="959" ht="15.75" customHeight="1" s="88"/>
    <row r="960" ht="15.75" customHeight="1" s="88"/>
    <row r="961" ht="15.75" customHeight="1" s="88"/>
    <row r="962" ht="15.75" customHeight="1" s="88"/>
    <row r="963" ht="15.75" customHeight="1" s="88"/>
    <row r="964" ht="15.75" customHeight="1" s="88"/>
    <row r="965" ht="15.75" customHeight="1" s="88"/>
    <row r="966" ht="15.75" customHeight="1" s="88"/>
    <row r="967" ht="15.75" customHeight="1" s="88"/>
    <row r="968" ht="15.75" customHeight="1" s="88"/>
    <row r="969" ht="15.75" customHeight="1" s="88"/>
    <row r="970" ht="15.75" customHeight="1" s="88"/>
    <row r="971" ht="15.75" customHeight="1" s="88"/>
    <row r="972" ht="15.75" customHeight="1" s="88"/>
    <row r="973" ht="15.75" customHeight="1" s="88"/>
    <row r="974" ht="15.75" customHeight="1" s="88"/>
    <row r="975" ht="15.75" customHeight="1" s="88"/>
    <row r="976" ht="15.75" customHeight="1" s="88"/>
    <row r="977" ht="15.75" customHeight="1" s="88"/>
    <row r="978" ht="15.75" customHeight="1" s="88"/>
    <row r="979" ht="15.75" customHeight="1" s="88"/>
    <row r="980" ht="15.75" customHeight="1" s="88"/>
    <row r="981" ht="15.75" customHeight="1" s="88"/>
    <row r="982" ht="15.75" customHeight="1" s="88"/>
    <row r="983" ht="15.75" customHeight="1" s="88"/>
    <row r="984" ht="15.75" customHeight="1" s="88"/>
    <row r="985" ht="15.75" customHeight="1" s="88"/>
    <row r="986" ht="15.75" customHeight="1" s="88"/>
    <row r="987" ht="15.75" customHeight="1" s="88"/>
    <row r="988" ht="15.75" customHeight="1" s="88"/>
    <row r="989" ht="15.75" customHeight="1" s="88"/>
    <row r="990" ht="15.75" customHeight="1" s="88"/>
    <row r="991" ht="15.75" customHeight="1" s="88"/>
    <row r="992" ht="15.75" customHeight="1" s="88"/>
    <row r="993" ht="15.75" customHeight="1" s="88"/>
    <row r="994" ht="15.75" customHeight="1" s="88"/>
    <row r="995" ht="15.75" customHeight="1" s="88"/>
    <row r="996" ht="15.75" customHeight="1" s="88"/>
    <row r="997" ht="15.75" customHeight="1" s="88"/>
    <row r="998" ht="15.75" customHeight="1" s="88"/>
    <row r="999" ht="15.75" customHeight="1" s="88"/>
    <row r="1000" ht="15.75" customHeight="1" s="88"/>
  </sheetData>
  <mergeCells count="7">
    <mergeCell ref="A2:I2"/>
    <mergeCell ref="A4:I4"/>
    <mergeCell ref="A1:I1"/>
    <mergeCell ref="A7:F9"/>
    <mergeCell ref="A3:I3"/>
    <mergeCell ref="G8:I9"/>
    <mergeCell ref="G7:I7"/>
  </mergeCells>
  <pageMargins left="0.7" right="0.7" top="0.75" bottom="0.75" header="0" footer="0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selection activeCell="A1" sqref="A1:P1"/>
    </sheetView>
  </sheetViews>
  <sheetFormatPr baseColWidth="8" defaultColWidth="12.59765625" defaultRowHeight="15" customHeight="1"/>
  <cols>
    <col width="10.8984375" customWidth="1" style="88" min="1" max="1"/>
    <col width="7.69921875" customWidth="1" style="88" min="2" max="26"/>
  </cols>
  <sheetData>
    <row r="1" ht="19.5" customHeight="1" s="88">
      <c r="A1" s="15">
        <f>'CO-PO Mapping'!A1:P1</f>
        <v/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4" t="n"/>
    </row>
    <row r="2" ht="19.5" customHeight="1" s="88">
      <c r="A2" s="15" t="inlineStr">
        <is>
          <t>CO to PO &amp; PSO Attainment Through End Term Assessment</t>
        </is>
      </c>
      <c r="B2" s="123" t="n"/>
      <c r="C2" s="123" t="n"/>
      <c r="D2" s="123" t="n"/>
      <c r="E2" s="123" t="n"/>
      <c r="F2" s="123" t="n"/>
      <c r="G2" s="123" t="n"/>
      <c r="H2" s="123" t="n"/>
      <c r="I2" s="123" t="n"/>
      <c r="J2" s="123" t="n"/>
      <c r="K2" s="123" t="n"/>
      <c r="L2" s="123" t="n"/>
      <c r="M2" s="123" t="n"/>
      <c r="N2" s="123" t="n"/>
      <c r="O2" s="123" t="n"/>
      <c r="P2" s="124" t="n"/>
    </row>
    <row r="3" ht="19.5" customHeight="1" s="88">
      <c r="A3" s="15">
        <f>'CO-PO Mapping'!A4:P4</f>
        <v/>
      </c>
      <c r="B3" s="123" t="n"/>
      <c r="C3" s="123" t="n"/>
      <c r="D3" s="123" t="n"/>
      <c r="E3" s="123" t="n"/>
      <c r="F3" s="123" t="n"/>
      <c r="G3" s="123" t="n"/>
      <c r="H3" s="123" t="n"/>
      <c r="I3" s="123" t="n"/>
      <c r="J3" s="123" t="n"/>
      <c r="K3" s="123" t="n"/>
      <c r="L3" s="123" t="n"/>
      <c r="M3" s="123" t="n"/>
      <c r="N3" s="123" t="n"/>
      <c r="O3" s="123" t="n"/>
      <c r="P3" s="124" t="n"/>
    </row>
    <row r="4" ht="19.5" customHeight="1" s="88">
      <c r="A4" s="15" t="n"/>
      <c r="B4" s="123" t="n"/>
      <c r="C4" s="123" t="n"/>
      <c r="D4" s="123" t="n"/>
      <c r="E4" s="123" t="n"/>
      <c r="F4" s="123" t="n"/>
      <c r="G4" s="123" t="n"/>
      <c r="H4" s="123" t="n"/>
      <c r="I4" s="123" t="n"/>
      <c r="J4" s="123" t="n"/>
      <c r="K4" s="123" t="n"/>
      <c r="L4" s="123" t="n"/>
      <c r="M4" s="123" t="n"/>
      <c r="N4" s="123" t="n"/>
      <c r="O4" s="123" t="n"/>
      <c r="P4" s="124" t="n"/>
    </row>
    <row r="5" ht="19.5" customHeight="1" s="88">
      <c r="A5" s="15" t="inlineStr">
        <is>
          <t>Course</t>
        </is>
      </c>
      <c r="B5" s="15" t="inlineStr">
        <is>
          <t>PO1</t>
        </is>
      </c>
      <c r="C5" s="15" t="inlineStr">
        <is>
          <t>PO2</t>
        </is>
      </c>
      <c r="D5" s="15" t="inlineStr">
        <is>
          <t>PO3</t>
        </is>
      </c>
      <c r="E5" s="15" t="inlineStr">
        <is>
          <t>PO4</t>
        </is>
      </c>
      <c r="F5" s="15" t="inlineStr">
        <is>
          <t>PO5</t>
        </is>
      </c>
      <c r="G5" s="15" t="inlineStr">
        <is>
          <t>PO6</t>
        </is>
      </c>
      <c r="H5" s="15" t="inlineStr">
        <is>
          <t>PO7</t>
        </is>
      </c>
      <c r="I5" s="15" t="inlineStr">
        <is>
          <t>PO8</t>
        </is>
      </c>
      <c r="J5" s="15" t="inlineStr">
        <is>
          <t>PO9</t>
        </is>
      </c>
      <c r="K5" s="15" t="inlineStr">
        <is>
          <t>PO10</t>
        </is>
      </c>
      <c r="L5" s="15" t="inlineStr">
        <is>
          <t>PO11</t>
        </is>
      </c>
      <c r="M5" s="15" t="inlineStr">
        <is>
          <t>PO12</t>
        </is>
      </c>
      <c r="N5" s="15" t="inlineStr">
        <is>
          <t>PSO1</t>
        </is>
      </c>
      <c r="O5" s="15" t="inlineStr">
        <is>
          <t>PSO2</t>
        </is>
      </c>
      <c r="P5" s="15" t="inlineStr">
        <is>
          <t>PSO3</t>
        </is>
      </c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</row>
    <row r="6" ht="19.5" customHeight="1" s="88">
      <c r="A6" s="23">
        <f>'CO-PO Mapping'!A11</f>
        <v/>
      </c>
      <c r="B6" s="43">
        <f>'Attainment of Subject Code'!$I$6*'CO-PO Mapping'!B12/3</f>
        <v/>
      </c>
      <c r="C6" s="43">
        <f>'Attainment of Subject Code'!$I$6*'CO-PO Mapping'!C12/3</f>
        <v/>
      </c>
      <c r="D6" s="43">
        <f>'Attainment of Subject Code'!$I$6*'CO-PO Mapping'!D12/3</f>
        <v/>
      </c>
      <c r="E6" s="43">
        <f>'Attainment of Subject Code'!$I$6*'CO-PO Mapping'!E12/3</f>
        <v/>
      </c>
      <c r="F6" s="43">
        <f>'Attainment of Subject Code'!$I$6*'CO-PO Mapping'!F12/3</f>
        <v/>
      </c>
      <c r="G6" s="43">
        <f>'Attainment of Subject Code'!$I$6*'CO-PO Mapping'!G12/3</f>
        <v/>
      </c>
      <c r="H6" s="43">
        <f>'Attainment of Subject Code'!$I$6*'CO-PO Mapping'!H12/3</f>
        <v/>
      </c>
      <c r="I6" s="43">
        <f>'Attainment of Subject Code'!$I$6*'CO-PO Mapping'!I12/3</f>
        <v/>
      </c>
      <c r="J6" s="43">
        <f>'Attainment of Subject Code'!$I$6*'CO-PO Mapping'!J12/3</f>
        <v/>
      </c>
      <c r="K6" s="43">
        <f>'Attainment of Subject Code'!$I$6*'CO-PO Mapping'!K12/3</f>
        <v/>
      </c>
      <c r="L6" s="43">
        <f>'Attainment of Subject Code'!$I$6*'CO-PO Mapping'!L12/3</f>
        <v/>
      </c>
      <c r="M6" s="43">
        <f>'Attainment of Subject Code'!$I$6*'CO-PO Mapping'!M12/3</f>
        <v/>
      </c>
      <c r="N6" s="43">
        <f>'Attainment of Subject Code'!$I$6*'CO-PO Mapping'!N12/3</f>
        <v/>
      </c>
      <c r="O6" s="43">
        <f>'Attainment of Subject Code'!$I$6*'CO-PO Mapping'!O12/3</f>
        <v/>
      </c>
      <c r="P6" s="43">
        <f>'Attainment of Subject Code'!$I$6*'CO-PO Mapping'!P12/3</f>
        <v/>
      </c>
    </row>
    <row r="7" ht="39.75" customHeight="1" s="88">
      <c r="A7" s="33" t="inlineStr">
        <is>
          <t>Signature Subject Teacher</t>
        </is>
      </c>
      <c r="B7" s="123" t="n"/>
      <c r="C7" s="123" t="n"/>
      <c r="D7" s="123" t="n"/>
      <c r="E7" s="123" t="n"/>
      <c r="F7" s="123" t="n"/>
      <c r="G7" s="123" t="n"/>
      <c r="H7" s="123" t="n"/>
      <c r="I7" s="123" t="n"/>
      <c r="J7" s="123" t="n"/>
      <c r="K7" s="123" t="n"/>
      <c r="L7" s="123" t="n"/>
      <c r="M7" s="124" t="n"/>
      <c r="N7" s="33" t="n"/>
      <c r="O7" s="123" t="n"/>
      <c r="P7" s="124" t="n"/>
    </row>
    <row r="21" ht="15.75" customHeight="1" s="88"/>
    <row r="22" ht="15.75" customHeight="1" s="88"/>
    <row r="23" ht="15.75" customHeight="1" s="88"/>
    <row r="24" ht="15.75" customHeight="1" s="88"/>
    <row r="25" ht="15.75" customHeight="1" s="88"/>
    <row r="26" ht="15.75" customHeight="1" s="88"/>
    <row r="27" ht="15.75" customHeight="1" s="88"/>
    <row r="28" ht="15.75" customHeight="1" s="88"/>
    <row r="29" ht="15.75" customHeight="1" s="88"/>
    <row r="30" ht="15.75" customHeight="1" s="88"/>
    <row r="31" ht="15.75" customHeight="1" s="88"/>
    <row r="32" ht="15.75" customHeight="1" s="88"/>
    <row r="33" ht="15.75" customHeight="1" s="88"/>
    <row r="34" ht="15.75" customHeight="1" s="88"/>
    <row r="35" ht="15.75" customHeight="1" s="88"/>
    <row r="36" ht="15.75" customHeight="1" s="88"/>
    <row r="37" ht="15.75" customHeight="1" s="88"/>
    <row r="38" ht="15.75" customHeight="1" s="88"/>
    <row r="39" ht="15.75" customHeight="1" s="88"/>
    <row r="40" ht="15.75" customHeight="1" s="88"/>
    <row r="41" ht="15.75" customHeight="1" s="88"/>
    <row r="42" ht="15.75" customHeight="1" s="88"/>
    <row r="43" ht="15.75" customHeight="1" s="88"/>
    <row r="44" ht="15.75" customHeight="1" s="88"/>
    <row r="45" ht="15.75" customHeight="1" s="88"/>
    <row r="46" ht="15.75" customHeight="1" s="88"/>
    <row r="47" ht="15.75" customHeight="1" s="88"/>
    <row r="48" ht="15.75" customHeight="1" s="88"/>
    <row r="49" ht="15.75" customHeight="1" s="88"/>
    <row r="50" ht="15.75" customHeight="1" s="88"/>
    <row r="51" ht="15.75" customHeight="1" s="88"/>
    <row r="52" ht="15.75" customHeight="1" s="88"/>
    <row r="53" ht="15.75" customHeight="1" s="88"/>
    <row r="54" ht="15.75" customHeight="1" s="88"/>
    <row r="55" ht="15.75" customHeight="1" s="88"/>
    <row r="56" ht="15.75" customHeight="1" s="88"/>
    <row r="57" ht="15.75" customHeight="1" s="88"/>
    <row r="58" ht="15.75" customHeight="1" s="88"/>
    <row r="59" ht="15.75" customHeight="1" s="88"/>
    <row r="60" ht="15.75" customHeight="1" s="88"/>
    <row r="61" ht="15.75" customHeight="1" s="88"/>
    <row r="62" ht="15.75" customHeight="1" s="88"/>
    <row r="63" ht="15.75" customHeight="1" s="88"/>
    <row r="64" ht="15.75" customHeight="1" s="88"/>
    <row r="65" ht="15.75" customHeight="1" s="88"/>
    <row r="66" ht="15.75" customHeight="1" s="88"/>
    <row r="67" ht="15.75" customHeight="1" s="88"/>
    <row r="68" ht="15.75" customHeight="1" s="88"/>
    <row r="69" ht="15.75" customHeight="1" s="88"/>
    <row r="70" ht="15.75" customHeight="1" s="88"/>
    <row r="71" ht="15.75" customHeight="1" s="88"/>
    <row r="72" ht="15.75" customHeight="1" s="88"/>
    <row r="73" ht="15.75" customHeight="1" s="88"/>
    <row r="74" ht="15.75" customHeight="1" s="88"/>
    <row r="75" ht="15.75" customHeight="1" s="88"/>
    <row r="76" ht="15.75" customHeight="1" s="88"/>
    <row r="77" ht="15.75" customHeight="1" s="88"/>
    <row r="78" ht="15.75" customHeight="1" s="88"/>
    <row r="79" ht="15.75" customHeight="1" s="88"/>
    <row r="80" ht="15.75" customHeight="1" s="88"/>
    <row r="81" ht="15.75" customHeight="1" s="88"/>
    <row r="82" ht="15.75" customHeight="1" s="88"/>
    <row r="83" ht="15.75" customHeight="1" s="88"/>
    <row r="84" ht="15.75" customHeight="1" s="88"/>
    <row r="85" ht="15.75" customHeight="1" s="88"/>
    <row r="86" ht="15.75" customHeight="1" s="88"/>
    <row r="87" ht="15.75" customHeight="1" s="88"/>
    <row r="88" ht="15.75" customHeight="1" s="88"/>
    <row r="89" ht="15.75" customHeight="1" s="88"/>
    <row r="90" ht="15.75" customHeight="1" s="88"/>
    <row r="91" ht="15.75" customHeight="1" s="88"/>
    <row r="92" ht="15.75" customHeight="1" s="88"/>
    <row r="93" ht="15.75" customHeight="1" s="88"/>
    <row r="94" ht="15.75" customHeight="1" s="88"/>
    <row r="95" ht="15.75" customHeight="1" s="88"/>
    <row r="96" ht="15.75" customHeight="1" s="88"/>
    <row r="97" ht="15.75" customHeight="1" s="88"/>
    <row r="98" ht="15.75" customHeight="1" s="88"/>
    <row r="99" ht="15.75" customHeight="1" s="88"/>
    <row r="100" ht="15.75" customHeight="1" s="88"/>
    <row r="101" ht="15.75" customHeight="1" s="88"/>
    <row r="102" ht="15.75" customHeight="1" s="88"/>
    <row r="103" ht="15.75" customHeight="1" s="88"/>
    <row r="104" ht="15.75" customHeight="1" s="88"/>
    <row r="105" ht="15.75" customHeight="1" s="88"/>
    <row r="106" ht="15.75" customHeight="1" s="88"/>
    <row r="107" ht="15.75" customHeight="1" s="88"/>
    <row r="108" ht="15.75" customHeight="1" s="88"/>
    <row r="109" ht="15.75" customHeight="1" s="88"/>
    <row r="110" ht="15.75" customHeight="1" s="88"/>
    <row r="111" ht="15.75" customHeight="1" s="88"/>
    <row r="112" ht="15.75" customHeight="1" s="88"/>
    <row r="113" ht="15.75" customHeight="1" s="88"/>
    <row r="114" ht="15.75" customHeight="1" s="88"/>
    <row r="115" ht="15.75" customHeight="1" s="88"/>
    <row r="116" ht="15.75" customHeight="1" s="88"/>
    <row r="117" ht="15.75" customHeight="1" s="88"/>
    <row r="118" ht="15.75" customHeight="1" s="88"/>
    <row r="119" ht="15.75" customHeight="1" s="88"/>
    <row r="120" ht="15.75" customHeight="1" s="88"/>
    <row r="121" ht="15.75" customHeight="1" s="88"/>
    <row r="122" ht="15.75" customHeight="1" s="88"/>
    <row r="123" ht="15.75" customHeight="1" s="88"/>
    <row r="124" ht="15.75" customHeight="1" s="88"/>
    <row r="125" ht="15.75" customHeight="1" s="88"/>
    <row r="126" ht="15.75" customHeight="1" s="88"/>
    <row r="127" ht="15.75" customHeight="1" s="88"/>
    <row r="128" ht="15.75" customHeight="1" s="88"/>
    <row r="129" ht="15.75" customHeight="1" s="88"/>
    <row r="130" ht="15.75" customHeight="1" s="88"/>
    <row r="131" ht="15.75" customHeight="1" s="88"/>
    <row r="132" ht="15.75" customHeight="1" s="88"/>
    <row r="133" ht="15.75" customHeight="1" s="88"/>
    <row r="134" ht="15.75" customHeight="1" s="88"/>
    <row r="135" ht="15.75" customHeight="1" s="88"/>
    <row r="136" ht="15.75" customHeight="1" s="88"/>
    <row r="137" ht="15.75" customHeight="1" s="88"/>
    <row r="138" ht="15.75" customHeight="1" s="88"/>
    <row r="139" ht="15.75" customHeight="1" s="88"/>
    <row r="140" ht="15.75" customHeight="1" s="88"/>
    <row r="141" ht="15.75" customHeight="1" s="88"/>
    <row r="142" ht="15.75" customHeight="1" s="88"/>
    <row r="143" ht="15.75" customHeight="1" s="88"/>
    <row r="144" ht="15.75" customHeight="1" s="88"/>
    <row r="145" ht="15.75" customHeight="1" s="88"/>
    <row r="146" ht="15.75" customHeight="1" s="88"/>
    <row r="147" ht="15.75" customHeight="1" s="88"/>
    <row r="148" ht="15.75" customHeight="1" s="88"/>
    <row r="149" ht="15.75" customHeight="1" s="88"/>
    <row r="150" ht="15.75" customHeight="1" s="88"/>
    <row r="151" ht="15.75" customHeight="1" s="88"/>
    <row r="152" ht="15.75" customHeight="1" s="88"/>
    <row r="153" ht="15.75" customHeight="1" s="88"/>
    <row r="154" ht="15.75" customHeight="1" s="88"/>
    <row r="155" ht="15.75" customHeight="1" s="88"/>
    <row r="156" ht="15.75" customHeight="1" s="88"/>
    <row r="157" ht="15.75" customHeight="1" s="88"/>
    <row r="158" ht="15.75" customHeight="1" s="88"/>
    <row r="159" ht="15.75" customHeight="1" s="88"/>
    <row r="160" ht="15.75" customHeight="1" s="88"/>
    <row r="161" ht="15.75" customHeight="1" s="88"/>
    <row r="162" ht="15.75" customHeight="1" s="88"/>
    <row r="163" ht="15.75" customHeight="1" s="88"/>
    <row r="164" ht="15.75" customHeight="1" s="88"/>
    <row r="165" ht="15.75" customHeight="1" s="88"/>
    <row r="166" ht="15.75" customHeight="1" s="88"/>
    <row r="167" ht="15.75" customHeight="1" s="88"/>
    <row r="168" ht="15.75" customHeight="1" s="88"/>
    <row r="169" ht="15.75" customHeight="1" s="88"/>
    <row r="170" ht="15.75" customHeight="1" s="88"/>
    <row r="171" ht="15.75" customHeight="1" s="88"/>
    <row r="172" ht="15.75" customHeight="1" s="88"/>
    <row r="173" ht="15.75" customHeight="1" s="88"/>
    <row r="174" ht="15.75" customHeight="1" s="88"/>
    <row r="175" ht="15.75" customHeight="1" s="88"/>
    <row r="176" ht="15.75" customHeight="1" s="88"/>
    <row r="177" ht="15.75" customHeight="1" s="88"/>
    <row r="178" ht="15.75" customHeight="1" s="88"/>
    <row r="179" ht="15.75" customHeight="1" s="88"/>
    <row r="180" ht="15.75" customHeight="1" s="88"/>
    <row r="181" ht="15.75" customHeight="1" s="88"/>
    <row r="182" ht="15.75" customHeight="1" s="88"/>
    <row r="183" ht="15.75" customHeight="1" s="88"/>
    <row r="184" ht="15.75" customHeight="1" s="88"/>
    <row r="185" ht="15.75" customHeight="1" s="88"/>
    <row r="186" ht="15.75" customHeight="1" s="88"/>
    <row r="187" ht="15.75" customHeight="1" s="88"/>
    <row r="188" ht="15.75" customHeight="1" s="88"/>
    <row r="189" ht="15.75" customHeight="1" s="88"/>
    <row r="190" ht="15.75" customHeight="1" s="88"/>
    <row r="191" ht="15.75" customHeight="1" s="88"/>
    <row r="192" ht="15.75" customHeight="1" s="88"/>
    <row r="193" ht="15.75" customHeight="1" s="88"/>
    <row r="194" ht="15.75" customHeight="1" s="88"/>
    <row r="195" ht="15.75" customHeight="1" s="88"/>
    <row r="196" ht="15.75" customHeight="1" s="88"/>
    <row r="197" ht="15.75" customHeight="1" s="88"/>
    <row r="198" ht="15.75" customHeight="1" s="88"/>
    <row r="199" ht="15.75" customHeight="1" s="88"/>
    <row r="200" ht="15.75" customHeight="1" s="88"/>
    <row r="201" ht="15.75" customHeight="1" s="88"/>
    <row r="202" ht="15.75" customHeight="1" s="88"/>
    <row r="203" ht="15.75" customHeight="1" s="88"/>
    <row r="204" ht="15.75" customHeight="1" s="88"/>
    <row r="205" ht="15.75" customHeight="1" s="88"/>
    <row r="206" ht="15.75" customHeight="1" s="88"/>
    <row r="207" ht="15.75" customHeight="1" s="88"/>
    <row r="208" ht="15.75" customHeight="1" s="88"/>
    <row r="209" ht="15.75" customHeight="1" s="88"/>
    <row r="210" ht="15.75" customHeight="1" s="88"/>
    <row r="211" ht="15.75" customHeight="1" s="88"/>
    <row r="212" ht="15.75" customHeight="1" s="88"/>
    <row r="213" ht="15.75" customHeight="1" s="88"/>
    <row r="214" ht="15.75" customHeight="1" s="88"/>
    <row r="215" ht="15.75" customHeight="1" s="88"/>
    <row r="216" ht="15.75" customHeight="1" s="88"/>
    <row r="217" ht="15.75" customHeight="1" s="88"/>
    <row r="218" ht="15.75" customHeight="1" s="88"/>
    <row r="219" ht="15.75" customHeight="1" s="88"/>
    <row r="220" ht="15.75" customHeight="1" s="88"/>
    <row r="221" ht="15.75" customHeight="1" s="88"/>
    <row r="222" ht="15.75" customHeight="1" s="88"/>
    <row r="223" ht="15.75" customHeight="1" s="88"/>
    <row r="224" ht="15.75" customHeight="1" s="88"/>
    <row r="225" ht="15.75" customHeight="1" s="88"/>
    <row r="226" ht="15.75" customHeight="1" s="88"/>
    <row r="227" ht="15.75" customHeight="1" s="88"/>
    <row r="228" ht="15.75" customHeight="1" s="88"/>
    <row r="229" ht="15.75" customHeight="1" s="88"/>
    <row r="230" ht="15.75" customHeight="1" s="88"/>
    <row r="231" ht="15.75" customHeight="1" s="88"/>
    <row r="232" ht="15.75" customHeight="1" s="88"/>
    <row r="233" ht="15.75" customHeight="1" s="88"/>
    <row r="234" ht="15.75" customHeight="1" s="88"/>
    <row r="235" ht="15.75" customHeight="1" s="88"/>
    <row r="236" ht="15.75" customHeight="1" s="88"/>
    <row r="237" ht="15.75" customHeight="1" s="88"/>
    <row r="238" ht="15.75" customHeight="1" s="88"/>
    <row r="239" ht="15.75" customHeight="1" s="88"/>
    <row r="240" ht="15.75" customHeight="1" s="88"/>
    <row r="241" ht="15.75" customHeight="1" s="88"/>
    <row r="242" ht="15.75" customHeight="1" s="88"/>
    <row r="243" ht="15.75" customHeight="1" s="88"/>
    <row r="244" ht="15.75" customHeight="1" s="88"/>
    <row r="245" ht="15.75" customHeight="1" s="88"/>
    <row r="246" ht="15.75" customHeight="1" s="88"/>
    <row r="247" ht="15.75" customHeight="1" s="88"/>
    <row r="248" ht="15.75" customHeight="1" s="88"/>
    <row r="249" ht="15.75" customHeight="1" s="88"/>
    <row r="250" ht="15.75" customHeight="1" s="88"/>
    <row r="251" ht="15.75" customHeight="1" s="88"/>
    <row r="252" ht="15.75" customHeight="1" s="88"/>
    <row r="253" ht="15.75" customHeight="1" s="88"/>
    <row r="254" ht="15.75" customHeight="1" s="88"/>
    <row r="255" ht="15.75" customHeight="1" s="88"/>
    <row r="256" ht="15.75" customHeight="1" s="88"/>
    <row r="257" ht="15.75" customHeight="1" s="88"/>
    <row r="258" ht="15.75" customHeight="1" s="88"/>
    <row r="259" ht="15.75" customHeight="1" s="88"/>
    <row r="260" ht="15.75" customHeight="1" s="88"/>
    <row r="261" ht="15.75" customHeight="1" s="88"/>
    <row r="262" ht="15.75" customHeight="1" s="88"/>
    <row r="263" ht="15.75" customHeight="1" s="88"/>
    <row r="264" ht="15.75" customHeight="1" s="88"/>
    <row r="265" ht="15.75" customHeight="1" s="88"/>
    <row r="266" ht="15.75" customHeight="1" s="88"/>
    <row r="267" ht="15.75" customHeight="1" s="88"/>
    <row r="268" ht="15.75" customHeight="1" s="88"/>
    <row r="269" ht="15.75" customHeight="1" s="88"/>
    <row r="270" ht="15.75" customHeight="1" s="88"/>
    <row r="271" ht="15.75" customHeight="1" s="88"/>
    <row r="272" ht="15.75" customHeight="1" s="88"/>
    <row r="273" ht="15.75" customHeight="1" s="88"/>
    <row r="274" ht="15.75" customHeight="1" s="88"/>
    <row r="275" ht="15.75" customHeight="1" s="88"/>
    <row r="276" ht="15.75" customHeight="1" s="88"/>
    <row r="277" ht="15.75" customHeight="1" s="88"/>
    <row r="278" ht="15.75" customHeight="1" s="88"/>
    <row r="279" ht="15.75" customHeight="1" s="88"/>
    <row r="280" ht="15.75" customHeight="1" s="88"/>
    <row r="281" ht="15.75" customHeight="1" s="88"/>
    <row r="282" ht="15.75" customHeight="1" s="88"/>
    <row r="283" ht="15.75" customHeight="1" s="88"/>
    <row r="284" ht="15.75" customHeight="1" s="88"/>
    <row r="285" ht="15.75" customHeight="1" s="88"/>
    <row r="286" ht="15.75" customHeight="1" s="88"/>
    <row r="287" ht="15.75" customHeight="1" s="88"/>
    <row r="288" ht="15.75" customHeight="1" s="88"/>
    <row r="289" ht="15.75" customHeight="1" s="88"/>
    <row r="290" ht="15.75" customHeight="1" s="88"/>
    <row r="291" ht="15.75" customHeight="1" s="88"/>
    <row r="292" ht="15.75" customHeight="1" s="88"/>
    <row r="293" ht="15.75" customHeight="1" s="88"/>
    <row r="294" ht="15.75" customHeight="1" s="88"/>
    <row r="295" ht="15.75" customHeight="1" s="88"/>
    <row r="296" ht="15.75" customHeight="1" s="88"/>
    <row r="297" ht="15.75" customHeight="1" s="88"/>
    <row r="298" ht="15.75" customHeight="1" s="88"/>
    <row r="299" ht="15.75" customHeight="1" s="88"/>
    <row r="300" ht="15.75" customHeight="1" s="88"/>
    <row r="301" ht="15.75" customHeight="1" s="88"/>
    <row r="302" ht="15.75" customHeight="1" s="88"/>
    <row r="303" ht="15.75" customHeight="1" s="88"/>
    <row r="304" ht="15.75" customHeight="1" s="88"/>
    <row r="305" ht="15.75" customHeight="1" s="88"/>
    <row r="306" ht="15.75" customHeight="1" s="88"/>
    <row r="307" ht="15.75" customHeight="1" s="88"/>
    <row r="308" ht="15.75" customHeight="1" s="88"/>
    <row r="309" ht="15.75" customHeight="1" s="88"/>
    <row r="310" ht="15.75" customHeight="1" s="88"/>
    <row r="311" ht="15.75" customHeight="1" s="88"/>
    <row r="312" ht="15.75" customHeight="1" s="88"/>
    <row r="313" ht="15.75" customHeight="1" s="88"/>
    <row r="314" ht="15.75" customHeight="1" s="88"/>
    <row r="315" ht="15.75" customHeight="1" s="88"/>
    <row r="316" ht="15.75" customHeight="1" s="88"/>
    <row r="317" ht="15.75" customHeight="1" s="88"/>
    <row r="318" ht="15.75" customHeight="1" s="88"/>
    <row r="319" ht="15.75" customHeight="1" s="88"/>
    <row r="320" ht="15.75" customHeight="1" s="88"/>
    <row r="321" ht="15.75" customHeight="1" s="88"/>
    <row r="322" ht="15.75" customHeight="1" s="88"/>
    <row r="323" ht="15.75" customHeight="1" s="88"/>
    <row r="324" ht="15.75" customHeight="1" s="88"/>
    <row r="325" ht="15.75" customHeight="1" s="88"/>
    <row r="326" ht="15.75" customHeight="1" s="88"/>
    <row r="327" ht="15.75" customHeight="1" s="88"/>
    <row r="328" ht="15.75" customHeight="1" s="88"/>
    <row r="329" ht="15.75" customHeight="1" s="88"/>
    <row r="330" ht="15.75" customHeight="1" s="88"/>
    <row r="331" ht="15.75" customHeight="1" s="88"/>
    <row r="332" ht="15.75" customHeight="1" s="88"/>
    <row r="333" ht="15.75" customHeight="1" s="88"/>
    <row r="334" ht="15.75" customHeight="1" s="88"/>
    <row r="335" ht="15.75" customHeight="1" s="88"/>
    <row r="336" ht="15.75" customHeight="1" s="88"/>
    <row r="337" ht="15.75" customHeight="1" s="88"/>
    <row r="338" ht="15.75" customHeight="1" s="88"/>
    <row r="339" ht="15.75" customHeight="1" s="88"/>
    <row r="340" ht="15.75" customHeight="1" s="88"/>
    <row r="341" ht="15.75" customHeight="1" s="88"/>
    <row r="342" ht="15.75" customHeight="1" s="88"/>
    <row r="343" ht="15.75" customHeight="1" s="88"/>
    <row r="344" ht="15.75" customHeight="1" s="88"/>
    <row r="345" ht="15.75" customHeight="1" s="88"/>
    <row r="346" ht="15.75" customHeight="1" s="88"/>
    <row r="347" ht="15.75" customHeight="1" s="88"/>
    <row r="348" ht="15.75" customHeight="1" s="88"/>
    <row r="349" ht="15.75" customHeight="1" s="88"/>
    <row r="350" ht="15.75" customHeight="1" s="88"/>
    <row r="351" ht="15.75" customHeight="1" s="88"/>
    <row r="352" ht="15.75" customHeight="1" s="88"/>
    <row r="353" ht="15.75" customHeight="1" s="88"/>
    <row r="354" ht="15.75" customHeight="1" s="88"/>
    <row r="355" ht="15.75" customHeight="1" s="88"/>
    <row r="356" ht="15.75" customHeight="1" s="88"/>
    <row r="357" ht="15.75" customHeight="1" s="88"/>
    <row r="358" ht="15.75" customHeight="1" s="88"/>
    <row r="359" ht="15.75" customHeight="1" s="88"/>
    <row r="360" ht="15.75" customHeight="1" s="88"/>
    <row r="361" ht="15.75" customHeight="1" s="88"/>
    <row r="362" ht="15.75" customHeight="1" s="88"/>
    <row r="363" ht="15.75" customHeight="1" s="88"/>
    <row r="364" ht="15.75" customHeight="1" s="88"/>
    <row r="365" ht="15.75" customHeight="1" s="88"/>
    <row r="366" ht="15.75" customHeight="1" s="88"/>
    <row r="367" ht="15.75" customHeight="1" s="88"/>
    <row r="368" ht="15.75" customHeight="1" s="88"/>
    <row r="369" ht="15.75" customHeight="1" s="88"/>
    <row r="370" ht="15.75" customHeight="1" s="88"/>
    <row r="371" ht="15.75" customHeight="1" s="88"/>
    <row r="372" ht="15.75" customHeight="1" s="88"/>
    <row r="373" ht="15.75" customHeight="1" s="88"/>
    <row r="374" ht="15.75" customHeight="1" s="88"/>
    <row r="375" ht="15.75" customHeight="1" s="88"/>
    <row r="376" ht="15.75" customHeight="1" s="88"/>
    <row r="377" ht="15.75" customHeight="1" s="88"/>
    <row r="378" ht="15.75" customHeight="1" s="88"/>
    <row r="379" ht="15.75" customHeight="1" s="88"/>
    <row r="380" ht="15.75" customHeight="1" s="88"/>
    <row r="381" ht="15.75" customHeight="1" s="88"/>
    <row r="382" ht="15.75" customHeight="1" s="88"/>
    <row r="383" ht="15.75" customHeight="1" s="88"/>
    <row r="384" ht="15.75" customHeight="1" s="88"/>
    <row r="385" ht="15.75" customHeight="1" s="88"/>
    <row r="386" ht="15.75" customHeight="1" s="88"/>
    <row r="387" ht="15.75" customHeight="1" s="88"/>
    <row r="388" ht="15.75" customHeight="1" s="88"/>
    <row r="389" ht="15.75" customHeight="1" s="88"/>
    <row r="390" ht="15.75" customHeight="1" s="88"/>
    <row r="391" ht="15.75" customHeight="1" s="88"/>
    <row r="392" ht="15.75" customHeight="1" s="88"/>
    <row r="393" ht="15.75" customHeight="1" s="88"/>
    <row r="394" ht="15.75" customHeight="1" s="88"/>
    <row r="395" ht="15.75" customHeight="1" s="88"/>
    <row r="396" ht="15.75" customHeight="1" s="88"/>
    <row r="397" ht="15.75" customHeight="1" s="88"/>
    <row r="398" ht="15.75" customHeight="1" s="88"/>
    <row r="399" ht="15.75" customHeight="1" s="88"/>
    <row r="400" ht="15.75" customHeight="1" s="88"/>
    <row r="401" ht="15.75" customHeight="1" s="88"/>
    <row r="402" ht="15.75" customHeight="1" s="88"/>
    <row r="403" ht="15.75" customHeight="1" s="88"/>
    <row r="404" ht="15.75" customHeight="1" s="88"/>
    <row r="405" ht="15.75" customHeight="1" s="88"/>
    <row r="406" ht="15.75" customHeight="1" s="88"/>
    <row r="407" ht="15.75" customHeight="1" s="88"/>
    <row r="408" ht="15.75" customHeight="1" s="88"/>
    <row r="409" ht="15.75" customHeight="1" s="88"/>
    <row r="410" ht="15.75" customHeight="1" s="88"/>
    <row r="411" ht="15.75" customHeight="1" s="88"/>
    <row r="412" ht="15.75" customHeight="1" s="88"/>
    <row r="413" ht="15.75" customHeight="1" s="88"/>
    <row r="414" ht="15.75" customHeight="1" s="88"/>
    <row r="415" ht="15.75" customHeight="1" s="88"/>
    <row r="416" ht="15.75" customHeight="1" s="88"/>
    <row r="417" ht="15.75" customHeight="1" s="88"/>
    <row r="418" ht="15.75" customHeight="1" s="88"/>
    <row r="419" ht="15.75" customHeight="1" s="88"/>
    <row r="420" ht="15.75" customHeight="1" s="88"/>
    <row r="421" ht="15.75" customHeight="1" s="88"/>
    <row r="422" ht="15.75" customHeight="1" s="88"/>
    <row r="423" ht="15.75" customHeight="1" s="88"/>
    <row r="424" ht="15.75" customHeight="1" s="88"/>
    <row r="425" ht="15.75" customHeight="1" s="88"/>
    <row r="426" ht="15.75" customHeight="1" s="88"/>
    <row r="427" ht="15.75" customHeight="1" s="88"/>
    <row r="428" ht="15.75" customHeight="1" s="88"/>
    <row r="429" ht="15.75" customHeight="1" s="88"/>
    <row r="430" ht="15.75" customHeight="1" s="88"/>
    <row r="431" ht="15.75" customHeight="1" s="88"/>
    <row r="432" ht="15.75" customHeight="1" s="88"/>
    <row r="433" ht="15.75" customHeight="1" s="88"/>
    <row r="434" ht="15.75" customHeight="1" s="88"/>
    <row r="435" ht="15.75" customHeight="1" s="88"/>
    <row r="436" ht="15.75" customHeight="1" s="88"/>
    <row r="437" ht="15.75" customHeight="1" s="88"/>
    <row r="438" ht="15.75" customHeight="1" s="88"/>
    <row r="439" ht="15.75" customHeight="1" s="88"/>
    <row r="440" ht="15.75" customHeight="1" s="88"/>
    <row r="441" ht="15.75" customHeight="1" s="88"/>
    <row r="442" ht="15.75" customHeight="1" s="88"/>
    <row r="443" ht="15.75" customHeight="1" s="88"/>
    <row r="444" ht="15.75" customHeight="1" s="88"/>
    <row r="445" ht="15.75" customHeight="1" s="88"/>
    <row r="446" ht="15.75" customHeight="1" s="88"/>
    <row r="447" ht="15.75" customHeight="1" s="88"/>
    <row r="448" ht="15.75" customHeight="1" s="88"/>
    <row r="449" ht="15.75" customHeight="1" s="88"/>
    <row r="450" ht="15.75" customHeight="1" s="88"/>
    <row r="451" ht="15.75" customHeight="1" s="88"/>
    <row r="452" ht="15.75" customHeight="1" s="88"/>
    <row r="453" ht="15.75" customHeight="1" s="88"/>
    <row r="454" ht="15.75" customHeight="1" s="88"/>
    <row r="455" ht="15.75" customHeight="1" s="88"/>
    <row r="456" ht="15.75" customHeight="1" s="88"/>
    <row r="457" ht="15.75" customHeight="1" s="88"/>
    <row r="458" ht="15.75" customHeight="1" s="88"/>
    <row r="459" ht="15.75" customHeight="1" s="88"/>
    <row r="460" ht="15.75" customHeight="1" s="88"/>
    <row r="461" ht="15.75" customHeight="1" s="88"/>
    <row r="462" ht="15.75" customHeight="1" s="88"/>
    <row r="463" ht="15.75" customHeight="1" s="88"/>
    <row r="464" ht="15.75" customHeight="1" s="88"/>
    <row r="465" ht="15.75" customHeight="1" s="88"/>
    <row r="466" ht="15.75" customHeight="1" s="88"/>
    <row r="467" ht="15.75" customHeight="1" s="88"/>
    <row r="468" ht="15.75" customHeight="1" s="88"/>
    <row r="469" ht="15.75" customHeight="1" s="88"/>
    <row r="470" ht="15.75" customHeight="1" s="88"/>
    <row r="471" ht="15.75" customHeight="1" s="88"/>
    <row r="472" ht="15.75" customHeight="1" s="88"/>
    <row r="473" ht="15.75" customHeight="1" s="88"/>
    <row r="474" ht="15.75" customHeight="1" s="88"/>
    <row r="475" ht="15.75" customHeight="1" s="88"/>
    <row r="476" ht="15.75" customHeight="1" s="88"/>
    <row r="477" ht="15.75" customHeight="1" s="88"/>
    <row r="478" ht="15.75" customHeight="1" s="88"/>
    <row r="479" ht="15.75" customHeight="1" s="88"/>
    <row r="480" ht="15.75" customHeight="1" s="88"/>
    <row r="481" ht="15.75" customHeight="1" s="88"/>
    <row r="482" ht="15.75" customHeight="1" s="88"/>
    <row r="483" ht="15.75" customHeight="1" s="88"/>
    <row r="484" ht="15.75" customHeight="1" s="88"/>
    <row r="485" ht="15.75" customHeight="1" s="88"/>
    <row r="486" ht="15.75" customHeight="1" s="88"/>
    <row r="487" ht="15.75" customHeight="1" s="88"/>
    <row r="488" ht="15.75" customHeight="1" s="88"/>
    <row r="489" ht="15.75" customHeight="1" s="88"/>
    <row r="490" ht="15.75" customHeight="1" s="88"/>
    <row r="491" ht="15.75" customHeight="1" s="88"/>
    <row r="492" ht="15.75" customHeight="1" s="88"/>
    <row r="493" ht="15.75" customHeight="1" s="88"/>
    <row r="494" ht="15.75" customHeight="1" s="88"/>
    <row r="495" ht="15.75" customHeight="1" s="88"/>
    <row r="496" ht="15.75" customHeight="1" s="88"/>
    <row r="497" ht="15.75" customHeight="1" s="88"/>
    <row r="498" ht="15.75" customHeight="1" s="88"/>
    <row r="499" ht="15.75" customHeight="1" s="88"/>
    <row r="500" ht="15.75" customHeight="1" s="88"/>
    <row r="501" ht="15.75" customHeight="1" s="88"/>
    <row r="502" ht="15.75" customHeight="1" s="88"/>
    <row r="503" ht="15.75" customHeight="1" s="88"/>
    <row r="504" ht="15.75" customHeight="1" s="88"/>
    <row r="505" ht="15.75" customHeight="1" s="88"/>
    <row r="506" ht="15.75" customHeight="1" s="88"/>
    <row r="507" ht="15.75" customHeight="1" s="88"/>
    <row r="508" ht="15.75" customHeight="1" s="88"/>
    <row r="509" ht="15.75" customHeight="1" s="88"/>
    <row r="510" ht="15.75" customHeight="1" s="88"/>
    <row r="511" ht="15.75" customHeight="1" s="88"/>
    <row r="512" ht="15.75" customHeight="1" s="88"/>
    <row r="513" ht="15.75" customHeight="1" s="88"/>
    <row r="514" ht="15.75" customHeight="1" s="88"/>
    <row r="515" ht="15.75" customHeight="1" s="88"/>
    <row r="516" ht="15.75" customHeight="1" s="88"/>
    <row r="517" ht="15.75" customHeight="1" s="88"/>
    <row r="518" ht="15.75" customHeight="1" s="88"/>
    <row r="519" ht="15.75" customHeight="1" s="88"/>
    <row r="520" ht="15.75" customHeight="1" s="88"/>
    <row r="521" ht="15.75" customHeight="1" s="88"/>
    <row r="522" ht="15.75" customHeight="1" s="88"/>
    <row r="523" ht="15.75" customHeight="1" s="88"/>
    <row r="524" ht="15.75" customHeight="1" s="88"/>
    <row r="525" ht="15.75" customHeight="1" s="88"/>
    <row r="526" ht="15.75" customHeight="1" s="88"/>
    <row r="527" ht="15.75" customHeight="1" s="88"/>
    <row r="528" ht="15.75" customHeight="1" s="88"/>
    <row r="529" ht="15.75" customHeight="1" s="88"/>
    <row r="530" ht="15.75" customHeight="1" s="88"/>
    <row r="531" ht="15.75" customHeight="1" s="88"/>
    <row r="532" ht="15.75" customHeight="1" s="88"/>
    <row r="533" ht="15.75" customHeight="1" s="88"/>
    <row r="534" ht="15.75" customHeight="1" s="88"/>
    <row r="535" ht="15.75" customHeight="1" s="88"/>
    <row r="536" ht="15.75" customHeight="1" s="88"/>
    <row r="537" ht="15.75" customHeight="1" s="88"/>
    <row r="538" ht="15.75" customHeight="1" s="88"/>
    <row r="539" ht="15.75" customHeight="1" s="88"/>
    <row r="540" ht="15.75" customHeight="1" s="88"/>
    <row r="541" ht="15.75" customHeight="1" s="88"/>
    <row r="542" ht="15.75" customHeight="1" s="88"/>
    <row r="543" ht="15.75" customHeight="1" s="88"/>
    <row r="544" ht="15.75" customHeight="1" s="88"/>
    <row r="545" ht="15.75" customHeight="1" s="88"/>
    <row r="546" ht="15.75" customHeight="1" s="88"/>
    <row r="547" ht="15.75" customHeight="1" s="88"/>
    <row r="548" ht="15.75" customHeight="1" s="88"/>
    <row r="549" ht="15.75" customHeight="1" s="88"/>
    <row r="550" ht="15.75" customHeight="1" s="88"/>
    <row r="551" ht="15.75" customHeight="1" s="88"/>
    <row r="552" ht="15.75" customHeight="1" s="88"/>
    <row r="553" ht="15.75" customHeight="1" s="88"/>
    <row r="554" ht="15.75" customHeight="1" s="88"/>
    <row r="555" ht="15.75" customHeight="1" s="88"/>
    <row r="556" ht="15.75" customHeight="1" s="88"/>
    <row r="557" ht="15.75" customHeight="1" s="88"/>
    <row r="558" ht="15.75" customHeight="1" s="88"/>
    <row r="559" ht="15.75" customHeight="1" s="88"/>
    <row r="560" ht="15.75" customHeight="1" s="88"/>
    <row r="561" ht="15.75" customHeight="1" s="88"/>
    <row r="562" ht="15.75" customHeight="1" s="88"/>
    <row r="563" ht="15.75" customHeight="1" s="88"/>
    <row r="564" ht="15.75" customHeight="1" s="88"/>
    <row r="565" ht="15.75" customHeight="1" s="88"/>
    <row r="566" ht="15.75" customHeight="1" s="88"/>
    <row r="567" ht="15.75" customHeight="1" s="88"/>
    <row r="568" ht="15.75" customHeight="1" s="88"/>
    <row r="569" ht="15.75" customHeight="1" s="88"/>
    <row r="570" ht="15.75" customHeight="1" s="88"/>
    <row r="571" ht="15.75" customHeight="1" s="88"/>
    <row r="572" ht="15.75" customHeight="1" s="88"/>
    <row r="573" ht="15.75" customHeight="1" s="88"/>
    <row r="574" ht="15.75" customHeight="1" s="88"/>
    <row r="575" ht="15.75" customHeight="1" s="88"/>
    <row r="576" ht="15.75" customHeight="1" s="88"/>
    <row r="577" ht="15.75" customHeight="1" s="88"/>
    <row r="578" ht="15.75" customHeight="1" s="88"/>
    <row r="579" ht="15.75" customHeight="1" s="88"/>
    <row r="580" ht="15.75" customHeight="1" s="88"/>
    <row r="581" ht="15.75" customHeight="1" s="88"/>
    <row r="582" ht="15.75" customHeight="1" s="88"/>
    <row r="583" ht="15.75" customHeight="1" s="88"/>
    <row r="584" ht="15.75" customHeight="1" s="88"/>
    <row r="585" ht="15.75" customHeight="1" s="88"/>
    <row r="586" ht="15.75" customHeight="1" s="88"/>
    <row r="587" ht="15.75" customHeight="1" s="88"/>
    <row r="588" ht="15.75" customHeight="1" s="88"/>
    <row r="589" ht="15.75" customHeight="1" s="88"/>
    <row r="590" ht="15.75" customHeight="1" s="88"/>
    <row r="591" ht="15.75" customHeight="1" s="88"/>
    <row r="592" ht="15.75" customHeight="1" s="88"/>
    <row r="593" ht="15.75" customHeight="1" s="88"/>
    <row r="594" ht="15.75" customHeight="1" s="88"/>
    <row r="595" ht="15.75" customHeight="1" s="88"/>
    <row r="596" ht="15.75" customHeight="1" s="88"/>
    <row r="597" ht="15.75" customHeight="1" s="88"/>
    <row r="598" ht="15.75" customHeight="1" s="88"/>
    <row r="599" ht="15.75" customHeight="1" s="88"/>
    <row r="600" ht="15.75" customHeight="1" s="88"/>
    <row r="601" ht="15.75" customHeight="1" s="88"/>
    <row r="602" ht="15.75" customHeight="1" s="88"/>
    <row r="603" ht="15.75" customHeight="1" s="88"/>
    <row r="604" ht="15.75" customHeight="1" s="88"/>
    <row r="605" ht="15.75" customHeight="1" s="88"/>
    <row r="606" ht="15.75" customHeight="1" s="88"/>
    <row r="607" ht="15.75" customHeight="1" s="88"/>
    <row r="608" ht="15.75" customHeight="1" s="88"/>
    <row r="609" ht="15.75" customHeight="1" s="88"/>
    <row r="610" ht="15.75" customHeight="1" s="88"/>
    <row r="611" ht="15.75" customHeight="1" s="88"/>
    <row r="612" ht="15.75" customHeight="1" s="88"/>
    <row r="613" ht="15.75" customHeight="1" s="88"/>
    <row r="614" ht="15.75" customHeight="1" s="88"/>
    <row r="615" ht="15.75" customHeight="1" s="88"/>
    <row r="616" ht="15.75" customHeight="1" s="88"/>
    <row r="617" ht="15.75" customHeight="1" s="88"/>
    <row r="618" ht="15.75" customHeight="1" s="88"/>
    <row r="619" ht="15.75" customHeight="1" s="88"/>
    <row r="620" ht="15.75" customHeight="1" s="88"/>
    <row r="621" ht="15.75" customHeight="1" s="88"/>
    <row r="622" ht="15.75" customHeight="1" s="88"/>
    <row r="623" ht="15.75" customHeight="1" s="88"/>
    <row r="624" ht="15.75" customHeight="1" s="88"/>
    <row r="625" ht="15.75" customHeight="1" s="88"/>
    <row r="626" ht="15.75" customHeight="1" s="88"/>
    <row r="627" ht="15.75" customHeight="1" s="88"/>
    <row r="628" ht="15.75" customHeight="1" s="88"/>
    <row r="629" ht="15.75" customHeight="1" s="88"/>
    <row r="630" ht="15.75" customHeight="1" s="88"/>
    <row r="631" ht="15.75" customHeight="1" s="88"/>
    <row r="632" ht="15.75" customHeight="1" s="88"/>
    <row r="633" ht="15.75" customHeight="1" s="88"/>
    <row r="634" ht="15.75" customHeight="1" s="88"/>
    <row r="635" ht="15.75" customHeight="1" s="88"/>
    <row r="636" ht="15.75" customHeight="1" s="88"/>
    <row r="637" ht="15.75" customHeight="1" s="88"/>
    <row r="638" ht="15.75" customHeight="1" s="88"/>
    <row r="639" ht="15.75" customHeight="1" s="88"/>
    <row r="640" ht="15.75" customHeight="1" s="88"/>
    <row r="641" ht="15.75" customHeight="1" s="88"/>
    <row r="642" ht="15.75" customHeight="1" s="88"/>
    <row r="643" ht="15.75" customHeight="1" s="88"/>
    <row r="644" ht="15.75" customHeight="1" s="88"/>
    <row r="645" ht="15.75" customHeight="1" s="88"/>
    <row r="646" ht="15.75" customHeight="1" s="88"/>
    <row r="647" ht="15.75" customHeight="1" s="88"/>
    <row r="648" ht="15.75" customHeight="1" s="88"/>
    <row r="649" ht="15.75" customHeight="1" s="88"/>
    <row r="650" ht="15.75" customHeight="1" s="88"/>
    <row r="651" ht="15.75" customHeight="1" s="88"/>
    <row r="652" ht="15.75" customHeight="1" s="88"/>
    <row r="653" ht="15.75" customHeight="1" s="88"/>
    <row r="654" ht="15.75" customHeight="1" s="88"/>
    <row r="655" ht="15.75" customHeight="1" s="88"/>
    <row r="656" ht="15.75" customHeight="1" s="88"/>
    <row r="657" ht="15.75" customHeight="1" s="88"/>
    <row r="658" ht="15.75" customHeight="1" s="88"/>
    <row r="659" ht="15.75" customHeight="1" s="88"/>
    <row r="660" ht="15.75" customHeight="1" s="88"/>
    <row r="661" ht="15.75" customHeight="1" s="88"/>
    <row r="662" ht="15.75" customHeight="1" s="88"/>
    <row r="663" ht="15.75" customHeight="1" s="88"/>
    <row r="664" ht="15.75" customHeight="1" s="88"/>
    <row r="665" ht="15.75" customHeight="1" s="88"/>
    <row r="666" ht="15.75" customHeight="1" s="88"/>
    <row r="667" ht="15.75" customHeight="1" s="88"/>
    <row r="668" ht="15.75" customHeight="1" s="88"/>
    <row r="669" ht="15.75" customHeight="1" s="88"/>
    <row r="670" ht="15.75" customHeight="1" s="88"/>
    <row r="671" ht="15.75" customHeight="1" s="88"/>
    <row r="672" ht="15.75" customHeight="1" s="88"/>
    <row r="673" ht="15.75" customHeight="1" s="88"/>
    <row r="674" ht="15.75" customHeight="1" s="88"/>
    <row r="675" ht="15.75" customHeight="1" s="88"/>
    <row r="676" ht="15.75" customHeight="1" s="88"/>
    <row r="677" ht="15.75" customHeight="1" s="88"/>
    <row r="678" ht="15.75" customHeight="1" s="88"/>
    <row r="679" ht="15.75" customHeight="1" s="88"/>
    <row r="680" ht="15.75" customHeight="1" s="88"/>
    <row r="681" ht="15.75" customHeight="1" s="88"/>
    <row r="682" ht="15.75" customHeight="1" s="88"/>
    <row r="683" ht="15.75" customHeight="1" s="88"/>
    <row r="684" ht="15.75" customHeight="1" s="88"/>
    <row r="685" ht="15.75" customHeight="1" s="88"/>
    <row r="686" ht="15.75" customHeight="1" s="88"/>
    <row r="687" ht="15.75" customHeight="1" s="88"/>
    <row r="688" ht="15.75" customHeight="1" s="88"/>
    <row r="689" ht="15.75" customHeight="1" s="88"/>
    <row r="690" ht="15.75" customHeight="1" s="88"/>
    <row r="691" ht="15.75" customHeight="1" s="88"/>
    <row r="692" ht="15.75" customHeight="1" s="88"/>
    <row r="693" ht="15.75" customHeight="1" s="88"/>
    <row r="694" ht="15.75" customHeight="1" s="88"/>
    <row r="695" ht="15.75" customHeight="1" s="88"/>
    <row r="696" ht="15.75" customHeight="1" s="88"/>
    <row r="697" ht="15.75" customHeight="1" s="88"/>
    <row r="698" ht="15.75" customHeight="1" s="88"/>
    <row r="699" ht="15.75" customHeight="1" s="88"/>
    <row r="700" ht="15.75" customHeight="1" s="88"/>
    <row r="701" ht="15.75" customHeight="1" s="88"/>
    <row r="702" ht="15.75" customHeight="1" s="88"/>
    <row r="703" ht="15.75" customHeight="1" s="88"/>
    <row r="704" ht="15.75" customHeight="1" s="88"/>
    <row r="705" ht="15.75" customHeight="1" s="88"/>
    <row r="706" ht="15.75" customHeight="1" s="88"/>
    <row r="707" ht="15.75" customHeight="1" s="88"/>
    <row r="708" ht="15.75" customHeight="1" s="88"/>
    <row r="709" ht="15.75" customHeight="1" s="88"/>
    <row r="710" ht="15.75" customHeight="1" s="88"/>
    <row r="711" ht="15.75" customHeight="1" s="88"/>
    <row r="712" ht="15.75" customHeight="1" s="88"/>
    <row r="713" ht="15.75" customHeight="1" s="88"/>
    <row r="714" ht="15.75" customHeight="1" s="88"/>
    <row r="715" ht="15.75" customHeight="1" s="88"/>
    <row r="716" ht="15.75" customHeight="1" s="88"/>
    <row r="717" ht="15.75" customHeight="1" s="88"/>
    <row r="718" ht="15.75" customHeight="1" s="88"/>
    <row r="719" ht="15.75" customHeight="1" s="88"/>
    <row r="720" ht="15.75" customHeight="1" s="88"/>
    <row r="721" ht="15.75" customHeight="1" s="88"/>
    <row r="722" ht="15.75" customHeight="1" s="88"/>
    <row r="723" ht="15.75" customHeight="1" s="88"/>
    <row r="724" ht="15.75" customHeight="1" s="88"/>
    <row r="725" ht="15.75" customHeight="1" s="88"/>
    <row r="726" ht="15.75" customHeight="1" s="88"/>
    <row r="727" ht="15.75" customHeight="1" s="88"/>
    <row r="728" ht="15.75" customHeight="1" s="88"/>
    <row r="729" ht="15.75" customHeight="1" s="88"/>
    <row r="730" ht="15.75" customHeight="1" s="88"/>
    <row r="731" ht="15.75" customHeight="1" s="88"/>
    <row r="732" ht="15.75" customHeight="1" s="88"/>
    <row r="733" ht="15.75" customHeight="1" s="88"/>
    <row r="734" ht="15.75" customHeight="1" s="88"/>
    <row r="735" ht="15.75" customHeight="1" s="88"/>
    <row r="736" ht="15.75" customHeight="1" s="88"/>
    <row r="737" ht="15.75" customHeight="1" s="88"/>
    <row r="738" ht="15.75" customHeight="1" s="88"/>
    <row r="739" ht="15.75" customHeight="1" s="88"/>
    <row r="740" ht="15.75" customHeight="1" s="88"/>
    <row r="741" ht="15.75" customHeight="1" s="88"/>
    <row r="742" ht="15.75" customHeight="1" s="88"/>
    <row r="743" ht="15.75" customHeight="1" s="88"/>
    <row r="744" ht="15.75" customHeight="1" s="88"/>
    <row r="745" ht="15.75" customHeight="1" s="88"/>
    <row r="746" ht="15.75" customHeight="1" s="88"/>
    <row r="747" ht="15.75" customHeight="1" s="88"/>
    <row r="748" ht="15.75" customHeight="1" s="88"/>
    <row r="749" ht="15.75" customHeight="1" s="88"/>
    <row r="750" ht="15.75" customHeight="1" s="88"/>
    <row r="751" ht="15.75" customHeight="1" s="88"/>
    <row r="752" ht="15.75" customHeight="1" s="88"/>
    <row r="753" ht="15.75" customHeight="1" s="88"/>
    <row r="754" ht="15.75" customHeight="1" s="88"/>
    <row r="755" ht="15.75" customHeight="1" s="88"/>
    <row r="756" ht="15.75" customHeight="1" s="88"/>
    <row r="757" ht="15.75" customHeight="1" s="88"/>
    <row r="758" ht="15.75" customHeight="1" s="88"/>
    <row r="759" ht="15.75" customHeight="1" s="88"/>
    <row r="760" ht="15.75" customHeight="1" s="88"/>
    <row r="761" ht="15.75" customHeight="1" s="88"/>
    <row r="762" ht="15.75" customHeight="1" s="88"/>
    <row r="763" ht="15.75" customHeight="1" s="88"/>
    <row r="764" ht="15.75" customHeight="1" s="88"/>
    <row r="765" ht="15.75" customHeight="1" s="88"/>
    <row r="766" ht="15.75" customHeight="1" s="88"/>
    <row r="767" ht="15.75" customHeight="1" s="88"/>
    <row r="768" ht="15.75" customHeight="1" s="88"/>
    <row r="769" ht="15.75" customHeight="1" s="88"/>
    <row r="770" ht="15.75" customHeight="1" s="88"/>
    <row r="771" ht="15.75" customHeight="1" s="88"/>
    <row r="772" ht="15.75" customHeight="1" s="88"/>
    <row r="773" ht="15.75" customHeight="1" s="88"/>
    <row r="774" ht="15.75" customHeight="1" s="88"/>
    <row r="775" ht="15.75" customHeight="1" s="88"/>
    <row r="776" ht="15.75" customHeight="1" s="88"/>
    <row r="777" ht="15.75" customHeight="1" s="88"/>
    <row r="778" ht="15.75" customHeight="1" s="88"/>
    <row r="779" ht="15.75" customHeight="1" s="88"/>
    <row r="780" ht="15.75" customHeight="1" s="88"/>
    <row r="781" ht="15.75" customHeight="1" s="88"/>
    <row r="782" ht="15.75" customHeight="1" s="88"/>
    <row r="783" ht="15.75" customHeight="1" s="88"/>
    <row r="784" ht="15.75" customHeight="1" s="88"/>
    <row r="785" ht="15.75" customHeight="1" s="88"/>
    <row r="786" ht="15.75" customHeight="1" s="88"/>
    <row r="787" ht="15.75" customHeight="1" s="88"/>
    <row r="788" ht="15.75" customHeight="1" s="88"/>
    <row r="789" ht="15.75" customHeight="1" s="88"/>
    <row r="790" ht="15.75" customHeight="1" s="88"/>
    <row r="791" ht="15.75" customHeight="1" s="88"/>
    <row r="792" ht="15.75" customHeight="1" s="88"/>
    <row r="793" ht="15.75" customHeight="1" s="88"/>
    <row r="794" ht="15.75" customHeight="1" s="88"/>
    <row r="795" ht="15.75" customHeight="1" s="88"/>
    <row r="796" ht="15.75" customHeight="1" s="88"/>
    <row r="797" ht="15.75" customHeight="1" s="88"/>
    <row r="798" ht="15.75" customHeight="1" s="88"/>
    <row r="799" ht="15.75" customHeight="1" s="88"/>
    <row r="800" ht="15.75" customHeight="1" s="88"/>
    <row r="801" ht="15.75" customHeight="1" s="88"/>
    <row r="802" ht="15.75" customHeight="1" s="88"/>
    <row r="803" ht="15.75" customHeight="1" s="88"/>
    <row r="804" ht="15.75" customHeight="1" s="88"/>
    <row r="805" ht="15.75" customHeight="1" s="88"/>
    <row r="806" ht="15.75" customHeight="1" s="88"/>
    <row r="807" ht="15.75" customHeight="1" s="88"/>
    <row r="808" ht="15.75" customHeight="1" s="88"/>
    <row r="809" ht="15.75" customHeight="1" s="88"/>
    <row r="810" ht="15.75" customHeight="1" s="88"/>
    <row r="811" ht="15.75" customHeight="1" s="88"/>
    <row r="812" ht="15.75" customHeight="1" s="88"/>
    <row r="813" ht="15.75" customHeight="1" s="88"/>
    <row r="814" ht="15.75" customHeight="1" s="88"/>
    <row r="815" ht="15.75" customHeight="1" s="88"/>
    <row r="816" ht="15.75" customHeight="1" s="88"/>
    <row r="817" ht="15.75" customHeight="1" s="88"/>
    <row r="818" ht="15.75" customHeight="1" s="88"/>
    <row r="819" ht="15.75" customHeight="1" s="88"/>
    <row r="820" ht="15.75" customHeight="1" s="88"/>
    <row r="821" ht="15.75" customHeight="1" s="88"/>
    <row r="822" ht="15.75" customHeight="1" s="88"/>
    <row r="823" ht="15.75" customHeight="1" s="88"/>
    <row r="824" ht="15.75" customHeight="1" s="88"/>
    <row r="825" ht="15.75" customHeight="1" s="88"/>
    <row r="826" ht="15.75" customHeight="1" s="88"/>
    <row r="827" ht="15.75" customHeight="1" s="88"/>
    <row r="828" ht="15.75" customHeight="1" s="88"/>
    <row r="829" ht="15.75" customHeight="1" s="88"/>
    <row r="830" ht="15.75" customHeight="1" s="88"/>
    <row r="831" ht="15.75" customHeight="1" s="88"/>
    <row r="832" ht="15.75" customHeight="1" s="88"/>
    <row r="833" ht="15.75" customHeight="1" s="88"/>
    <row r="834" ht="15.75" customHeight="1" s="88"/>
    <row r="835" ht="15.75" customHeight="1" s="88"/>
    <row r="836" ht="15.75" customHeight="1" s="88"/>
    <row r="837" ht="15.75" customHeight="1" s="88"/>
    <row r="838" ht="15.75" customHeight="1" s="88"/>
    <row r="839" ht="15.75" customHeight="1" s="88"/>
    <row r="840" ht="15.75" customHeight="1" s="88"/>
    <row r="841" ht="15.75" customHeight="1" s="88"/>
    <row r="842" ht="15.75" customHeight="1" s="88"/>
    <row r="843" ht="15.75" customHeight="1" s="88"/>
    <row r="844" ht="15.75" customHeight="1" s="88"/>
    <row r="845" ht="15.75" customHeight="1" s="88"/>
    <row r="846" ht="15.75" customHeight="1" s="88"/>
    <row r="847" ht="15.75" customHeight="1" s="88"/>
    <row r="848" ht="15.75" customHeight="1" s="88"/>
    <row r="849" ht="15.75" customHeight="1" s="88"/>
    <row r="850" ht="15.75" customHeight="1" s="88"/>
    <row r="851" ht="15.75" customHeight="1" s="88"/>
    <row r="852" ht="15.75" customHeight="1" s="88"/>
    <row r="853" ht="15.75" customHeight="1" s="88"/>
    <row r="854" ht="15.75" customHeight="1" s="88"/>
    <row r="855" ht="15.75" customHeight="1" s="88"/>
    <row r="856" ht="15.75" customHeight="1" s="88"/>
    <row r="857" ht="15.75" customHeight="1" s="88"/>
    <row r="858" ht="15.75" customHeight="1" s="88"/>
    <row r="859" ht="15.75" customHeight="1" s="88"/>
    <row r="860" ht="15.75" customHeight="1" s="88"/>
    <row r="861" ht="15.75" customHeight="1" s="88"/>
    <row r="862" ht="15.75" customHeight="1" s="88"/>
    <row r="863" ht="15.75" customHeight="1" s="88"/>
    <row r="864" ht="15.75" customHeight="1" s="88"/>
    <row r="865" ht="15.75" customHeight="1" s="88"/>
    <row r="866" ht="15.75" customHeight="1" s="88"/>
    <row r="867" ht="15.75" customHeight="1" s="88"/>
    <row r="868" ht="15.75" customHeight="1" s="88"/>
    <row r="869" ht="15.75" customHeight="1" s="88"/>
    <row r="870" ht="15.75" customHeight="1" s="88"/>
    <row r="871" ht="15.75" customHeight="1" s="88"/>
    <row r="872" ht="15.75" customHeight="1" s="88"/>
    <row r="873" ht="15.75" customHeight="1" s="88"/>
    <row r="874" ht="15.75" customHeight="1" s="88"/>
    <row r="875" ht="15.75" customHeight="1" s="88"/>
    <row r="876" ht="15.75" customHeight="1" s="88"/>
    <row r="877" ht="15.75" customHeight="1" s="88"/>
    <row r="878" ht="15.75" customHeight="1" s="88"/>
    <row r="879" ht="15.75" customHeight="1" s="88"/>
    <row r="880" ht="15.75" customHeight="1" s="88"/>
    <row r="881" ht="15.75" customHeight="1" s="88"/>
    <row r="882" ht="15.75" customHeight="1" s="88"/>
    <row r="883" ht="15.75" customHeight="1" s="88"/>
    <row r="884" ht="15.75" customHeight="1" s="88"/>
    <row r="885" ht="15.75" customHeight="1" s="88"/>
    <row r="886" ht="15.75" customHeight="1" s="88"/>
    <row r="887" ht="15.75" customHeight="1" s="88"/>
    <row r="888" ht="15.75" customHeight="1" s="88"/>
    <row r="889" ht="15.75" customHeight="1" s="88"/>
    <row r="890" ht="15.75" customHeight="1" s="88"/>
    <row r="891" ht="15.75" customHeight="1" s="88"/>
    <row r="892" ht="15.75" customHeight="1" s="88"/>
    <row r="893" ht="15.75" customHeight="1" s="88"/>
    <row r="894" ht="15.75" customHeight="1" s="88"/>
    <row r="895" ht="15.75" customHeight="1" s="88"/>
    <row r="896" ht="15.75" customHeight="1" s="88"/>
    <row r="897" ht="15.75" customHeight="1" s="88"/>
    <row r="898" ht="15.75" customHeight="1" s="88"/>
    <row r="899" ht="15.75" customHeight="1" s="88"/>
    <row r="900" ht="15.75" customHeight="1" s="88"/>
    <row r="901" ht="15.75" customHeight="1" s="88"/>
    <row r="902" ht="15.75" customHeight="1" s="88"/>
    <row r="903" ht="15.75" customHeight="1" s="88"/>
    <row r="904" ht="15.75" customHeight="1" s="88"/>
    <row r="905" ht="15.75" customHeight="1" s="88"/>
    <row r="906" ht="15.75" customHeight="1" s="88"/>
    <row r="907" ht="15.75" customHeight="1" s="88"/>
    <row r="908" ht="15.75" customHeight="1" s="88"/>
    <row r="909" ht="15.75" customHeight="1" s="88"/>
    <row r="910" ht="15.75" customHeight="1" s="88"/>
    <row r="911" ht="15.75" customHeight="1" s="88"/>
    <row r="912" ht="15.75" customHeight="1" s="88"/>
    <row r="913" ht="15.75" customHeight="1" s="88"/>
    <row r="914" ht="15.75" customHeight="1" s="88"/>
    <row r="915" ht="15.75" customHeight="1" s="88"/>
    <row r="916" ht="15.75" customHeight="1" s="88"/>
    <row r="917" ht="15.75" customHeight="1" s="88"/>
    <row r="918" ht="15.75" customHeight="1" s="88"/>
    <row r="919" ht="15.75" customHeight="1" s="88"/>
    <row r="920" ht="15.75" customHeight="1" s="88"/>
    <row r="921" ht="15.75" customHeight="1" s="88"/>
    <row r="922" ht="15.75" customHeight="1" s="88"/>
    <row r="923" ht="15.75" customHeight="1" s="88"/>
    <row r="924" ht="15.75" customHeight="1" s="88"/>
    <row r="925" ht="15.75" customHeight="1" s="88"/>
    <row r="926" ht="15.75" customHeight="1" s="88"/>
    <row r="927" ht="15.75" customHeight="1" s="88"/>
    <row r="928" ht="15.75" customHeight="1" s="88"/>
    <row r="929" ht="15.75" customHeight="1" s="88"/>
    <row r="930" ht="15.75" customHeight="1" s="88"/>
    <row r="931" ht="15.75" customHeight="1" s="88"/>
    <row r="932" ht="15.75" customHeight="1" s="88"/>
    <row r="933" ht="15.75" customHeight="1" s="88"/>
    <row r="934" ht="15.75" customHeight="1" s="88"/>
    <row r="935" ht="15.75" customHeight="1" s="88"/>
    <row r="936" ht="15.75" customHeight="1" s="88"/>
    <row r="937" ht="15.75" customHeight="1" s="88"/>
    <row r="938" ht="15.75" customHeight="1" s="88"/>
    <row r="939" ht="15.75" customHeight="1" s="88"/>
    <row r="940" ht="15.75" customHeight="1" s="88"/>
    <row r="941" ht="15.75" customHeight="1" s="88"/>
    <row r="942" ht="15.75" customHeight="1" s="88"/>
    <row r="943" ht="15.75" customHeight="1" s="88"/>
    <row r="944" ht="15.75" customHeight="1" s="88"/>
    <row r="945" ht="15.75" customHeight="1" s="88"/>
    <row r="946" ht="15.75" customHeight="1" s="88"/>
    <row r="947" ht="15.75" customHeight="1" s="88"/>
    <row r="948" ht="15.75" customHeight="1" s="88"/>
    <row r="949" ht="15.75" customHeight="1" s="88"/>
    <row r="950" ht="15.75" customHeight="1" s="88"/>
    <row r="951" ht="15.75" customHeight="1" s="88"/>
    <row r="952" ht="15.75" customHeight="1" s="88"/>
    <row r="953" ht="15.75" customHeight="1" s="88"/>
    <row r="954" ht="15.75" customHeight="1" s="88"/>
    <row r="955" ht="15.75" customHeight="1" s="88"/>
    <row r="956" ht="15.75" customHeight="1" s="88"/>
    <row r="957" ht="15.75" customHeight="1" s="88"/>
    <row r="958" ht="15.75" customHeight="1" s="88"/>
    <row r="959" ht="15.75" customHeight="1" s="88"/>
    <row r="960" ht="15.75" customHeight="1" s="88"/>
    <row r="961" ht="15.75" customHeight="1" s="88"/>
    <row r="962" ht="15.75" customHeight="1" s="88"/>
    <row r="963" ht="15.75" customHeight="1" s="88"/>
    <row r="964" ht="15.75" customHeight="1" s="88"/>
    <row r="965" ht="15.75" customHeight="1" s="88"/>
    <row r="966" ht="15.75" customHeight="1" s="88"/>
    <row r="967" ht="15.75" customHeight="1" s="88"/>
    <row r="968" ht="15.75" customHeight="1" s="88"/>
    <row r="969" ht="15.75" customHeight="1" s="88"/>
    <row r="970" ht="15.75" customHeight="1" s="88"/>
    <row r="971" ht="15.75" customHeight="1" s="88"/>
    <row r="972" ht="15.75" customHeight="1" s="88"/>
    <row r="973" ht="15.75" customHeight="1" s="88"/>
    <row r="974" ht="15.75" customHeight="1" s="88"/>
    <row r="975" ht="15.75" customHeight="1" s="88"/>
    <row r="976" ht="15.75" customHeight="1" s="88"/>
    <row r="977" ht="15.75" customHeight="1" s="88"/>
    <row r="978" ht="15.75" customHeight="1" s="88"/>
    <row r="979" ht="15.75" customHeight="1" s="88"/>
    <row r="980" ht="15.75" customHeight="1" s="88"/>
    <row r="981" ht="15.75" customHeight="1" s="88"/>
    <row r="982" ht="15.75" customHeight="1" s="88"/>
    <row r="983" ht="15.75" customHeight="1" s="88"/>
    <row r="984" ht="15.75" customHeight="1" s="88"/>
    <row r="985" ht="15.75" customHeight="1" s="88"/>
    <row r="986" ht="15.75" customHeight="1" s="88"/>
    <row r="987" ht="15.75" customHeight="1" s="88"/>
    <row r="988" ht="15.75" customHeight="1" s="88"/>
    <row r="989" ht="15.75" customHeight="1" s="88"/>
    <row r="990" ht="15.75" customHeight="1" s="88"/>
    <row r="991" ht="15.75" customHeight="1" s="88"/>
    <row r="992" ht="15.75" customHeight="1" s="88"/>
    <row r="993" ht="15.75" customHeight="1" s="88"/>
    <row r="994" ht="15.75" customHeight="1" s="88"/>
    <row r="995" ht="15.75" customHeight="1" s="88"/>
    <row r="996" ht="15.75" customHeight="1" s="88"/>
    <row r="997" ht="15.75" customHeight="1" s="88"/>
    <row r="998" ht="15.75" customHeight="1" s="88"/>
    <row r="999" ht="15.75" customHeight="1" s="88"/>
    <row r="1000" ht="15.75" customHeight="1" s="88"/>
  </sheetData>
  <mergeCells count="6">
    <mergeCell ref="N7:P7"/>
    <mergeCell ref="A1:P1"/>
    <mergeCell ref="A4:P4"/>
    <mergeCell ref="A3:P3"/>
    <mergeCell ref="A7:M7"/>
    <mergeCell ref="A2:P2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124"/>
  <sheetViews>
    <sheetView topLeftCell="A27" workbookViewId="0">
      <selection activeCell="D43" sqref="D43"/>
    </sheetView>
  </sheetViews>
  <sheetFormatPr baseColWidth="8" defaultColWidth="12.59765625" defaultRowHeight="15" customHeight="1"/>
  <cols>
    <col width="5.69921875" customWidth="1" style="88" min="1" max="1"/>
    <col width="14.19921875" customWidth="1" style="88" min="2" max="2"/>
    <col width="35.3984375" customWidth="1" style="88" min="3" max="3"/>
    <col width="15.19921875" customWidth="1" style="88" min="4" max="11"/>
    <col width="14.69921875" customWidth="1" style="88" min="12" max="15"/>
    <col width="15.19921875" customWidth="1" style="88" min="16" max="17"/>
    <col width="9.8984375" customWidth="1" style="88" min="18" max="18"/>
    <col width="8" customWidth="1" style="88" min="19" max="20"/>
    <col width="10.8984375" customWidth="1" style="88" min="21" max="21"/>
    <col width="4.69921875" customWidth="1" style="88" min="22" max="22"/>
    <col width="8" customWidth="1" style="88" min="23" max="24"/>
    <col width="12.69921875" customWidth="1" style="88" min="25" max="25"/>
    <col width="15.5" customWidth="1" style="88" min="26" max="26"/>
    <col width="12.69921875" customWidth="1" style="88" min="27" max="29"/>
  </cols>
  <sheetData>
    <row r="1" ht="19.5" customHeight="1" s="88">
      <c r="A1" s="65">
        <f>'CO-PO Mapping'!A1:R1</f>
        <v/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3" t="n"/>
      <c r="Q1" s="123" t="n"/>
      <c r="R1" s="124" t="n"/>
      <c r="S1" s="44" t="n"/>
      <c r="T1" s="44" t="n"/>
      <c r="U1" s="44" t="n"/>
      <c r="V1" s="44" t="n"/>
      <c r="W1" s="44" t="n"/>
      <c r="X1" s="44" t="n"/>
    </row>
    <row r="2" ht="19.5" customHeight="1" s="88">
      <c r="A2" s="65" t="inlineStr">
        <is>
          <t>MID TERM I EXAM MARK RECORD</t>
        </is>
      </c>
      <c r="B2" s="123" t="n"/>
      <c r="C2" s="123" t="n"/>
      <c r="D2" s="123" t="n"/>
      <c r="E2" s="123" t="n"/>
      <c r="F2" s="123" t="n"/>
      <c r="G2" s="123" t="n"/>
      <c r="H2" s="123" t="n"/>
      <c r="I2" s="123" t="n"/>
      <c r="J2" s="123" t="n"/>
      <c r="K2" s="123" t="n"/>
      <c r="L2" s="123" t="n"/>
      <c r="M2" s="123" t="n"/>
      <c r="N2" s="123" t="n"/>
      <c r="O2" s="123" t="n"/>
      <c r="P2" s="123" t="n"/>
      <c r="Q2" s="123" t="n"/>
      <c r="R2" s="124" t="n"/>
      <c r="S2" s="44" t="n"/>
      <c r="T2" s="44" t="n"/>
      <c r="U2" s="44" t="n"/>
      <c r="V2" s="44" t="n"/>
      <c r="W2" s="44" t="n"/>
      <c r="X2" s="44" t="n"/>
    </row>
    <row r="3" ht="19.5" customHeight="1" s="88">
      <c r="A3" s="65">
        <f>'CO-PO Mapping'!A3:R3</f>
        <v/>
      </c>
      <c r="B3" s="123" t="n"/>
      <c r="C3" s="123" t="n"/>
      <c r="D3" s="123" t="n"/>
      <c r="E3" s="123" t="n"/>
      <c r="F3" s="123" t="n"/>
      <c r="G3" s="123" t="n"/>
      <c r="H3" s="123" t="n"/>
      <c r="I3" s="123" t="n"/>
      <c r="J3" s="123" t="n"/>
      <c r="K3" s="123" t="n"/>
      <c r="L3" s="123" t="n"/>
      <c r="M3" s="123" t="n"/>
      <c r="N3" s="123" t="n"/>
      <c r="O3" s="123" t="n"/>
      <c r="P3" s="123" t="n"/>
      <c r="Q3" s="123" t="n"/>
      <c r="R3" s="124" t="n"/>
      <c r="S3" s="44" t="n"/>
      <c r="T3" s="44" t="n"/>
      <c r="U3" s="44" t="n"/>
      <c r="V3" s="44" t="n"/>
      <c r="W3" s="44" t="n"/>
      <c r="X3" s="44" t="n"/>
    </row>
    <row r="4" ht="19.5" customHeight="1" s="88">
      <c r="A4" s="65" t="inlineStr">
        <is>
          <t>S.NO.</t>
        </is>
      </c>
      <c r="B4" s="133" t="inlineStr">
        <is>
          <t>RollNo</t>
        </is>
      </c>
      <c r="C4" s="65" t="inlineStr">
        <is>
          <t>NAME OF STUDENT</t>
        </is>
      </c>
      <c r="D4" s="65" t="n"/>
      <c r="E4" s="123" t="n"/>
      <c r="F4" s="123" t="n"/>
      <c r="G4" s="123" t="n"/>
      <c r="H4" s="123" t="n"/>
      <c r="I4" s="123" t="n"/>
      <c r="J4" s="123" t="n"/>
      <c r="K4" s="123" t="n"/>
      <c r="L4" s="123" t="n"/>
      <c r="M4" s="123" t="n"/>
      <c r="N4" s="123" t="n"/>
      <c r="O4" s="123" t="n"/>
      <c r="P4" s="123" t="n"/>
      <c r="Q4" s="124" t="n"/>
      <c r="R4" s="65" t="inlineStr">
        <is>
          <t>MT1</t>
        </is>
      </c>
      <c r="S4" s="4" t="n"/>
      <c r="T4" s="4" t="n"/>
      <c r="U4" s="4" t="n"/>
      <c r="V4" s="4" t="n"/>
      <c r="W4" s="4" t="n"/>
      <c r="X4" s="4" t="n"/>
    </row>
    <row r="5" ht="19.5" customHeight="1" s="88">
      <c r="A5" s="134" t="n"/>
      <c r="B5" s="134" t="n"/>
      <c r="C5" s="65" t="inlineStr">
        <is>
          <t>CO MAPPED</t>
        </is>
      </c>
      <c r="D5" s="65" t="inlineStr">
        <is>
          <t>CO1</t>
        </is>
      </c>
      <c r="E5" s="133" t="inlineStr">
        <is>
          <t xml:space="preserve">Target 70% students attain 70% marks (1) </t>
        </is>
      </c>
      <c r="F5" s="133" t="inlineStr">
        <is>
          <t>Target 70% students attain 80% marks (2)</t>
        </is>
      </c>
      <c r="G5" s="133" t="inlineStr">
        <is>
          <t>Target 70% students attain 90% marks (3)</t>
        </is>
      </c>
      <c r="H5" s="65" t="inlineStr">
        <is>
          <t>CO2</t>
        </is>
      </c>
      <c r="I5" s="133" t="inlineStr">
        <is>
          <t xml:space="preserve">Target 70% students attain 70% marks (1) </t>
        </is>
      </c>
      <c r="J5" s="133" t="inlineStr">
        <is>
          <t>Target 70% students attain 80% marks (2)</t>
        </is>
      </c>
      <c r="K5" s="133" t="inlineStr">
        <is>
          <t>Target 70% students attain 90% marks (3)</t>
        </is>
      </c>
      <c r="L5" s="65" t="inlineStr">
        <is>
          <t>CO3</t>
        </is>
      </c>
      <c r="M5" s="111" t="inlineStr">
        <is>
          <t xml:space="preserve">Target 50% students attain 70% marks (1) </t>
        </is>
      </c>
      <c r="N5" s="111" t="inlineStr">
        <is>
          <t>Target 50% students attain 80% marks (2)</t>
        </is>
      </c>
      <c r="O5" s="111" t="inlineStr">
        <is>
          <t>Target 50% students attain 90% marks (3)</t>
        </is>
      </c>
      <c r="P5" s="65" t="inlineStr">
        <is>
          <t>CO4</t>
        </is>
      </c>
      <c r="Q5" s="65" t="inlineStr">
        <is>
          <t>CO5</t>
        </is>
      </c>
      <c r="R5" s="125" t="n"/>
      <c r="S5" s="44" t="n"/>
      <c r="T5" s="44" t="n"/>
      <c r="U5" s="44" t="n"/>
      <c r="V5" s="44" t="n"/>
      <c r="W5" s="44" t="n"/>
      <c r="X5" s="44" t="n"/>
    </row>
    <row r="6" ht="54.75" customHeight="1" s="88">
      <c r="A6" s="125" t="n"/>
      <c r="B6" s="125" t="n"/>
      <c r="C6" s="65" t="inlineStr">
        <is>
          <t>MAX MARKS</t>
        </is>
      </c>
      <c r="D6" s="66" t="n">
        <v>28</v>
      </c>
      <c r="E6" s="125" t="n"/>
      <c r="F6" s="125" t="n"/>
      <c r="G6" s="125" t="n"/>
      <c r="H6" s="66" t="n">
        <v>28</v>
      </c>
      <c r="I6" s="125" t="n"/>
      <c r="J6" s="125" t="n"/>
      <c r="K6" s="125" t="n"/>
      <c r="L6" s="66" t="n">
        <v>14</v>
      </c>
      <c r="M6" s="134" t="n"/>
      <c r="N6" s="134" t="n"/>
      <c r="O6" s="134" t="n"/>
      <c r="P6" s="67" t="n"/>
      <c r="Q6" s="67" t="n"/>
      <c r="R6" s="68" t="n">
        <v>70</v>
      </c>
      <c r="S6" s="44" t="n"/>
      <c r="T6" s="44" t="n"/>
      <c r="U6" s="44" t="n"/>
      <c r="V6" s="44" t="n"/>
      <c r="W6" s="44" t="n"/>
      <c r="X6" s="44" t="n"/>
      <c r="Z6" s="46" t="n"/>
      <c r="AA6" s="46" t="n"/>
      <c r="AB6" s="46" t="n"/>
      <c r="AC6" s="46" t="n"/>
    </row>
    <row r="7" ht="28.2" customHeight="1" s="88">
      <c r="A7" s="69">
        <f>'Sessional + End Term Assessment'!A8</f>
        <v/>
      </c>
      <c r="B7" s="79">
        <f>'Sessional + End Term Assessment'!B8</f>
        <v/>
      </c>
      <c r="C7" s="79">
        <f>'Sessional + End Term Assessment'!C8</f>
        <v/>
      </c>
      <c r="D7" s="78" t="n">
        <v>24</v>
      </c>
      <c r="E7" s="70">
        <f>IF(D7&gt;=($D$6*0.7),1,0)</f>
        <v/>
      </c>
      <c r="F7" s="70">
        <f>IF(D7&gt;=($D$6*0.8),1,0)</f>
        <v/>
      </c>
      <c r="G7" s="70">
        <f>IF(D7&gt;=($D$6*0.9),1,0)</f>
        <v/>
      </c>
      <c r="H7" s="78" t="n">
        <v>24</v>
      </c>
      <c r="I7" s="70">
        <f>IF(H7&gt;=($H$6*0.7),1,0)</f>
        <v/>
      </c>
      <c r="J7" s="70">
        <f>IF(H7&gt;=($H$6*0.7),1,0)</f>
        <v/>
      </c>
      <c r="K7" s="70">
        <f>IF(H7&gt;=($H$6*0.9),1,0)</f>
        <v/>
      </c>
      <c r="L7" s="78" t="n">
        <v>13</v>
      </c>
      <c r="M7" s="70">
        <f>IF(L7&gt;=($L$6*0.7),1,0)</f>
        <v/>
      </c>
      <c r="N7" s="70">
        <f>IF(L7&gt;=($L$6*0.8),1,0)</f>
        <v/>
      </c>
      <c r="O7" s="70">
        <f>IF(L7&gt;=($L$6*0.9),1,0)</f>
        <v/>
      </c>
      <c r="P7" s="70" t="n"/>
      <c r="Q7" s="70" t="n"/>
      <c r="R7" s="78" t="n">
        <v>61</v>
      </c>
      <c r="S7" s="48" t="n"/>
      <c r="T7" s="48" t="n"/>
      <c r="U7" s="48" t="n"/>
      <c r="V7" s="48" t="n"/>
      <c r="W7" s="44" t="n"/>
      <c r="X7" s="44" t="n"/>
      <c r="Y7" s="48" t="n"/>
      <c r="Z7" s="44" t="n"/>
      <c r="AA7" s="46" t="n"/>
      <c r="AB7" s="46" t="n"/>
      <c r="AC7" s="46" t="n"/>
    </row>
    <row r="8" ht="19.5" customHeight="1" s="88">
      <c r="A8" s="69">
        <f>'Sessional + End Term Assessment'!A9</f>
        <v/>
      </c>
      <c r="B8" s="79">
        <f>'Sessional + End Term Assessment'!B9</f>
        <v/>
      </c>
      <c r="C8" s="79">
        <f>'Sessional + End Term Assessment'!C9</f>
        <v/>
      </c>
      <c r="D8" s="78" t="n">
        <v>22</v>
      </c>
      <c r="E8" s="70">
        <f>IF(D8&gt;=($D$6*0.7),1,0)</f>
        <v/>
      </c>
      <c r="F8" s="70">
        <f>IF(D8&gt;=($D$6*0.8),1,0)</f>
        <v/>
      </c>
      <c r="G8" s="70">
        <f>IF(D8&gt;=($D$6*0.9),1,0)</f>
        <v/>
      </c>
      <c r="H8" s="78" t="n">
        <v>25</v>
      </c>
      <c r="I8" s="70">
        <f>IF(H8&gt;=($H$6*0.7),1,0)</f>
        <v/>
      </c>
      <c r="J8" s="70">
        <f>IF(H8&gt;=($H$6*0.7),1,0)</f>
        <v/>
      </c>
      <c r="K8" s="70">
        <f>IF(H8&gt;=($H$6*0.9),1,0)</f>
        <v/>
      </c>
      <c r="L8" s="78" t="n">
        <v>13</v>
      </c>
      <c r="M8" s="70">
        <f>IF(L8&gt;=($L$6*0.7),1,0)</f>
        <v/>
      </c>
      <c r="N8" s="70">
        <f>IF(L8&gt;=($L$6*0.8),1,0)</f>
        <v/>
      </c>
      <c r="O8" s="70">
        <f>IF(L8&gt;=($L$6*0.9),1,0)</f>
        <v/>
      </c>
      <c r="P8" s="70" t="n"/>
      <c r="Q8" s="70" t="n"/>
      <c r="R8" t="n">
        <v>60</v>
      </c>
      <c r="S8" s="48" t="n"/>
      <c r="T8" s="48" t="n"/>
      <c r="U8" s="48" t="n"/>
      <c r="V8" s="48" t="n"/>
      <c r="W8" s="44" t="n"/>
      <c r="X8" s="44" t="n"/>
      <c r="Y8" s="48" t="n"/>
      <c r="Z8" s="46" t="n"/>
      <c r="AA8" s="46" t="n"/>
      <c r="AB8" s="46" t="n"/>
      <c r="AC8" s="46" t="n"/>
    </row>
    <row r="9" ht="19.5" customHeight="1" s="88">
      <c r="A9" s="69">
        <f>'Sessional + End Term Assessment'!A10</f>
        <v/>
      </c>
      <c r="B9" s="79">
        <f>'Sessional + End Term Assessment'!B10</f>
        <v/>
      </c>
      <c r="C9" s="79">
        <f>'Sessional + End Term Assessment'!C10</f>
        <v/>
      </c>
      <c r="D9" s="78" t="n">
        <v>23</v>
      </c>
      <c r="E9" s="70">
        <f>IF(D9&gt;=($D$6*0.7),1,0)</f>
        <v/>
      </c>
      <c r="F9" s="70">
        <f>IF(D9&gt;=($D$6*0.8),1,0)</f>
        <v/>
      </c>
      <c r="G9" s="70">
        <f>IF(D9&gt;=($D$6*0.9),1,0)</f>
        <v/>
      </c>
      <c r="H9" s="78" t="n">
        <v>21</v>
      </c>
      <c r="I9" s="70">
        <f>IF(H9&gt;=($H$6*0.7),1,0)</f>
        <v/>
      </c>
      <c r="J9" s="70">
        <f>IF(H9&gt;=($H$6*0.7),1,0)</f>
        <v/>
      </c>
      <c r="K9" s="70">
        <f>IF(H9&gt;=($H$6*0.9),1,0)</f>
        <v/>
      </c>
      <c r="L9" s="78" t="n">
        <v>13</v>
      </c>
      <c r="M9" s="70">
        <f>IF(L9&gt;=($L$6*0.7),1,0)</f>
        <v/>
      </c>
      <c r="N9" s="70">
        <f>IF(L9&gt;=($L$6*0.8),1,0)</f>
        <v/>
      </c>
      <c r="O9" s="70">
        <f>IF(L9&gt;=($L$6*0.9),1,0)</f>
        <v/>
      </c>
      <c r="P9" s="70" t="n"/>
      <c r="Q9" s="70" t="n"/>
      <c r="R9" s="78" t="n">
        <v>57</v>
      </c>
      <c r="S9" s="48" t="n"/>
      <c r="T9" s="48" t="n"/>
      <c r="U9" s="48" t="n"/>
      <c r="V9" s="48" t="n"/>
      <c r="W9" s="44" t="n"/>
      <c r="X9" s="44" t="n"/>
      <c r="Y9" s="48" t="n"/>
      <c r="Z9" s="46" t="n"/>
      <c r="AA9" s="46" t="n"/>
      <c r="AB9" s="46" t="n"/>
      <c r="AC9" s="46" t="n"/>
    </row>
    <row r="10" ht="19.5" customHeight="1" s="88">
      <c r="A10" s="69">
        <f>'Sessional + End Term Assessment'!A11</f>
        <v/>
      </c>
      <c r="B10" s="79">
        <f>'Sessional + End Term Assessment'!B11</f>
        <v/>
      </c>
      <c r="C10" s="79">
        <f>'Sessional + End Term Assessment'!C11</f>
        <v/>
      </c>
      <c r="D10" s="78" t="n">
        <v>24</v>
      </c>
      <c r="E10" s="70">
        <f>IF(D10&gt;=($D$6*0.7),1,0)</f>
        <v/>
      </c>
      <c r="F10" s="70">
        <f>IF(D10&gt;=($D$6*0.8),1,0)</f>
        <v/>
      </c>
      <c r="G10" s="70">
        <f>IF(D10&gt;=($D$6*0.9),1,0)</f>
        <v/>
      </c>
      <c r="H10" s="78" t="n">
        <v>24</v>
      </c>
      <c r="I10" s="70">
        <f>IF(H10&gt;=($H$6*0.7),1,0)</f>
        <v/>
      </c>
      <c r="J10" s="70">
        <f>IF(H10&gt;=($H$6*0.7),1,0)</f>
        <v/>
      </c>
      <c r="K10" s="70">
        <f>IF(H10&gt;=($H$6*0.9),1,0)</f>
        <v/>
      </c>
      <c r="L10" s="78" t="n">
        <v>13</v>
      </c>
      <c r="M10" s="70">
        <f>IF(L10&gt;=($L$6*0.7),1,0)</f>
        <v/>
      </c>
      <c r="N10" s="70">
        <f>IF(L10&gt;=($L$6*0.8),1,0)</f>
        <v/>
      </c>
      <c r="O10" s="70">
        <f>IF(L10&gt;=($L$6*0.9),1,0)</f>
        <v/>
      </c>
      <c r="P10" s="70" t="n"/>
      <c r="Q10" s="70" t="n"/>
      <c r="R10" s="78" t="n">
        <v>61</v>
      </c>
      <c r="S10" s="48" t="n"/>
      <c r="T10" s="48" t="n"/>
      <c r="U10" s="48" t="n"/>
      <c r="V10" s="48" t="n"/>
      <c r="X10" s="44" t="n"/>
      <c r="Y10" s="48" t="n"/>
      <c r="Z10" s="46" t="n"/>
      <c r="AA10" s="46" t="n"/>
      <c r="AB10" s="46" t="n"/>
      <c r="AC10" s="46" t="n"/>
    </row>
    <row r="11" ht="19.5" customHeight="1" s="88">
      <c r="A11" s="69">
        <f>'Sessional + End Term Assessment'!A12</f>
        <v/>
      </c>
      <c r="B11" s="79">
        <f>'Sessional + End Term Assessment'!B12</f>
        <v/>
      </c>
      <c r="C11" s="79">
        <f>'Sessional + End Term Assessment'!C12</f>
        <v/>
      </c>
      <c r="D11" s="78" t="n">
        <v>24</v>
      </c>
      <c r="E11" s="70">
        <f>IF(D11&gt;=($D$6*0.7),1,0)</f>
        <v/>
      </c>
      <c r="F11" s="70">
        <f>IF(D11&gt;=($D$6*0.8),1,0)</f>
        <v/>
      </c>
      <c r="G11" s="70">
        <f>IF(D11&gt;=($D$6*0.9),1,0)</f>
        <v/>
      </c>
      <c r="H11" s="78" t="n">
        <v>21</v>
      </c>
      <c r="I11" s="70">
        <f>IF(H11&gt;=($H$6*0.7),1,0)</f>
        <v/>
      </c>
      <c r="J11" s="70">
        <f>IF(H11&gt;=($H$6*0.7),1,0)</f>
        <v/>
      </c>
      <c r="K11" s="70">
        <f>IF(H11&gt;=($H$6*0.9),1,0)</f>
        <v/>
      </c>
      <c r="L11" s="78" t="n">
        <v>13</v>
      </c>
      <c r="M11" s="70">
        <f>IF(L11&gt;=($L$6*0.7),1,0)</f>
        <v/>
      </c>
      <c r="N11" s="70">
        <f>IF(L11&gt;=($L$6*0.8),1,0)</f>
        <v/>
      </c>
      <c r="O11" s="70">
        <f>IF(L11&gt;=($L$6*0.9),1,0)</f>
        <v/>
      </c>
      <c r="P11" s="70" t="n"/>
      <c r="Q11" s="70" t="n"/>
      <c r="R11" s="78" t="n">
        <v>58</v>
      </c>
      <c r="S11" s="48" t="n"/>
      <c r="T11" s="48" t="n"/>
      <c r="U11" s="48" t="n"/>
      <c r="V11" s="48" t="n"/>
      <c r="W11" s="44" t="n"/>
      <c r="X11" s="44" t="n"/>
      <c r="Y11" s="48" t="n"/>
      <c r="Z11" s="46" t="n"/>
      <c r="AA11" s="46" t="n"/>
      <c r="AB11" s="46" t="n"/>
      <c r="AC11" s="46" t="n"/>
    </row>
    <row r="12" ht="19.5" customHeight="1" s="88">
      <c r="A12" s="69">
        <f>'Sessional + End Term Assessment'!A13</f>
        <v/>
      </c>
      <c r="B12" s="79">
        <f>'Sessional + End Term Assessment'!B13</f>
        <v/>
      </c>
      <c r="C12" s="79">
        <f>'Sessional + End Term Assessment'!C13</f>
        <v/>
      </c>
      <c r="D12" s="78" t="n">
        <v>25</v>
      </c>
      <c r="E12" s="70">
        <f>IF(D12&gt;=($D$6*0.7),1,0)</f>
        <v/>
      </c>
      <c r="F12" s="70">
        <f>IF(D12&gt;=($D$6*0.8),1,0)</f>
        <v/>
      </c>
      <c r="G12" s="70">
        <f>IF(D12&gt;=($D$6*0.9),1,0)</f>
        <v/>
      </c>
      <c r="H12" s="78" t="n">
        <v>26</v>
      </c>
      <c r="I12" s="70">
        <f>IF(H12&gt;=($H$6*0.7),1,0)</f>
        <v/>
      </c>
      <c r="J12" s="70">
        <f>IF(H12&gt;=($H$6*0.7),1,0)</f>
        <v/>
      </c>
      <c r="K12" s="70">
        <f>IF(H12&gt;=($H$6*0.9),1,0)</f>
        <v/>
      </c>
      <c r="L12" s="78" t="n">
        <v>14</v>
      </c>
      <c r="M12" s="70">
        <f>IF(L12&gt;=($L$6*0.7),1,0)</f>
        <v/>
      </c>
      <c r="N12" s="70">
        <f>IF(L12&gt;=($L$6*0.8),1,0)</f>
        <v/>
      </c>
      <c r="O12" s="70">
        <f>IF(L12&gt;=($L$6*0.9),1,0)</f>
        <v/>
      </c>
      <c r="P12" s="70" t="n"/>
      <c r="Q12" s="70" t="n"/>
      <c r="R12" t="n">
        <v>65</v>
      </c>
      <c r="S12" s="48" t="n"/>
      <c r="T12" s="48" t="n"/>
      <c r="U12" s="48" t="n"/>
      <c r="V12" s="48" t="n"/>
      <c r="W12" s="44" t="n"/>
      <c r="X12" s="44" t="n"/>
      <c r="Y12" s="48" t="n"/>
      <c r="Z12" s="46" t="n"/>
      <c r="AA12" s="46" t="n"/>
      <c r="AB12" s="46" t="n"/>
      <c r="AC12" s="46" t="n"/>
    </row>
    <row r="13" ht="19.5" customHeight="1" s="88">
      <c r="A13" s="69">
        <f>'Sessional + End Term Assessment'!A14</f>
        <v/>
      </c>
      <c r="B13" s="79">
        <f>'Sessional + End Term Assessment'!B14</f>
        <v/>
      </c>
      <c r="C13" s="79">
        <f>'Sessional + End Term Assessment'!C14</f>
        <v/>
      </c>
      <c r="D13" s="78" t="n">
        <v>24</v>
      </c>
      <c r="E13" s="70">
        <f>IF(D13&gt;=($D$6*0.7),1,0)</f>
        <v/>
      </c>
      <c r="F13" s="70">
        <f>IF(D13&gt;=($D$6*0.8),1,0)</f>
        <v/>
      </c>
      <c r="G13" s="70">
        <f>IF(D13&gt;=($D$6*0.9),1,0)</f>
        <v/>
      </c>
      <c r="H13" s="78" t="n">
        <v>27</v>
      </c>
      <c r="I13" s="70">
        <f>IF(H13&gt;=($H$6*0.7),1,0)</f>
        <v/>
      </c>
      <c r="J13" s="70">
        <f>IF(H13&gt;=($H$6*0.7),1,0)</f>
        <v/>
      </c>
      <c r="K13" s="70">
        <f>IF(H13&gt;=($H$6*0.9),1,0)</f>
        <v/>
      </c>
      <c r="L13" s="78" t="n">
        <v>14</v>
      </c>
      <c r="M13" s="70">
        <f>IF(L13&gt;=($L$6*0.7),1,0)</f>
        <v/>
      </c>
      <c r="N13" s="70">
        <f>IF(L13&gt;=($L$6*0.8),1,0)</f>
        <v/>
      </c>
      <c r="O13" s="70">
        <f>IF(L13&gt;=($L$6*0.9),1,0)</f>
        <v/>
      </c>
      <c r="P13" s="70" t="n"/>
      <c r="Q13" s="70" t="n"/>
      <c r="R13" s="78" t="n">
        <v>65</v>
      </c>
      <c r="S13" s="48" t="n"/>
      <c r="T13" s="48" t="n"/>
      <c r="U13" s="48" t="n"/>
      <c r="V13" s="48" t="n"/>
      <c r="W13" s="44" t="n"/>
      <c r="X13" s="44" t="n"/>
      <c r="Y13" s="48" t="n"/>
      <c r="Z13" s="46" t="n"/>
      <c r="AA13" s="46" t="n"/>
      <c r="AB13" s="46" t="n"/>
      <c r="AC13" s="46" t="n"/>
    </row>
    <row r="14" ht="19.5" customHeight="1" s="88">
      <c r="A14" s="69">
        <f>'Sessional + End Term Assessment'!A15</f>
        <v/>
      </c>
      <c r="B14" s="79">
        <f>'Sessional + End Term Assessment'!B15</f>
        <v/>
      </c>
      <c r="C14" s="79">
        <f>'Sessional + End Term Assessment'!C15</f>
        <v/>
      </c>
      <c r="D14" s="78" t="n">
        <v>28</v>
      </c>
      <c r="E14" s="70">
        <f>IF(D14&gt;=($D$6*0.7),1,0)</f>
        <v/>
      </c>
      <c r="F14" s="70">
        <f>IF(D14&gt;=($D$6*0.8),1,0)</f>
        <v/>
      </c>
      <c r="G14" s="70">
        <f>IF(D14&gt;=($D$6*0.9),1,0)</f>
        <v/>
      </c>
      <c r="H14" s="78" t="n">
        <v>28</v>
      </c>
      <c r="I14" s="70">
        <f>IF(H14&gt;=($H$6*0.7),1,0)</f>
        <v/>
      </c>
      <c r="J14" s="70">
        <f>IF(H14&gt;=($H$6*0.7),1,0)</f>
        <v/>
      </c>
      <c r="K14" s="70">
        <f>IF(H14&gt;=($H$6*0.9),1,0)</f>
        <v/>
      </c>
      <c r="L14" s="78" t="n">
        <v>14</v>
      </c>
      <c r="M14" s="70">
        <f>IF(L14&gt;=($L$6*0.7),1,0)</f>
        <v/>
      </c>
      <c r="N14" s="70">
        <f>IF(L14&gt;=($L$6*0.8),1,0)</f>
        <v/>
      </c>
      <c r="O14" s="70">
        <f>IF(L14&gt;=($L$6*0.9),1,0)</f>
        <v/>
      </c>
      <c r="P14" s="70" t="n"/>
      <c r="Q14" s="70" t="n"/>
      <c r="R14" s="78" t="n">
        <v>70</v>
      </c>
      <c r="S14" s="48" t="n"/>
      <c r="T14" s="48" t="n"/>
      <c r="U14" s="48" t="n"/>
      <c r="V14" s="48" t="n"/>
      <c r="W14" s="44" t="n"/>
      <c r="X14" s="44" t="n"/>
      <c r="Y14" s="48" t="n"/>
      <c r="Z14" s="46" t="n"/>
      <c r="AA14" s="46" t="n"/>
      <c r="AB14" s="46" t="n"/>
      <c r="AC14" s="46" t="n"/>
    </row>
    <row r="15" ht="19.5" customHeight="1" s="88">
      <c r="A15" s="69">
        <f>'Sessional + End Term Assessment'!A16</f>
        <v/>
      </c>
      <c r="B15" s="79">
        <f>'Sessional + End Term Assessment'!B16</f>
        <v/>
      </c>
      <c r="C15" s="79">
        <f>'Sessional + End Term Assessment'!C16</f>
        <v/>
      </c>
      <c r="D15" s="78" t="n">
        <v>26</v>
      </c>
      <c r="E15" s="70">
        <f>IF(D15&gt;=($D$6*0.7),1,0)</f>
        <v/>
      </c>
      <c r="F15" s="70">
        <f>IF(D15&gt;=($D$6*0.8),1,0)</f>
        <v/>
      </c>
      <c r="G15" s="70">
        <f>IF(D15&gt;=($D$6*0.9),1,0)</f>
        <v/>
      </c>
      <c r="H15" s="78" t="n">
        <v>26</v>
      </c>
      <c r="I15" s="70">
        <f>IF(H15&gt;=($H$6*0.7),1,0)</f>
        <v/>
      </c>
      <c r="J15" s="70">
        <f>IF(H15&gt;=($H$6*0.7),1,0)</f>
        <v/>
      </c>
      <c r="K15" s="70">
        <f>IF(H15&gt;=($H$6*0.9),1,0)</f>
        <v/>
      </c>
      <c r="L15" s="78" t="n">
        <v>14</v>
      </c>
      <c r="M15" s="70">
        <f>IF(L15&gt;=($L$6*0.7),1,0)</f>
        <v/>
      </c>
      <c r="N15" s="70">
        <f>IF(L15&gt;=($L$6*0.8),1,0)</f>
        <v/>
      </c>
      <c r="O15" s="70">
        <f>IF(L15&gt;=($L$6*0.9),1,0)</f>
        <v/>
      </c>
      <c r="P15" s="70" t="n"/>
      <c r="Q15" s="70" t="n"/>
      <c r="R15" t="n">
        <v>66</v>
      </c>
      <c r="S15" s="48" t="n"/>
      <c r="T15" s="48" t="n"/>
      <c r="U15" s="48" t="n"/>
      <c r="V15" s="48" t="n"/>
      <c r="W15" s="44" t="n"/>
      <c r="X15" s="44" t="n"/>
      <c r="Y15" s="48" t="n"/>
      <c r="Z15" s="46" t="n"/>
      <c r="AA15" s="46" t="n"/>
      <c r="AB15" s="46" t="n"/>
      <c r="AC15" s="46" t="n"/>
    </row>
    <row r="16" ht="19.5" customHeight="1" s="88">
      <c r="A16" s="69">
        <f>'Sessional + End Term Assessment'!A17</f>
        <v/>
      </c>
      <c r="B16" s="79">
        <f>'Sessional + End Term Assessment'!B17</f>
        <v/>
      </c>
      <c r="C16" s="79">
        <f>'Sessional + End Term Assessment'!C17</f>
        <v/>
      </c>
      <c r="D16" s="78" t="n">
        <v>25</v>
      </c>
      <c r="E16" s="70">
        <f>IF(D16&gt;=($D$6*0.7),1,0)</f>
        <v/>
      </c>
      <c r="F16" s="70">
        <f>IF(D16&gt;=($D$6*0.8),1,0)</f>
        <v/>
      </c>
      <c r="G16" s="70">
        <f>IF(D16&gt;=($D$6*0.9),1,0)</f>
        <v/>
      </c>
      <c r="H16" s="78" t="n">
        <v>25</v>
      </c>
      <c r="I16" s="70">
        <f>IF(H16&gt;=($H$6*0.7),1,0)</f>
        <v/>
      </c>
      <c r="J16" s="70">
        <f>IF(H16&gt;=($H$6*0.7),1,0)</f>
        <v/>
      </c>
      <c r="K16" s="70">
        <f>IF(H16&gt;=($H$6*0.9),1,0)</f>
        <v/>
      </c>
      <c r="L16" s="78" t="n">
        <v>13</v>
      </c>
      <c r="M16" s="70">
        <f>IF(L16&gt;=($L$6*0.7),1,0)</f>
        <v/>
      </c>
      <c r="N16" s="70">
        <f>IF(L16&gt;=($L$6*0.8),1,0)</f>
        <v/>
      </c>
      <c r="O16" s="70">
        <f>IF(L16&gt;=($L$6*0.9),1,0)</f>
        <v/>
      </c>
      <c r="P16" s="70" t="n"/>
      <c r="Q16" s="70" t="n"/>
      <c r="R16" s="78" t="n">
        <v>63</v>
      </c>
      <c r="S16" s="48" t="n"/>
      <c r="T16" s="48" t="n"/>
      <c r="U16" s="48" t="n"/>
      <c r="V16" s="48" t="n"/>
      <c r="W16" s="44" t="n"/>
      <c r="X16" s="44" t="n"/>
      <c r="Y16" s="48" t="n"/>
      <c r="Z16" s="46" t="n"/>
      <c r="AA16" s="46" t="n"/>
      <c r="AB16" s="46" t="n"/>
      <c r="AC16" s="46" t="n"/>
    </row>
    <row r="17" ht="19.5" customHeight="1" s="88">
      <c r="A17" s="69">
        <f>'Sessional + End Term Assessment'!A18</f>
        <v/>
      </c>
      <c r="B17" s="79">
        <f>'Sessional + End Term Assessment'!B18</f>
        <v/>
      </c>
      <c r="C17" s="79">
        <f>'Sessional + End Term Assessment'!C18</f>
        <v/>
      </c>
      <c r="D17" t="n">
        <v>28</v>
      </c>
      <c r="E17" s="70">
        <f>IF(D17&gt;=($D$6*0.7),1,0)</f>
        <v/>
      </c>
      <c r="F17" s="70">
        <f>IF(D17&gt;=($D$6*0.8),1,0)</f>
        <v/>
      </c>
      <c r="G17" s="70">
        <f>IF(D17&gt;=($D$6*0.9),1,0)</f>
        <v/>
      </c>
      <c r="H17" t="n">
        <v>28</v>
      </c>
      <c r="I17" s="70">
        <f>IF(H17&gt;=($H$6*0.7),1,0)</f>
        <v/>
      </c>
      <c r="J17" s="70">
        <f>IF(H17&gt;=($H$6*0.7),1,0)</f>
        <v/>
      </c>
      <c r="K17" s="70">
        <f>IF(H17&gt;=($H$6*0.9),1,0)</f>
        <v/>
      </c>
      <c r="L17" t="n">
        <v>14</v>
      </c>
      <c r="M17" s="70">
        <f>IF(L17&gt;=($L$6*0.7),1,0)</f>
        <v/>
      </c>
      <c r="N17" s="70">
        <f>IF(L17&gt;=($L$6*0.8),1,0)</f>
        <v/>
      </c>
      <c r="O17" s="70">
        <f>IF(L17&gt;=($L$6*0.9),1,0)</f>
        <v/>
      </c>
      <c r="P17" s="70" t="n"/>
      <c r="Q17" s="70" t="n"/>
      <c r="R17" t="n">
        <v>70</v>
      </c>
      <c r="S17" s="48" t="n"/>
      <c r="T17" s="48" t="n"/>
      <c r="U17" s="48" t="n"/>
      <c r="V17" s="48" t="n"/>
      <c r="W17" s="44" t="n"/>
      <c r="X17" s="44" t="n"/>
      <c r="Y17" s="48" t="n"/>
      <c r="Z17" s="46" t="n"/>
      <c r="AA17" s="46" t="n"/>
      <c r="AB17" s="46" t="n"/>
      <c r="AC17" s="46" t="n"/>
    </row>
    <row r="18" ht="19.5" customHeight="1" s="88">
      <c r="A18" s="69">
        <f>'Sessional + End Term Assessment'!A19</f>
        <v/>
      </c>
      <c r="B18" s="79">
        <f>'Sessional + End Term Assessment'!B19</f>
        <v/>
      </c>
      <c r="C18" s="79">
        <f>'Sessional + End Term Assessment'!C19</f>
        <v/>
      </c>
      <c r="D18" s="78" t="n">
        <v>24</v>
      </c>
      <c r="E18" s="70">
        <f>IF(D18&gt;=($D$6*0.7),1,0)</f>
        <v/>
      </c>
      <c r="F18" s="70">
        <f>IF(D18&gt;=($D$6*0.8),1,0)</f>
        <v/>
      </c>
      <c r="G18" s="70">
        <f>IF(D18&gt;=($D$6*0.9),1,0)</f>
        <v/>
      </c>
      <c r="H18" s="78" t="n">
        <v>26</v>
      </c>
      <c r="I18" s="70">
        <f>IF(H18&gt;=($H$6*0.7),1,0)</f>
        <v/>
      </c>
      <c r="J18" s="70">
        <f>IF(H18&gt;=($H$6*0.7),1,0)</f>
        <v/>
      </c>
      <c r="K18" s="70">
        <f>IF(H18&gt;=($H$6*0.9),1,0)</f>
        <v/>
      </c>
      <c r="L18" s="78" t="n">
        <v>13</v>
      </c>
      <c r="M18" s="70">
        <f>IF(L18&gt;=($L$6*0.7),1,0)</f>
        <v/>
      </c>
      <c r="N18" s="70">
        <f>IF(L18&gt;=($L$6*0.8),1,0)</f>
        <v/>
      </c>
      <c r="O18" s="70">
        <f>IF(L18&gt;=($L$6*0.9),1,0)</f>
        <v/>
      </c>
      <c r="P18" s="70" t="n"/>
      <c r="Q18" s="70" t="n"/>
      <c r="R18" t="n">
        <v>63</v>
      </c>
      <c r="S18" s="48" t="n"/>
      <c r="T18" s="48" t="n"/>
      <c r="U18" s="48" t="n"/>
      <c r="V18" s="48" t="n"/>
      <c r="W18" s="44" t="n"/>
      <c r="X18" s="44" t="n"/>
      <c r="Y18" s="48" t="n"/>
      <c r="Z18" s="46" t="n"/>
      <c r="AA18" s="46" t="n"/>
      <c r="AB18" s="46" t="n"/>
      <c r="AC18" s="46" t="n"/>
    </row>
    <row r="19" ht="19.5" customHeight="1" s="88">
      <c r="A19" s="69">
        <f>'Sessional + End Term Assessment'!A20</f>
        <v/>
      </c>
      <c r="B19" s="79">
        <f>'Sessional + End Term Assessment'!B20</f>
        <v/>
      </c>
      <c r="C19" s="79">
        <f>'Sessional + End Term Assessment'!C20</f>
        <v/>
      </c>
      <c r="D19" t="n">
        <v>26</v>
      </c>
      <c r="E19" s="70">
        <f>IF(D19&gt;=($D$6*0.7),1,0)</f>
        <v/>
      </c>
      <c r="F19" s="70">
        <f>IF(D19&gt;=($D$6*0.8),1,0)</f>
        <v/>
      </c>
      <c r="G19" s="70">
        <f>IF(D19&gt;=($D$6*0.9),1,0)</f>
        <v/>
      </c>
      <c r="H19" t="n">
        <v>24</v>
      </c>
      <c r="I19" s="70">
        <f>IF(H19&gt;=($H$6*0.7),1,0)</f>
        <v/>
      </c>
      <c r="J19" s="70">
        <f>IF(H19&gt;=($H$6*0.7),1,0)</f>
        <v/>
      </c>
      <c r="K19" s="70">
        <f>IF(H19&gt;=($H$6*0.9),1,0)</f>
        <v/>
      </c>
      <c r="L19" t="n">
        <v>13</v>
      </c>
      <c r="M19" s="70">
        <f>IF(L19&gt;=($L$6*0.7),1,0)</f>
        <v/>
      </c>
      <c r="N19" s="70">
        <f>IF(L19&gt;=($L$6*0.8),1,0)</f>
        <v/>
      </c>
      <c r="O19" s="70">
        <f>IF(L19&gt;=($L$6*0.9),1,0)</f>
        <v/>
      </c>
      <c r="P19" s="70" t="n"/>
      <c r="Q19" s="70" t="n"/>
      <c r="R19" t="n">
        <v>63</v>
      </c>
      <c r="S19" s="48" t="n"/>
      <c r="T19" s="48" t="n"/>
      <c r="U19" s="48" t="n"/>
      <c r="V19" s="48" t="n"/>
      <c r="W19" s="44" t="n"/>
      <c r="X19" s="44" t="n"/>
      <c r="Y19" s="48" t="n"/>
      <c r="Z19" s="46" t="n"/>
      <c r="AA19" s="46" t="n"/>
      <c r="AB19" s="46" t="n"/>
      <c r="AC19" s="46" t="n"/>
    </row>
    <row r="20" ht="19.5" customHeight="1" s="88">
      <c r="A20" s="69">
        <f>'Sessional + End Term Assessment'!A21</f>
        <v/>
      </c>
      <c r="B20" s="79">
        <f>'Sessional + End Term Assessment'!B21</f>
        <v/>
      </c>
      <c r="C20" s="79">
        <f>'Sessional + End Term Assessment'!C21</f>
        <v/>
      </c>
      <c r="D20" s="78" t="n">
        <v>22</v>
      </c>
      <c r="E20" s="70">
        <f>IF(D20&gt;=($D$6*0.7),1,0)</f>
        <v/>
      </c>
      <c r="F20" s="70">
        <f>IF(D20&gt;=($D$6*0.8),1,0)</f>
        <v/>
      </c>
      <c r="G20" s="70">
        <f>IF(D20&gt;=($D$6*0.9),1,0)</f>
        <v/>
      </c>
      <c r="H20" s="78" t="n">
        <v>22</v>
      </c>
      <c r="I20" s="70">
        <f>IF(H20&gt;=($H$6*0.7),1,0)</f>
        <v/>
      </c>
      <c r="J20" s="70">
        <f>IF(H20&gt;=($H$6*0.7),1,0)</f>
        <v/>
      </c>
      <c r="K20" s="70">
        <f>IF(H20&gt;=($H$6*0.9),1,0)</f>
        <v/>
      </c>
      <c r="L20" s="78" t="n">
        <v>13</v>
      </c>
      <c r="M20" s="70">
        <f>IF(L20&gt;=($L$6*0.7),1,0)</f>
        <v/>
      </c>
      <c r="N20" s="70">
        <f>IF(L20&gt;=($L$6*0.8),1,0)</f>
        <v/>
      </c>
      <c r="O20" s="70">
        <f>IF(L20&gt;=($L$6*0.9),1,0)</f>
        <v/>
      </c>
      <c r="P20" s="70" t="n"/>
      <c r="Q20" s="70" t="n"/>
      <c r="R20" s="78" t="n">
        <v>57</v>
      </c>
      <c r="S20" s="48" t="n"/>
      <c r="T20" s="48" t="n"/>
      <c r="U20" s="48" t="n"/>
      <c r="V20" s="48" t="n"/>
      <c r="W20" s="44" t="n"/>
      <c r="X20" s="44" t="n"/>
      <c r="Y20" s="48" t="n"/>
      <c r="Z20" s="46" t="n"/>
      <c r="AA20" s="46" t="n"/>
      <c r="AB20" s="46" t="n"/>
      <c r="AC20" s="46" t="n"/>
    </row>
    <row r="21" ht="19.5" customHeight="1" s="88">
      <c r="A21" s="69">
        <f>'Sessional + End Term Assessment'!A22</f>
        <v/>
      </c>
      <c r="B21" s="79">
        <f>'Sessional + End Term Assessment'!B22</f>
        <v/>
      </c>
      <c r="C21" s="79">
        <f>'Sessional + End Term Assessment'!C22</f>
        <v/>
      </c>
      <c r="D21" s="78" t="n">
        <v>26</v>
      </c>
      <c r="E21" s="70">
        <f>IF(D21&gt;=($D$6*0.7),1,0)</f>
        <v/>
      </c>
      <c r="F21" s="70">
        <f>IF(D21&gt;=($D$6*0.8),1,0)</f>
        <v/>
      </c>
      <c r="G21" s="70">
        <f>IF(D21&gt;=($D$6*0.9),1,0)</f>
        <v/>
      </c>
      <c r="H21" s="78" t="n">
        <v>26</v>
      </c>
      <c r="I21" s="70">
        <f>IF(H21&gt;=($H$6*0.7),1,0)</f>
        <v/>
      </c>
      <c r="J21" s="70">
        <f>IF(H21&gt;=($H$6*0.7),1,0)</f>
        <v/>
      </c>
      <c r="K21" s="70">
        <f>IF(H21&gt;=($H$6*0.9),1,0)</f>
        <v/>
      </c>
      <c r="L21" s="78" t="n">
        <v>14</v>
      </c>
      <c r="M21" s="70">
        <f>IF(L21&gt;=($L$6*0.7),1,0)</f>
        <v/>
      </c>
      <c r="N21" s="70">
        <f>IF(L21&gt;=($L$6*0.8),1,0)</f>
        <v/>
      </c>
      <c r="O21" s="70">
        <f>IF(L21&gt;=($L$6*0.9),1,0)</f>
        <v/>
      </c>
      <c r="P21" s="70" t="n"/>
      <c r="Q21" s="70" t="n"/>
      <c r="R21" s="78" t="n">
        <v>66</v>
      </c>
      <c r="S21" s="48" t="n"/>
      <c r="T21" s="48" t="n"/>
      <c r="U21" s="48" t="n"/>
      <c r="V21" s="48" t="n"/>
      <c r="W21" s="44" t="n"/>
      <c r="X21" s="44" t="n"/>
      <c r="Y21" s="48" t="n"/>
      <c r="Z21" s="46" t="n"/>
      <c r="AA21" s="46" t="n"/>
      <c r="AB21" s="46" t="n"/>
      <c r="AC21" s="46" t="n"/>
    </row>
    <row r="22" ht="19.5" customHeight="1" s="88">
      <c r="A22" s="69">
        <f>'Sessional + End Term Assessment'!A23</f>
        <v/>
      </c>
      <c r="B22" s="79">
        <f>'Sessional + End Term Assessment'!B23</f>
        <v/>
      </c>
      <c r="C22" s="79">
        <f>'Sessional + End Term Assessment'!C23</f>
        <v/>
      </c>
      <c r="D22" s="78" t="n">
        <v>28</v>
      </c>
      <c r="E22" s="70">
        <f>IF(D22&gt;=($D$6*0.7),1,0)</f>
        <v/>
      </c>
      <c r="F22" s="70">
        <f>IF(D22&gt;=($D$6*0.8),1,0)</f>
        <v/>
      </c>
      <c r="G22" s="70">
        <f>IF(D22&gt;=($D$6*0.9),1,0)</f>
        <v/>
      </c>
      <c r="H22" s="78" t="n">
        <v>28</v>
      </c>
      <c r="I22" s="70">
        <f>IF(H22&gt;=($H$6*0.7),1,0)</f>
        <v/>
      </c>
      <c r="J22" s="70">
        <f>IF(H22&gt;=($H$6*0.7),1,0)</f>
        <v/>
      </c>
      <c r="K22" s="70">
        <f>IF(H22&gt;=($H$6*0.9),1,0)</f>
        <v/>
      </c>
      <c r="L22" s="78" t="n">
        <v>14</v>
      </c>
      <c r="M22" s="70">
        <f>IF(L22&gt;=($L$6*0.7),1,0)</f>
        <v/>
      </c>
      <c r="N22" s="70">
        <f>IF(L22&gt;=($L$6*0.8),1,0)</f>
        <v/>
      </c>
      <c r="O22" s="70">
        <f>IF(L22&gt;=($L$6*0.9),1,0)</f>
        <v/>
      </c>
      <c r="P22" s="70" t="n"/>
      <c r="Q22" s="70" t="n"/>
      <c r="R22" t="n">
        <v>70</v>
      </c>
      <c r="S22" s="48" t="n"/>
      <c r="T22" s="48" t="n"/>
      <c r="U22" s="48" t="n"/>
      <c r="V22" s="48" t="n"/>
      <c r="W22" s="44" t="n"/>
      <c r="X22" s="44" t="n"/>
      <c r="Y22" s="48" t="n"/>
      <c r="Z22" s="46" t="n"/>
      <c r="AA22" s="46" t="n"/>
      <c r="AB22" s="46" t="n"/>
      <c r="AC22" s="46" t="n"/>
    </row>
    <row r="23" ht="19.5" customHeight="1" s="88">
      <c r="A23" s="69">
        <f>'Sessional + End Term Assessment'!A24</f>
        <v/>
      </c>
      <c r="B23" s="79">
        <f>'Sessional + End Term Assessment'!B24</f>
        <v/>
      </c>
      <c r="C23" s="79">
        <f>'Sessional + End Term Assessment'!C24</f>
        <v/>
      </c>
      <c r="D23" s="78" t="n">
        <v>25</v>
      </c>
      <c r="E23" s="70">
        <f>IF(D23&gt;=($D$6*0.7),1,0)</f>
        <v/>
      </c>
      <c r="F23" s="70">
        <f>IF(D23&gt;=($D$6*0.8),1,0)</f>
        <v/>
      </c>
      <c r="G23" s="70">
        <f>IF(D23&gt;=($D$6*0.9),1,0)</f>
        <v/>
      </c>
      <c r="H23" s="78" t="n">
        <v>28</v>
      </c>
      <c r="I23" s="70">
        <f>IF(H23&gt;=($H$6*0.7),1,0)</f>
        <v/>
      </c>
      <c r="J23" s="70">
        <f>IF(H23&gt;=($H$6*0.7),1,0)</f>
        <v/>
      </c>
      <c r="K23" s="70">
        <f>IF(H23&gt;=($H$6*0.9),1,0)</f>
        <v/>
      </c>
      <c r="L23" s="78" t="n">
        <v>14</v>
      </c>
      <c r="M23" s="70">
        <f>IF(L23&gt;=($L$6*0.7),1,0)</f>
        <v/>
      </c>
      <c r="N23" s="70">
        <f>IF(L23&gt;=($L$6*0.8),1,0)</f>
        <v/>
      </c>
      <c r="O23" s="70">
        <f>IF(L23&gt;=($L$6*0.9),1,0)</f>
        <v/>
      </c>
      <c r="P23" s="70" t="n"/>
      <c r="Q23" s="70" t="n"/>
      <c r="R23" s="78" t="n">
        <v>67</v>
      </c>
      <c r="S23" s="48" t="n"/>
      <c r="T23" s="48" t="n"/>
      <c r="U23" s="48" t="n"/>
      <c r="V23" s="48" t="n"/>
      <c r="W23" s="44" t="n"/>
      <c r="X23" s="44" t="n"/>
      <c r="Y23" s="48" t="n"/>
      <c r="Z23" s="46" t="n"/>
      <c r="AA23" s="46" t="n"/>
      <c r="AB23" s="46" t="n"/>
      <c r="AC23" s="46" t="n"/>
    </row>
    <row r="24" ht="19.5" customHeight="1" s="88">
      <c r="A24" s="69">
        <f>'Sessional + End Term Assessment'!A25</f>
        <v/>
      </c>
      <c r="B24" s="79">
        <f>'Sessional + End Term Assessment'!B25</f>
        <v/>
      </c>
      <c r="C24" s="79">
        <f>'Sessional + End Term Assessment'!C25</f>
        <v/>
      </c>
      <c r="D24" s="78" t="n">
        <v>28</v>
      </c>
      <c r="E24" s="70">
        <f>IF(D24&gt;=($D$6*0.7),1,0)</f>
        <v/>
      </c>
      <c r="F24" s="70">
        <f>IF(D24&gt;=($D$6*0.8),1,0)</f>
        <v/>
      </c>
      <c r="G24" s="70">
        <f>IF(D24&gt;=($D$6*0.9),1,0)</f>
        <v/>
      </c>
      <c r="H24" s="78" t="n">
        <v>26</v>
      </c>
      <c r="I24" s="70">
        <f>IF(H24&gt;=($H$6*0.7),1,0)</f>
        <v/>
      </c>
      <c r="J24" s="70">
        <f>IF(H24&gt;=($H$6*0.7),1,0)</f>
        <v/>
      </c>
      <c r="K24" s="70">
        <f>IF(H24&gt;=($H$6*0.9),1,0)</f>
        <v/>
      </c>
      <c r="L24" s="78" t="n">
        <v>14</v>
      </c>
      <c r="M24" s="70">
        <f>IF(L24&gt;=($L$6*0.7),1,0)</f>
        <v/>
      </c>
      <c r="N24" s="70">
        <f>IF(L24&gt;=($L$6*0.8),1,0)</f>
        <v/>
      </c>
      <c r="O24" s="70">
        <f>IF(L24&gt;=($L$6*0.9),1,0)</f>
        <v/>
      </c>
      <c r="P24" s="70" t="n"/>
      <c r="Q24" s="70" t="n"/>
      <c r="R24" s="78" t="n">
        <v>68</v>
      </c>
      <c r="S24" s="48" t="n"/>
      <c r="T24" s="48" t="n"/>
      <c r="U24" s="48" t="n"/>
      <c r="V24" s="48" t="n"/>
      <c r="W24" s="44" t="n"/>
      <c r="X24" s="44" t="n"/>
      <c r="Y24" s="48" t="n"/>
      <c r="Z24" s="46" t="n"/>
      <c r="AA24" s="46" t="n"/>
      <c r="AB24" s="46" t="n"/>
      <c r="AC24" s="46" t="n"/>
    </row>
    <row r="25" ht="19.5" customHeight="1" s="88">
      <c r="A25" s="69">
        <f>'Sessional + End Term Assessment'!A26</f>
        <v/>
      </c>
      <c r="B25" s="79">
        <f>'Sessional + End Term Assessment'!B26</f>
        <v/>
      </c>
      <c r="C25" s="79">
        <f>'Sessional + End Term Assessment'!C26</f>
        <v/>
      </c>
      <c r="D25" s="78" t="n">
        <v>27</v>
      </c>
      <c r="E25" s="70">
        <f>IF(D25&gt;=($D$6*0.7),1,0)</f>
        <v/>
      </c>
      <c r="F25" s="70">
        <f>IF(D25&gt;=($D$6*0.8),1,0)</f>
        <v/>
      </c>
      <c r="G25" s="70">
        <f>IF(D25&gt;=($D$6*0.9),1,0)</f>
        <v/>
      </c>
      <c r="H25" s="78" t="n">
        <v>27</v>
      </c>
      <c r="I25" s="70">
        <f>IF(H25&gt;=($H$6*0.7),1,0)</f>
        <v/>
      </c>
      <c r="J25" s="70">
        <f>IF(H25&gt;=($H$6*0.7),1,0)</f>
        <v/>
      </c>
      <c r="K25" s="70">
        <f>IF(H25&gt;=($H$6*0.9),1,0)</f>
        <v/>
      </c>
      <c r="L25" s="78" t="n">
        <v>14</v>
      </c>
      <c r="M25" s="70">
        <f>IF(L25&gt;=($L$6*0.7),1,0)</f>
        <v/>
      </c>
      <c r="N25" s="70">
        <f>IF(L25&gt;=($L$6*0.8),1,0)</f>
        <v/>
      </c>
      <c r="O25" s="70">
        <f>IF(L25&gt;=($L$6*0.9),1,0)</f>
        <v/>
      </c>
      <c r="P25" s="70" t="n"/>
      <c r="Q25" s="70" t="n"/>
      <c r="R25" s="78" t="n">
        <v>68</v>
      </c>
      <c r="S25" s="48" t="n"/>
      <c r="T25" s="48" t="n"/>
      <c r="U25" s="48" t="n"/>
      <c r="V25" s="48" t="n"/>
      <c r="W25" s="44" t="n"/>
      <c r="X25" s="44" t="n"/>
      <c r="Y25" s="48" t="n"/>
      <c r="Z25" s="46" t="n"/>
      <c r="AA25" s="46" t="n"/>
      <c r="AB25" s="46" t="n"/>
      <c r="AC25" s="46" t="n"/>
    </row>
    <row r="26" ht="19.5" customHeight="1" s="88">
      <c r="A26" s="69">
        <f>'Sessional + End Term Assessment'!A27</f>
        <v/>
      </c>
      <c r="B26" s="79">
        <f>'Sessional + End Term Assessment'!B27</f>
        <v/>
      </c>
      <c r="C26" s="79">
        <f>'Sessional + End Term Assessment'!C27</f>
        <v/>
      </c>
      <c r="D26" s="78" t="n">
        <v>28</v>
      </c>
      <c r="E26" s="70">
        <f>IF(D26&gt;=($D$6*0.7),1,0)</f>
        <v/>
      </c>
      <c r="F26" s="70">
        <f>IF(D26&gt;=($D$6*0.8),1,0)</f>
        <v/>
      </c>
      <c r="G26" s="70">
        <f>IF(D26&gt;=($D$6*0.9),1,0)</f>
        <v/>
      </c>
      <c r="H26" s="78" t="n">
        <v>28</v>
      </c>
      <c r="I26" s="70">
        <f>IF(H26&gt;=($H$6*0.7),1,0)</f>
        <v/>
      </c>
      <c r="J26" s="70">
        <f>IF(H26&gt;=($H$6*0.7),1,0)</f>
        <v/>
      </c>
      <c r="K26" s="70">
        <f>IF(H26&gt;=($H$6*0.9),1,0)</f>
        <v/>
      </c>
      <c r="L26" s="78" t="n">
        <v>14</v>
      </c>
      <c r="M26" s="70">
        <f>IF(L26&gt;=($L$6*0.7),1,0)</f>
        <v/>
      </c>
      <c r="N26" s="70">
        <f>IF(L26&gt;=($L$6*0.8),1,0)</f>
        <v/>
      </c>
      <c r="O26" s="70">
        <f>IF(L26&gt;=($L$6*0.9),1,0)</f>
        <v/>
      </c>
      <c r="P26" s="70" t="n"/>
      <c r="Q26" s="70" t="n"/>
      <c r="R26" s="78" t="n">
        <v>70</v>
      </c>
      <c r="S26" s="48" t="n"/>
      <c r="T26" s="48" t="n"/>
      <c r="U26" s="48" t="n"/>
      <c r="V26" s="48" t="n"/>
      <c r="W26" s="44" t="n"/>
      <c r="X26" s="44" t="n"/>
      <c r="Y26" s="48" t="n"/>
      <c r="Z26" s="46" t="n"/>
      <c r="AA26" s="46" t="n"/>
      <c r="AB26" s="46" t="n"/>
      <c r="AC26" s="46" t="n"/>
    </row>
    <row r="27" ht="19.5" customHeight="1" s="88">
      <c r="A27" s="69">
        <f>'Sessional + End Term Assessment'!A28</f>
        <v/>
      </c>
      <c r="B27" s="79">
        <f>'Sessional + End Term Assessment'!B28</f>
        <v/>
      </c>
      <c r="C27" s="79">
        <f>'Sessional + End Term Assessment'!C28</f>
        <v/>
      </c>
      <c r="D27" s="78" t="n">
        <v>27</v>
      </c>
      <c r="E27" s="70">
        <f>IF(D27&gt;=($D$6*0.7),1,0)</f>
        <v/>
      </c>
      <c r="F27" s="70">
        <f>IF(D27&gt;=($D$6*0.8),1,0)</f>
        <v/>
      </c>
      <c r="G27" s="70">
        <f>IF(D27&gt;=($D$6*0.9),1,0)</f>
        <v/>
      </c>
      <c r="H27" s="78" t="n">
        <v>28</v>
      </c>
      <c r="I27" s="70">
        <f>IF(H27&gt;=($H$6*0.7),1,0)</f>
        <v/>
      </c>
      <c r="J27" s="70">
        <f>IF(H27&gt;=($H$6*0.7),1,0)</f>
        <v/>
      </c>
      <c r="K27" s="70">
        <f>IF(H27&gt;=($H$6*0.9),1,0)</f>
        <v/>
      </c>
      <c r="L27" s="78" t="n">
        <v>14</v>
      </c>
      <c r="M27" s="70">
        <f>IF(L27&gt;=($L$6*0.7),1,0)</f>
        <v/>
      </c>
      <c r="N27" s="70">
        <f>IF(L27&gt;=($L$6*0.8),1,0)</f>
        <v/>
      </c>
      <c r="O27" s="70">
        <f>IF(L27&gt;=($L$6*0.9),1,0)</f>
        <v/>
      </c>
      <c r="P27" s="70" t="n"/>
      <c r="Q27" s="70" t="n"/>
      <c r="R27" t="n">
        <v>69</v>
      </c>
      <c r="S27" s="48" t="n"/>
      <c r="T27" s="48" t="n"/>
      <c r="U27" s="48" t="n"/>
      <c r="V27" s="48" t="n"/>
      <c r="W27" s="44" t="n"/>
      <c r="X27" s="44" t="n"/>
      <c r="Y27" s="48" t="n"/>
      <c r="Z27" s="46" t="n"/>
      <c r="AA27" s="46" t="n"/>
      <c r="AB27" s="46" t="n"/>
      <c r="AC27" s="46" t="n"/>
    </row>
    <row r="28" ht="19.5" customHeight="1" s="88">
      <c r="A28" s="69">
        <f>'Sessional + End Term Assessment'!A29</f>
        <v/>
      </c>
      <c r="B28" s="79">
        <f>'Sessional + End Term Assessment'!B29</f>
        <v/>
      </c>
      <c r="C28" s="79">
        <f>'Sessional + End Term Assessment'!C29</f>
        <v/>
      </c>
      <c r="D28" t="n">
        <v>24</v>
      </c>
      <c r="E28" s="70">
        <f>IF(D28&gt;=($D$6*0.7),1,0)</f>
        <v/>
      </c>
      <c r="F28" s="70">
        <f>IF(D28&gt;=($D$6*0.8),1,0)</f>
        <v/>
      </c>
      <c r="G28" s="70">
        <f>IF(D28&gt;=($D$6*0.9),1,0)</f>
        <v/>
      </c>
      <c r="H28" t="n">
        <v>26</v>
      </c>
      <c r="I28" s="70">
        <f>IF(H28&gt;=($H$6*0.7),1,0)</f>
        <v/>
      </c>
      <c r="J28" s="70">
        <f>IF(H28&gt;=($H$6*0.7),1,0)</f>
        <v/>
      </c>
      <c r="K28" s="70">
        <f>IF(H28&gt;=($H$6*0.9),1,0)</f>
        <v/>
      </c>
      <c r="L28" t="n">
        <v>13</v>
      </c>
      <c r="M28" s="70">
        <f>IF(L28&gt;=($L$6*0.7),1,0)</f>
        <v/>
      </c>
      <c r="N28" s="70">
        <f>IF(L28&gt;=($L$6*0.8),1,0)</f>
        <v/>
      </c>
      <c r="O28" s="70">
        <f>IF(L28&gt;=($L$6*0.9),1,0)</f>
        <v/>
      </c>
      <c r="P28" s="70" t="n"/>
      <c r="Q28" s="70" t="n"/>
      <c r="R28" t="n">
        <v>63</v>
      </c>
      <c r="S28" s="48" t="n"/>
      <c r="T28" s="48" t="n"/>
      <c r="U28" s="48" t="n"/>
      <c r="V28" s="48" t="n"/>
      <c r="W28" s="44" t="n"/>
      <c r="X28" s="44" t="n"/>
      <c r="Y28" s="48" t="n"/>
      <c r="Z28" s="46" t="n"/>
      <c r="AA28" s="46" t="n"/>
      <c r="AB28" s="46" t="n"/>
      <c r="AC28" s="46" t="n"/>
    </row>
    <row r="29" ht="19.5" customHeight="1" s="88">
      <c r="A29" s="69">
        <f>'Sessional + End Term Assessment'!A30</f>
        <v/>
      </c>
      <c r="B29" s="79">
        <f>'Sessional + End Term Assessment'!B30</f>
        <v/>
      </c>
      <c r="C29" s="79">
        <f>'Sessional + End Term Assessment'!C30</f>
        <v/>
      </c>
      <c r="D29" s="78" t="n">
        <v>26</v>
      </c>
      <c r="E29" s="70">
        <f>IF(D29&gt;=($D$6*0.7),1,0)</f>
        <v/>
      </c>
      <c r="F29" s="70">
        <f>IF(D29&gt;=($D$6*0.8),1,0)</f>
        <v/>
      </c>
      <c r="G29" s="70">
        <f>IF(D29&gt;=($D$6*0.9),1,0)</f>
        <v/>
      </c>
      <c r="H29" s="78" t="n">
        <v>24</v>
      </c>
      <c r="I29" s="70">
        <f>IF(H29&gt;=($H$6*0.7),1,0)</f>
        <v/>
      </c>
      <c r="J29" s="70">
        <f>IF(H29&gt;=($H$6*0.7),1,0)</f>
        <v/>
      </c>
      <c r="K29" s="70">
        <f>IF(H29&gt;=($H$6*0.9),1,0)</f>
        <v/>
      </c>
      <c r="L29" s="78" t="n">
        <v>13</v>
      </c>
      <c r="M29" s="70">
        <f>IF(L29&gt;=($L$6*0.7),1,0)</f>
        <v/>
      </c>
      <c r="N29" s="70">
        <f>IF(L29&gt;=($L$6*0.8),1,0)</f>
        <v/>
      </c>
      <c r="O29" s="70">
        <f>IF(L29&gt;=($L$6*0.9),1,0)</f>
        <v/>
      </c>
      <c r="P29" s="70" t="n"/>
      <c r="Q29" s="70" t="n"/>
      <c r="R29" t="n">
        <v>63</v>
      </c>
      <c r="S29" s="48" t="n"/>
      <c r="T29" s="48" t="n"/>
      <c r="U29" s="48" t="n"/>
      <c r="V29" s="48" t="n"/>
      <c r="W29" s="44" t="n"/>
      <c r="X29" s="44" t="n"/>
      <c r="Y29" s="48" t="n"/>
      <c r="Z29" s="46" t="n"/>
      <c r="AA29" s="46" t="n"/>
      <c r="AB29" s="46" t="n"/>
      <c r="AC29" s="46" t="n"/>
    </row>
    <row r="30" ht="19.5" customHeight="1" s="88">
      <c r="A30" s="69">
        <f>'Sessional + End Term Assessment'!A31</f>
        <v/>
      </c>
      <c r="B30" s="79">
        <f>'Sessional + End Term Assessment'!B31</f>
        <v/>
      </c>
      <c r="C30" s="79">
        <f>'Sessional + End Term Assessment'!C31</f>
        <v/>
      </c>
      <c r="D30" s="78" t="n">
        <v>24</v>
      </c>
      <c r="E30" s="70">
        <f>IF(D30&gt;=($D$6*0.7),1,0)</f>
        <v/>
      </c>
      <c r="F30" s="70">
        <f>IF(D30&gt;=($D$6*0.8),1,0)</f>
        <v/>
      </c>
      <c r="G30" s="70">
        <f>IF(D30&gt;=($D$6*0.9),1,0)</f>
        <v/>
      </c>
      <c r="H30" s="78" t="n">
        <v>21</v>
      </c>
      <c r="I30" s="70">
        <f>IF(H30&gt;=($H$6*0.7),1,0)</f>
        <v/>
      </c>
      <c r="J30" s="70">
        <f>IF(H30&gt;=($H$6*0.7),1,0)</f>
        <v/>
      </c>
      <c r="K30" s="70">
        <f>IF(H30&gt;=($H$6*0.9),1,0)</f>
        <v/>
      </c>
      <c r="L30" s="78" t="n">
        <v>13</v>
      </c>
      <c r="M30" s="70">
        <f>IF(L30&gt;=($L$6*0.7),1,0)</f>
        <v/>
      </c>
      <c r="N30" s="70">
        <f>IF(L30&gt;=($L$6*0.8),1,0)</f>
        <v/>
      </c>
      <c r="O30" s="70">
        <f>IF(L30&gt;=($L$6*0.9),1,0)</f>
        <v/>
      </c>
      <c r="P30" s="70" t="n"/>
      <c r="Q30" s="70" t="n"/>
      <c r="R30" s="78" t="n">
        <v>58</v>
      </c>
      <c r="S30" s="48" t="n"/>
      <c r="T30" s="48" t="n"/>
      <c r="U30" s="48" t="n"/>
      <c r="V30" s="48" t="n"/>
      <c r="W30" s="44" t="n"/>
      <c r="X30" s="44" t="n"/>
      <c r="Y30" s="48" t="n"/>
      <c r="Z30" s="46" t="n"/>
      <c r="AA30" s="46" t="n"/>
      <c r="AB30" s="46" t="n"/>
      <c r="AC30" s="46" t="n"/>
    </row>
    <row r="31" ht="19.5" customHeight="1" s="88">
      <c r="A31" s="69">
        <f>'Sessional + End Term Assessment'!A32</f>
        <v/>
      </c>
      <c r="B31" s="79">
        <f>'Sessional + End Term Assessment'!B32</f>
        <v/>
      </c>
      <c r="C31" s="79">
        <f>'Sessional + End Term Assessment'!C32</f>
        <v/>
      </c>
      <c r="D31" s="78" t="n">
        <v>23</v>
      </c>
      <c r="E31" s="70">
        <f>IF(D31&gt;=($D$6*0.7),1,0)</f>
        <v/>
      </c>
      <c r="F31" s="70">
        <f>IF(D31&gt;=($D$6*0.8),1,0)</f>
        <v/>
      </c>
      <c r="G31" s="70">
        <f>IF(D31&gt;=($D$6*0.9),1,0)</f>
        <v/>
      </c>
      <c r="H31" s="78" t="n">
        <v>20</v>
      </c>
      <c r="I31" s="70">
        <f>IF(H31&gt;=($H$6*0.7),1,0)</f>
        <v/>
      </c>
      <c r="J31" s="70">
        <f>IF(H31&gt;=($H$6*0.7),1,0)</f>
        <v/>
      </c>
      <c r="K31" s="70">
        <f>IF(H31&gt;=($H$6*0.9),1,0)</f>
        <v/>
      </c>
      <c r="L31" s="78" t="n">
        <v>13</v>
      </c>
      <c r="M31" s="70">
        <f>IF(L31&gt;=($L$6*0.7),1,0)</f>
        <v/>
      </c>
      <c r="N31" s="70">
        <f>IF(L31&gt;=($L$6*0.8),1,0)</f>
        <v/>
      </c>
      <c r="O31" s="70">
        <f>IF(L31&gt;=($L$6*0.9),1,0)</f>
        <v/>
      </c>
      <c r="P31" s="70" t="n"/>
      <c r="Q31" s="70" t="n"/>
      <c r="R31" s="78" t="n">
        <v>56</v>
      </c>
      <c r="S31" s="48" t="n"/>
      <c r="T31" s="48" t="n"/>
      <c r="U31" s="48" t="n"/>
      <c r="V31" s="48" t="n"/>
      <c r="W31" s="44" t="n"/>
      <c r="X31" s="44" t="n"/>
      <c r="Y31" s="48" t="n"/>
      <c r="Z31" s="46" t="n"/>
      <c r="AA31" s="46" t="n"/>
      <c r="AB31" s="46" t="n"/>
      <c r="AC31" s="46" t="n"/>
    </row>
    <row r="32" ht="19.5" customHeight="1" s="88">
      <c r="A32" s="69">
        <f>'Sessional + End Term Assessment'!A33</f>
        <v/>
      </c>
      <c r="B32" s="79">
        <f>'Sessional + End Term Assessment'!B33</f>
        <v/>
      </c>
      <c r="C32" s="79">
        <f>'Sessional + End Term Assessment'!C33</f>
        <v/>
      </c>
      <c r="D32" t="n">
        <v>22</v>
      </c>
      <c r="E32" s="70">
        <f>IF(D32&gt;=($D$6*0.7),1,0)</f>
        <v/>
      </c>
      <c r="F32" s="70">
        <f>IF(D32&gt;=($D$6*0.8),1,0)</f>
        <v/>
      </c>
      <c r="G32" s="70">
        <f>IF(D32&gt;=($D$6*0.9),1,0)</f>
        <v/>
      </c>
      <c r="H32" t="n">
        <v>22</v>
      </c>
      <c r="I32" s="70">
        <f>IF(H32&gt;=($H$6*0.7),1,0)</f>
        <v/>
      </c>
      <c r="J32" s="70">
        <f>IF(H32&gt;=($H$6*0.7),1,0)</f>
        <v/>
      </c>
      <c r="K32" s="70">
        <f>IF(H32&gt;=($H$6*0.9),1,0)</f>
        <v/>
      </c>
      <c r="L32" t="n">
        <v>13</v>
      </c>
      <c r="M32" s="70">
        <f>IF(L32&gt;=($L$6*0.7),1,0)</f>
        <v/>
      </c>
      <c r="N32" s="70">
        <f>IF(L32&gt;=($L$6*0.8),1,0)</f>
        <v/>
      </c>
      <c r="O32" s="70">
        <f>IF(L32&gt;=($L$6*0.9),1,0)</f>
        <v/>
      </c>
      <c r="P32" s="70" t="n"/>
      <c r="Q32" s="70" t="n"/>
      <c r="R32" t="n">
        <v>57</v>
      </c>
      <c r="S32" s="48" t="n"/>
      <c r="T32" s="48" t="n"/>
      <c r="U32" s="48" t="n"/>
      <c r="V32" s="48" t="n"/>
      <c r="W32" s="44" t="n"/>
      <c r="X32" s="44" t="n"/>
      <c r="Y32" s="48" t="n"/>
      <c r="Z32" s="46" t="n"/>
      <c r="AA32" s="46" t="n"/>
      <c r="AB32" s="46" t="n"/>
      <c r="AC32" s="46" t="n"/>
    </row>
    <row r="33" ht="19.5" customHeight="1" s="88">
      <c r="A33" s="69">
        <f>'Sessional + End Term Assessment'!A34</f>
        <v/>
      </c>
      <c r="B33" s="79">
        <f>'Sessional + End Term Assessment'!B34</f>
        <v/>
      </c>
      <c r="C33" s="79">
        <f>'Sessional + End Term Assessment'!C34</f>
        <v/>
      </c>
      <c r="D33" s="78" t="n">
        <v>28</v>
      </c>
      <c r="E33" s="70">
        <f>IF(D33&gt;=($D$6*0.7),1,0)</f>
        <v/>
      </c>
      <c r="F33" s="70">
        <f>IF(D33&gt;=($D$6*0.8),1,0)</f>
        <v/>
      </c>
      <c r="G33" s="70">
        <f>IF(D33&gt;=($D$6*0.9),1,0)</f>
        <v/>
      </c>
      <c r="H33" s="78" t="n">
        <v>27</v>
      </c>
      <c r="I33" s="70">
        <f>IF(H33&gt;=($H$6*0.7),1,0)</f>
        <v/>
      </c>
      <c r="J33" s="70">
        <f>IF(H33&gt;=($H$6*0.7),1,0)</f>
        <v/>
      </c>
      <c r="K33" s="70">
        <f>IF(H33&gt;=($H$6*0.9),1,0)</f>
        <v/>
      </c>
      <c r="L33" s="78" t="n">
        <v>14</v>
      </c>
      <c r="M33" s="70">
        <f>IF(L33&gt;=($L$6*0.7),1,0)</f>
        <v/>
      </c>
      <c r="N33" s="70">
        <f>IF(L33&gt;=($L$6*0.8),1,0)</f>
        <v/>
      </c>
      <c r="O33" s="70">
        <f>IF(L33&gt;=($L$6*0.9),1,0)</f>
        <v/>
      </c>
      <c r="P33" s="70" t="n"/>
      <c r="Q33" s="70" t="n"/>
      <c r="R33" s="78" t="n">
        <v>69</v>
      </c>
      <c r="S33" s="48" t="n"/>
      <c r="T33" s="48" t="n"/>
      <c r="U33" s="48" t="n"/>
      <c r="V33" s="48" t="n"/>
      <c r="W33" s="44" t="n"/>
      <c r="X33" s="44" t="n"/>
      <c r="Y33" s="48" t="n"/>
      <c r="Z33" s="46" t="n"/>
      <c r="AA33" s="46" t="n"/>
      <c r="AB33" s="46" t="n"/>
      <c r="AC33" s="46" t="n"/>
    </row>
    <row r="34" ht="19.5" customHeight="1" s="88">
      <c r="A34" s="69">
        <f>'Sessional + End Term Assessment'!A35</f>
        <v/>
      </c>
      <c r="B34" s="79">
        <f>'Sessional + End Term Assessment'!B35</f>
        <v/>
      </c>
      <c r="C34" s="79">
        <f>'Sessional + End Term Assessment'!C35</f>
        <v/>
      </c>
      <c r="D34" s="78" t="n">
        <v>26</v>
      </c>
      <c r="E34" s="70">
        <f>IF(D34&gt;=($D$6*0.7),1,0)</f>
        <v/>
      </c>
      <c r="F34" s="70">
        <f>IF(D34&gt;=($D$6*0.8),1,0)</f>
        <v/>
      </c>
      <c r="G34" s="70">
        <f>IF(D34&gt;=($D$6*0.9),1,0)</f>
        <v/>
      </c>
      <c r="H34" s="78" t="n">
        <v>24</v>
      </c>
      <c r="I34" s="70">
        <f>IF(H34&gt;=($H$6*0.7),1,0)</f>
        <v/>
      </c>
      <c r="J34" s="70">
        <f>IF(H34&gt;=($H$6*0.7),1,0)</f>
        <v/>
      </c>
      <c r="K34" s="70">
        <f>IF(H34&gt;=($H$6*0.9),1,0)</f>
        <v/>
      </c>
      <c r="L34" s="78" t="n">
        <v>13</v>
      </c>
      <c r="M34" s="70">
        <f>IF(L34&gt;=($L$6*0.7),1,0)</f>
        <v/>
      </c>
      <c r="N34" s="70">
        <f>IF(L34&gt;=($L$6*0.8),1,0)</f>
        <v/>
      </c>
      <c r="O34" s="70">
        <f>IF(L34&gt;=($L$6*0.9),1,0)</f>
        <v/>
      </c>
      <c r="P34" s="70" t="n"/>
      <c r="Q34" s="70" t="n"/>
      <c r="R34" t="n">
        <v>63</v>
      </c>
      <c r="S34" s="48" t="n"/>
      <c r="T34" s="48" t="n"/>
      <c r="U34" s="48" t="n"/>
      <c r="V34" s="48" t="n"/>
      <c r="W34" s="44" t="n"/>
      <c r="X34" s="44" t="n"/>
      <c r="Y34" s="48" t="n"/>
      <c r="Z34" s="46" t="n"/>
      <c r="AA34" s="46" t="n"/>
      <c r="AB34" s="46" t="n"/>
      <c r="AC34" s="46" t="n"/>
    </row>
    <row r="35" ht="19.5" customHeight="1" s="88">
      <c r="A35" s="69">
        <f>'Sessional + End Term Assessment'!A36</f>
        <v/>
      </c>
      <c r="B35" s="79">
        <f>'Sessional + End Term Assessment'!B36</f>
        <v/>
      </c>
      <c r="C35" s="79">
        <f>'Sessional + End Term Assessment'!C36</f>
        <v/>
      </c>
      <c r="D35" s="78" t="n">
        <v>28</v>
      </c>
      <c r="E35" s="70">
        <f>IF(D35&gt;=($D$6*0.7),1,0)</f>
        <v/>
      </c>
      <c r="F35" s="70">
        <f>IF(D35&gt;=($D$6*0.8),1,0)</f>
        <v/>
      </c>
      <c r="G35" s="70">
        <f>IF(D35&gt;=($D$6*0.9),1,0)</f>
        <v/>
      </c>
      <c r="H35" s="78" t="n">
        <v>28</v>
      </c>
      <c r="I35" s="70">
        <f>IF(H35&gt;=($H$6*0.7),1,0)</f>
        <v/>
      </c>
      <c r="J35" s="70">
        <f>IF(H35&gt;=($H$6*0.7),1,0)</f>
        <v/>
      </c>
      <c r="K35" s="70">
        <f>IF(H35&gt;=($H$6*0.9),1,0)</f>
        <v/>
      </c>
      <c r="L35" s="78" t="n">
        <v>14</v>
      </c>
      <c r="M35" s="70">
        <f>IF(L35&gt;=($L$6*0.7),1,0)</f>
        <v/>
      </c>
      <c r="N35" s="70">
        <f>IF(L35&gt;=($L$6*0.8),1,0)</f>
        <v/>
      </c>
      <c r="O35" s="70">
        <f>IF(L35&gt;=($L$6*0.9),1,0)</f>
        <v/>
      </c>
      <c r="P35" s="70" t="n"/>
      <c r="Q35" s="70" t="n"/>
      <c r="R35" s="78" t="n">
        <v>70</v>
      </c>
      <c r="S35" s="48" t="n"/>
      <c r="T35" s="48" t="n"/>
      <c r="U35" s="48" t="n"/>
      <c r="V35" s="48" t="n"/>
      <c r="W35" s="44" t="n"/>
      <c r="X35" s="44" t="n"/>
      <c r="Y35" s="48" t="n"/>
      <c r="Z35" s="46" t="n"/>
      <c r="AA35" s="46" t="n"/>
      <c r="AB35" s="46" t="n"/>
      <c r="AC35" s="46" t="n"/>
    </row>
    <row r="36" ht="19.5" customHeight="1" s="88">
      <c r="A36" s="69">
        <f>'Sessional + End Term Assessment'!A37</f>
        <v/>
      </c>
      <c r="B36" s="79">
        <f>'Sessional + End Term Assessment'!B37</f>
        <v/>
      </c>
      <c r="C36" s="79">
        <f>'Sessional + End Term Assessment'!C37</f>
        <v/>
      </c>
      <c r="D36" t="n">
        <v>24</v>
      </c>
      <c r="E36" s="70">
        <f>IF(D36&gt;=($D$6*0.7),1,0)</f>
        <v/>
      </c>
      <c r="F36" s="70">
        <f>IF(D36&gt;=($D$6*0.8),1,0)</f>
        <v/>
      </c>
      <c r="G36" s="70">
        <f>IF(D36&gt;=($D$6*0.9),1,0)</f>
        <v/>
      </c>
      <c r="H36" t="n">
        <v>21</v>
      </c>
      <c r="I36" s="70">
        <f>IF(H36&gt;=($H$6*0.7),1,0)</f>
        <v/>
      </c>
      <c r="J36" s="70">
        <f>IF(H36&gt;=($H$6*0.7),1,0)</f>
        <v/>
      </c>
      <c r="K36" s="70">
        <f>IF(H36&gt;=($H$6*0.9),1,0)</f>
        <v/>
      </c>
      <c r="L36" t="n">
        <v>13</v>
      </c>
      <c r="M36" s="70">
        <f>IF(L36&gt;=($L$6*0.7),1,0)</f>
        <v/>
      </c>
      <c r="N36" s="70">
        <f>IF(L36&gt;=($L$6*0.8),1,0)</f>
        <v/>
      </c>
      <c r="O36" s="70">
        <f>IF(L36&gt;=($L$6*0.9),1,0)</f>
        <v/>
      </c>
      <c r="P36" s="70" t="n"/>
      <c r="Q36" s="70" t="n"/>
      <c r="R36" t="n">
        <v>58</v>
      </c>
      <c r="S36" s="48" t="n"/>
      <c r="T36" s="48" t="n"/>
      <c r="U36" s="48" t="n"/>
      <c r="V36" s="48" t="n"/>
      <c r="W36" s="44" t="n"/>
      <c r="X36" s="44" t="n"/>
      <c r="Y36" s="48" t="n"/>
      <c r="Z36" s="46" t="n"/>
      <c r="AA36" s="46" t="n"/>
      <c r="AB36" s="46" t="n"/>
      <c r="AC36" s="46" t="n"/>
    </row>
    <row r="37" ht="15.75" customHeight="1" s="88">
      <c r="A37" s="72" t="n"/>
      <c r="B37" s="71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  <c r="O37" s="44" t="n"/>
      <c r="P37" s="44" t="n"/>
      <c r="Q37" s="44" t="n"/>
      <c r="R37" s="44" t="n"/>
      <c r="S37" s="44" t="n"/>
      <c r="T37" s="44" t="n"/>
      <c r="U37" s="44" t="n"/>
      <c r="V37" s="44" t="n"/>
      <c r="W37" s="44" t="n"/>
      <c r="X37" s="44" t="n"/>
    </row>
    <row r="38" ht="15.75" customHeight="1" s="88">
      <c r="A38" s="72" t="n"/>
      <c r="B38" s="71" t="n"/>
      <c r="C38" s="44" t="n"/>
      <c r="D38" s="44" t="n"/>
      <c r="E38" s="44" t="n"/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</row>
    <row r="39" ht="15.75" customHeight="1" s="88">
      <c r="A39" s="72" t="n"/>
      <c r="B39" s="71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  <c r="P39" s="44" t="n"/>
      <c r="Q39" s="44" t="n"/>
      <c r="R39" s="44" t="n"/>
      <c r="S39" s="44" t="n"/>
      <c r="T39" s="44" t="n"/>
      <c r="U39" s="44" t="n"/>
      <c r="V39" s="44" t="n"/>
      <c r="W39" s="44" t="n"/>
      <c r="X39" s="44" t="n"/>
    </row>
    <row r="40" ht="15.75" customHeight="1" s="88">
      <c r="A40" s="72" t="n"/>
      <c r="B40" s="71" t="n"/>
      <c r="C40" s="44" t="n"/>
      <c r="D40" s="44" t="n"/>
      <c r="E40" s="44" t="n"/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</row>
    <row r="41" ht="15.75" customHeight="1" s="88">
      <c r="A41" s="72" t="n"/>
      <c r="B41" s="71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  <c r="O41" s="44" t="n"/>
      <c r="P41" s="44" t="n"/>
      <c r="Q41" s="44" t="n"/>
      <c r="R41" s="44" t="n"/>
      <c r="S41" s="44" t="n"/>
      <c r="T41" s="44" t="n"/>
      <c r="U41" s="44" t="n"/>
      <c r="V41" s="44" t="n"/>
      <c r="W41" s="44" t="n"/>
      <c r="X41" s="44" t="n"/>
    </row>
    <row r="42" ht="15.75" customHeight="1" s="88">
      <c r="A42" s="72" t="n"/>
      <c r="B42" s="71" t="n"/>
      <c r="C42" s="44" t="n"/>
      <c r="D42" s="44" t="n"/>
      <c r="E42" s="44" t="n"/>
      <c r="F42" s="44" t="n"/>
      <c r="G42" s="44" t="n"/>
      <c r="H42" s="44" t="n"/>
      <c r="I42" s="44" t="n"/>
      <c r="J42" s="44" t="n"/>
      <c r="K42" s="44" t="n"/>
      <c r="L42" s="44" t="n"/>
      <c r="M42" s="44" t="n"/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</row>
    <row r="43" ht="15.75" customHeight="1" s="88">
      <c r="A43" s="72" t="n"/>
      <c r="B43" s="71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  <c r="O43" s="44" t="n"/>
      <c r="P43" s="44" t="n"/>
      <c r="Q43" s="44" t="n"/>
      <c r="R43" s="44" t="n"/>
      <c r="S43" s="44" t="n"/>
      <c r="T43" s="44" t="n"/>
      <c r="U43" s="44" t="n"/>
      <c r="V43" s="44" t="n"/>
      <c r="W43" s="44" t="n"/>
      <c r="X43" s="44" t="n"/>
    </row>
    <row r="44" ht="15.75" customHeight="1" s="88">
      <c r="A44" s="72" t="n"/>
      <c r="B44" s="71" t="n"/>
      <c r="C44" s="44" t="n"/>
      <c r="D44" s="44" t="n"/>
      <c r="E44" s="44" t="n"/>
      <c r="F44" s="44" t="n"/>
      <c r="G44" s="44" t="n"/>
      <c r="H44" s="44" t="n"/>
      <c r="I44" s="44" t="n"/>
      <c r="J44" s="44" t="n"/>
      <c r="K44" s="44" t="n"/>
      <c r="L44" s="44" t="n"/>
      <c r="M44" s="44" t="n"/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</row>
    <row r="45" ht="15.75" customHeight="1" s="88">
      <c r="A45" s="72" t="n"/>
      <c r="B45" s="71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  <c r="O45" s="44" t="n"/>
      <c r="P45" s="44" t="n"/>
      <c r="Q45" s="44" t="n"/>
      <c r="R45" s="44" t="n"/>
      <c r="S45" s="44" t="n"/>
      <c r="T45" s="44" t="n"/>
      <c r="U45" s="44" t="n"/>
      <c r="V45" s="44" t="n"/>
      <c r="W45" s="44" t="n"/>
      <c r="X45" s="44" t="n"/>
    </row>
    <row r="46" ht="15.75" customHeight="1" s="88">
      <c r="A46" s="72" t="n"/>
      <c r="B46" s="71" t="n"/>
      <c r="C46" s="44" t="n"/>
      <c r="D46" s="44" t="n"/>
      <c r="E46" s="44" t="n"/>
      <c r="F46" s="44" t="n"/>
      <c r="G46" s="44" t="n"/>
      <c r="H46" s="44" t="n"/>
      <c r="I46" s="44" t="n"/>
      <c r="J46" s="44" t="n"/>
      <c r="K46" s="44" t="n"/>
      <c r="L46" s="44" t="n"/>
      <c r="M46" s="44" t="n"/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</row>
    <row r="47" ht="15.75" customHeight="1" s="88">
      <c r="A47" s="72" t="n"/>
      <c r="B47" s="71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  <c r="O47" s="44" t="n"/>
      <c r="P47" s="44" t="n"/>
      <c r="Q47" s="44" t="n"/>
      <c r="R47" s="44" t="n"/>
      <c r="S47" s="44" t="n"/>
      <c r="T47" s="44" t="n"/>
      <c r="U47" s="44" t="n"/>
      <c r="V47" s="44" t="n"/>
      <c r="W47" s="44" t="n"/>
      <c r="X47" s="44" t="n"/>
    </row>
    <row r="48" ht="15.75" customHeight="1" s="88">
      <c r="A48" s="72" t="n"/>
      <c r="B48" s="71" t="n"/>
      <c r="C48" s="44" t="n"/>
      <c r="D48" s="44" t="n"/>
      <c r="E48" s="44" t="n"/>
      <c r="F48" s="44" t="n"/>
      <c r="G48" s="44" t="n"/>
      <c r="H48" s="44" t="n"/>
      <c r="I48" s="44" t="n"/>
      <c r="J48" s="44" t="n"/>
      <c r="K48" s="44" t="n"/>
      <c r="L48" s="44" t="n"/>
      <c r="M48" s="44" t="n"/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</row>
    <row r="49" ht="15.75" customHeight="1" s="88">
      <c r="A49" s="72" t="n"/>
      <c r="B49" s="71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  <c r="O49" s="44" t="n"/>
      <c r="P49" s="44" t="n"/>
      <c r="Q49" s="44" t="n"/>
      <c r="R49" s="44" t="n"/>
      <c r="S49" s="44" t="n"/>
      <c r="T49" s="44" t="n"/>
      <c r="U49" s="44" t="n"/>
      <c r="V49" s="44" t="n"/>
      <c r="W49" s="44" t="n"/>
      <c r="X49" s="44" t="n"/>
    </row>
    <row r="50" ht="15.75" customHeight="1" s="88">
      <c r="A50" s="72" t="n"/>
      <c r="B50" s="71" t="n"/>
      <c r="C50" s="44" t="n"/>
      <c r="D50" s="44" t="n"/>
      <c r="E50" s="44" t="n"/>
      <c r="F50" s="44" t="n"/>
      <c r="G50" s="44" t="n"/>
      <c r="H50" s="44" t="n"/>
      <c r="I50" s="44" t="n"/>
      <c r="J50" s="44" t="n"/>
      <c r="K50" s="44" t="n"/>
      <c r="L50" s="44" t="n"/>
      <c r="M50" s="44" t="n"/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</row>
    <row r="51" ht="15.75" customHeight="1" s="88">
      <c r="A51" s="72" t="n"/>
      <c r="B51" s="71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  <c r="O51" s="44" t="n"/>
      <c r="P51" s="44" t="n"/>
      <c r="Q51" s="44" t="n"/>
      <c r="R51" s="44" t="n"/>
      <c r="S51" s="44" t="n"/>
      <c r="T51" s="44" t="n"/>
      <c r="U51" s="44" t="n"/>
      <c r="V51" s="44" t="n"/>
      <c r="W51" s="44" t="n"/>
      <c r="X51" s="44" t="n"/>
    </row>
    <row r="52" ht="15.75" customHeight="1" s="88">
      <c r="A52" s="72" t="n"/>
      <c r="B52" s="71" t="n"/>
      <c r="C52" s="44" t="n"/>
      <c r="D52" s="44" t="n"/>
      <c r="E52" s="44" t="n"/>
      <c r="F52" s="44" t="n"/>
      <c r="G52" s="44" t="n"/>
      <c r="H52" s="44" t="n"/>
      <c r="I52" s="44" t="n"/>
      <c r="J52" s="44" t="n"/>
      <c r="K52" s="44" t="n"/>
      <c r="L52" s="44" t="n"/>
      <c r="M52" s="44" t="n"/>
      <c r="N52" s="44" t="n"/>
      <c r="O52" s="44" t="n"/>
      <c r="P52" s="44" t="n"/>
      <c r="Q52" s="44" t="n"/>
      <c r="R52" s="44" t="n"/>
      <c r="S52" s="44" t="n"/>
      <c r="T52" s="44" t="n"/>
      <c r="U52" s="44" t="n"/>
      <c r="V52" s="44" t="n"/>
      <c r="W52" s="44" t="n"/>
      <c r="X52" s="44" t="n"/>
    </row>
    <row r="53" ht="15.75" customHeight="1" s="88">
      <c r="A53" s="72" t="n"/>
      <c r="B53" s="71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  <c r="O53" s="44" t="n"/>
      <c r="P53" s="44" t="n"/>
      <c r="Q53" s="44" t="n"/>
      <c r="R53" s="44" t="n"/>
      <c r="S53" s="44" t="n"/>
      <c r="T53" s="44" t="n"/>
      <c r="U53" s="44" t="n"/>
      <c r="V53" s="44" t="n"/>
      <c r="W53" s="44" t="n"/>
      <c r="X53" s="44" t="n"/>
    </row>
    <row r="54" ht="15.75" customHeight="1" s="88">
      <c r="A54" s="72" t="n"/>
      <c r="B54" s="71" t="n"/>
      <c r="C54" s="44" t="n"/>
      <c r="D54" s="44" t="n"/>
      <c r="E54" s="44" t="n"/>
      <c r="F54" s="44" t="n"/>
      <c r="G54" s="44" t="n"/>
      <c r="H54" s="44" t="n"/>
      <c r="I54" s="44" t="n"/>
      <c r="J54" s="44" t="n"/>
      <c r="K54" s="44" t="n"/>
      <c r="L54" s="44" t="n"/>
      <c r="M54" s="44" t="n"/>
      <c r="N54" s="44" t="n"/>
      <c r="O54" s="44" t="n"/>
      <c r="P54" s="44" t="n"/>
      <c r="Q54" s="44" t="n"/>
      <c r="R54" s="44" t="n"/>
      <c r="S54" s="44" t="n"/>
      <c r="T54" s="44" t="n"/>
      <c r="U54" s="44" t="n"/>
      <c r="V54" s="44" t="n"/>
      <c r="W54" s="44" t="n"/>
      <c r="X54" s="44" t="n"/>
    </row>
    <row r="55" ht="15.75" customHeight="1" s="88">
      <c r="A55" s="72" t="n"/>
      <c r="B55" s="71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  <c r="O55" s="44" t="n"/>
      <c r="P55" s="44" t="n"/>
      <c r="Q55" s="44" t="n"/>
      <c r="R55" s="44" t="n"/>
      <c r="S55" s="44" t="n"/>
      <c r="T55" s="44" t="n"/>
      <c r="U55" s="44" t="n"/>
      <c r="V55" s="44" t="n"/>
      <c r="W55" s="44" t="n"/>
      <c r="X55" s="44" t="n"/>
    </row>
    <row r="56" ht="15.75" customHeight="1" s="88">
      <c r="A56" s="71" t="n"/>
      <c r="B56" s="71" t="n"/>
      <c r="C56" s="44" t="n"/>
      <c r="D56" s="44" t="n"/>
      <c r="E56" s="44" t="n"/>
      <c r="F56" s="44" t="n"/>
      <c r="G56" s="44" t="n"/>
      <c r="H56" s="44" t="n"/>
      <c r="I56" s="44" t="n"/>
      <c r="J56" s="44" t="n"/>
      <c r="K56" s="44" t="n"/>
      <c r="L56" s="44" t="n"/>
      <c r="M56" s="44" t="n"/>
      <c r="N56" s="44" t="n"/>
      <c r="O56" s="44" t="n"/>
      <c r="P56" s="44" t="n"/>
      <c r="Q56" s="44" t="n"/>
      <c r="R56" s="44" t="n"/>
      <c r="S56" s="44" t="n"/>
      <c r="T56" s="44" t="n"/>
      <c r="U56" s="44" t="n"/>
      <c r="V56" s="44" t="n"/>
      <c r="W56" s="44" t="n"/>
      <c r="X56" s="44" t="n"/>
    </row>
    <row r="57" ht="15.75" customHeight="1" s="88">
      <c r="A57" s="71" t="n"/>
      <c r="B57" s="71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  <c r="O57" s="44" t="n"/>
      <c r="P57" s="44" t="n"/>
      <c r="Q57" s="44" t="n"/>
      <c r="R57" s="44" t="n"/>
      <c r="S57" s="44" t="n"/>
      <c r="T57" s="44" t="n"/>
      <c r="U57" s="44" t="n"/>
      <c r="V57" s="44" t="n"/>
      <c r="W57" s="44" t="n"/>
      <c r="X57" s="44" t="n"/>
    </row>
    <row r="58" ht="15.75" customHeight="1" s="88">
      <c r="A58" s="71" t="n"/>
      <c r="B58" s="71" t="n"/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  <c r="M58" s="44" t="n"/>
      <c r="N58" s="44" t="n"/>
      <c r="O58" s="44" t="n"/>
      <c r="P58" s="44" t="n"/>
      <c r="Q58" s="44" t="n"/>
      <c r="R58" s="44" t="n"/>
      <c r="S58" s="44" t="n"/>
      <c r="T58" s="44" t="n"/>
      <c r="U58" s="44" t="n"/>
      <c r="V58" s="44" t="n"/>
      <c r="W58" s="44" t="n"/>
      <c r="X58" s="44" t="n"/>
    </row>
    <row r="59" ht="15.75" customHeight="1" s="88">
      <c r="A59" s="71" t="n"/>
      <c r="B59" s="71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  <c r="O59" s="44" t="n"/>
      <c r="P59" s="44" t="n"/>
      <c r="Q59" s="44" t="n"/>
      <c r="R59" s="44" t="n"/>
      <c r="S59" s="44" t="n"/>
      <c r="T59" s="44" t="n"/>
      <c r="U59" s="44" t="n"/>
      <c r="V59" s="44" t="n"/>
      <c r="W59" s="44" t="n"/>
      <c r="X59" s="44" t="n"/>
    </row>
    <row r="60" ht="15.75" customHeight="1" s="88">
      <c r="A60" s="71" t="n"/>
      <c r="B60" s="71" t="n"/>
      <c r="C60" s="44" t="n"/>
      <c r="D60" s="44" t="n"/>
      <c r="E60" s="44" t="n"/>
      <c r="F60" s="44" t="n"/>
      <c r="G60" s="44" t="n"/>
      <c r="H60" s="44" t="n"/>
      <c r="I60" s="44" t="n"/>
      <c r="J60" s="44" t="n"/>
      <c r="K60" s="44" t="n"/>
      <c r="L60" s="44" t="n"/>
      <c r="M60" s="44" t="n"/>
      <c r="N60" s="44" t="n"/>
      <c r="O60" s="44" t="n"/>
      <c r="P60" s="44" t="n"/>
      <c r="Q60" s="44" t="n"/>
      <c r="R60" s="44" t="n"/>
      <c r="S60" s="44" t="n"/>
      <c r="T60" s="44" t="n"/>
      <c r="U60" s="44" t="n"/>
      <c r="V60" s="44" t="n"/>
      <c r="W60" s="44" t="n"/>
      <c r="X60" s="44" t="n"/>
    </row>
    <row r="61" ht="15.75" customHeight="1" s="88">
      <c r="A61" s="71" t="n"/>
      <c r="B61" s="71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  <c r="O61" s="44" t="n"/>
      <c r="P61" s="44" t="n"/>
      <c r="Q61" s="44" t="n"/>
      <c r="R61" s="44" t="n"/>
      <c r="S61" s="44" t="n"/>
      <c r="T61" s="44" t="n"/>
      <c r="U61" s="44" t="n"/>
      <c r="V61" s="44" t="n"/>
      <c r="W61" s="44" t="n"/>
      <c r="X61" s="44" t="n"/>
    </row>
    <row r="62" ht="15.75" customHeight="1" s="88">
      <c r="A62" s="71" t="n"/>
      <c r="B62" s="71" t="n"/>
      <c r="C62" s="44" t="n"/>
      <c r="D62" s="44" t="n"/>
      <c r="E62" s="44" t="n"/>
      <c r="F62" s="44" t="n"/>
      <c r="G62" s="44" t="n"/>
      <c r="H62" s="44" t="n"/>
      <c r="I62" s="44" t="n"/>
      <c r="J62" s="44" t="n"/>
      <c r="K62" s="44" t="n"/>
      <c r="L62" s="44" t="n"/>
      <c r="M62" s="44" t="n"/>
      <c r="N62" s="44" t="n"/>
      <c r="O62" s="44" t="n"/>
      <c r="P62" s="44" t="n"/>
      <c r="Q62" s="44" t="n"/>
      <c r="R62" s="44" t="n"/>
      <c r="S62" s="44" t="n"/>
      <c r="T62" s="44" t="n"/>
      <c r="U62" s="44" t="n"/>
      <c r="V62" s="44" t="n"/>
      <c r="W62" s="44" t="n"/>
      <c r="X62" s="44" t="n"/>
    </row>
    <row r="63" ht="15.75" customHeight="1" s="88">
      <c r="A63" s="71" t="n"/>
      <c r="B63" s="71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  <c r="O63" s="44" t="n"/>
      <c r="P63" s="44" t="n"/>
      <c r="Q63" s="44" t="n"/>
      <c r="R63" s="44" t="n"/>
      <c r="S63" s="44" t="n"/>
      <c r="T63" s="44" t="n"/>
      <c r="U63" s="44" t="n"/>
      <c r="V63" s="44" t="n"/>
      <c r="W63" s="44" t="n"/>
      <c r="X63" s="44" t="n"/>
    </row>
    <row r="64" ht="15.75" customHeight="1" s="88">
      <c r="A64" s="71" t="n"/>
      <c r="B64" s="71" t="n"/>
      <c r="C64" s="44" t="n"/>
      <c r="D64" s="44" t="n"/>
      <c r="E64" s="44" t="n"/>
      <c r="F64" s="44" t="n"/>
      <c r="G64" s="44" t="n"/>
      <c r="H64" s="44" t="n"/>
      <c r="I64" s="44" t="n"/>
      <c r="J64" s="44" t="n"/>
      <c r="K64" s="44" t="n"/>
      <c r="L64" s="44" t="n"/>
      <c r="M64" s="44" t="n"/>
      <c r="N64" s="44" t="n"/>
      <c r="O64" s="44" t="n"/>
      <c r="P64" s="44" t="n"/>
      <c r="Q64" s="44" t="n"/>
      <c r="R64" s="44" t="n"/>
      <c r="S64" s="44" t="n"/>
      <c r="T64" s="44" t="n"/>
      <c r="U64" s="44" t="n"/>
      <c r="V64" s="44" t="n"/>
      <c r="W64" s="44" t="n"/>
      <c r="X64" s="44" t="n"/>
    </row>
    <row r="65" ht="15.75" customHeight="1" s="88">
      <c r="A65" s="71" t="n"/>
      <c r="B65" s="71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  <c r="P65" s="44" t="n"/>
      <c r="Q65" s="44" t="n"/>
      <c r="R65" s="44" t="n"/>
      <c r="S65" s="44" t="n"/>
      <c r="T65" s="44" t="n"/>
      <c r="U65" s="44" t="n"/>
      <c r="V65" s="44" t="n"/>
      <c r="W65" s="44" t="n"/>
      <c r="X65" s="44" t="n"/>
    </row>
    <row r="66" ht="15.75" customHeight="1" s="88">
      <c r="A66" s="71" t="n"/>
      <c r="B66" s="71" t="n"/>
      <c r="C66" s="44" t="n"/>
      <c r="D66" s="44" t="n"/>
      <c r="E66" s="44" t="n"/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n"/>
      <c r="O66" s="44" t="n"/>
      <c r="P66" s="44" t="n"/>
      <c r="Q66" s="44" t="n"/>
      <c r="R66" s="44" t="n"/>
      <c r="S66" s="44" t="n"/>
      <c r="T66" s="44" t="n"/>
      <c r="U66" s="44" t="n"/>
      <c r="V66" s="44" t="n"/>
      <c r="W66" s="44" t="n"/>
      <c r="X66" s="44" t="n"/>
    </row>
    <row r="67" ht="15.75" customHeight="1" s="88">
      <c r="A67" s="71" t="n"/>
      <c r="B67" s="71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  <c r="P67" s="44" t="n"/>
      <c r="Q67" s="44" t="n"/>
      <c r="R67" s="44" t="n"/>
      <c r="S67" s="44" t="n"/>
      <c r="T67" s="44" t="n"/>
      <c r="U67" s="44" t="n"/>
      <c r="V67" s="44" t="n"/>
      <c r="W67" s="44" t="n"/>
      <c r="X67" s="44" t="n"/>
    </row>
    <row r="68" ht="15.75" customHeight="1" s="88">
      <c r="A68" s="71" t="n"/>
      <c r="B68" s="71" t="n"/>
      <c r="C68" s="44" t="n"/>
      <c r="D68" s="44" t="n"/>
      <c r="E68" s="44" t="n"/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n"/>
      <c r="O68" s="44" t="n"/>
      <c r="P68" s="44" t="n"/>
      <c r="Q68" s="44" t="n"/>
      <c r="R68" s="44" t="n"/>
      <c r="S68" s="44" t="n"/>
      <c r="T68" s="44" t="n"/>
      <c r="U68" s="44" t="n"/>
      <c r="V68" s="44" t="n"/>
      <c r="W68" s="44" t="n"/>
      <c r="X68" s="44" t="n"/>
    </row>
    <row r="69" ht="15.75" customHeight="1" s="88">
      <c r="A69" s="71" t="n"/>
      <c r="B69" s="71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  <c r="O69" s="44" t="n"/>
      <c r="P69" s="44" t="n"/>
      <c r="Q69" s="44" t="n"/>
      <c r="R69" s="44" t="n"/>
      <c r="S69" s="44" t="n"/>
      <c r="T69" s="44" t="n"/>
      <c r="U69" s="44" t="n"/>
      <c r="V69" s="44" t="n"/>
      <c r="W69" s="44" t="n"/>
      <c r="X69" s="44" t="n"/>
    </row>
    <row r="70" ht="15.75" customHeight="1" s="88">
      <c r="A70" s="71" t="n"/>
      <c r="B70" s="71" t="n"/>
      <c r="C70" s="44" t="n"/>
      <c r="D70" s="44" t="n"/>
      <c r="E70" s="44" t="n"/>
      <c r="F70" s="44" t="n"/>
      <c r="G70" s="44" t="n"/>
      <c r="H70" s="44" t="n"/>
      <c r="I70" s="44" t="n"/>
      <c r="J70" s="44" t="n"/>
      <c r="K70" s="44" t="n"/>
      <c r="L70" s="44" t="n"/>
      <c r="M70" s="44" t="n"/>
      <c r="N70" s="44" t="n"/>
      <c r="O70" s="44" t="n"/>
      <c r="P70" s="44" t="n"/>
      <c r="Q70" s="44" t="n"/>
      <c r="R70" s="44" t="n"/>
      <c r="S70" s="44" t="n"/>
      <c r="T70" s="44" t="n"/>
      <c r="U70" s="44" t="n"/>
      <c r="V70" s="44" t="n"/>
      <c r="W70" s="44" t="n"/>
      <c r="X70" s="44" t="n"/>
    </row>
    <row r="71" ht="15.75" customHeight="1" s="88">
      <c r="A71" s="71" t="n"/>
      <c r="B71" s="71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  <c r="O71" s="44" t="n"/>
      <c r="P71" s="44" t="n"/>
      <c r="Q71" s="44" t="n"/>
      <c r="R71" s="44" t="n"/>
      <c r="S71" s="44" t="n"/>
      <c r="T71" s="44" t="n"/>
      <c r="U71" s="44" t="n"/>
      <c r="V71" s="44" t="n"/>
      <c r="W71" s="44" t="n"/>
      <c r="X71" s="44" t="n"/>
    </row>
    <row r="72" ht="15.75" customHeight="1" s="88">
      <c r="A72" s="71" t="n"/>
      <c r="B72" s="71" t="n"/>
      <c r="C72" s="44" t="n"/>
      <c r="D72" s="44" t="n"/>
      <c r="E72" s="44" t="n"/>
      <c r="F72" s="44" t="n"/>
      <c r="G72" s="44" t="n"/>
      <c r="H72" s="44" t="n"/>
      <c r="I72" s="44" t="n"/>
      <c r="J72" s="44" t="n"/>
      <c r="K72" s="44" t="n"/>
      <c r="L72" s="44" t="n"/>
      <c r="M72" s="44" t="n"/>
      <c r="N72" s="44" t="n"/>
      <c r="O72" s="44" t="n"/>
      <c r="P72" s="44" t="n"/>
      <c r="Q72" s="44" t="n"/>
      <c r="R72" s="44" t="n"/>
      <c r="S72" s="44" t="n"/>
      <c r="T72" s="44" t="n"/>
      <c r="U72" s="44" t="n"/>
      <c r="V72" s="44" t="n"/>
      <c r="W72" s="44" t="n"/>
      <c r="X72" s="44" t="n"/>
    </row>
    <row r="73" ht="15.75" customHeight="1" s="88">
      <c r="A73" s="71" t="n"/>
      <c r="B73" s="71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  <c r="O73" s="44" t="n"/>
      <c r="P73" s="44" t="n"/>
      <c r="Q73" s="44" t="n"/>
      <c r="R73" s="44" t="n"/>
      <c r="S73" s="44" t="n"/>
      <c r="T73" s="44" t="n"/>
      <c r="U73" s="44" t="n"/>
      <c r="V73" s="44" t="n"/>
      <c r="W73" s="44" t="n"/>
      <c r="X73" s="44" t="n"/>
    </row>
    <row r="74" ht="15.75" customHeight="1" s="88">
      <c r="A74" s="71" t="n"/>
      <c r="B74" s="71" t="n"/>
      <c r="C74" s="44" t="n"/>
      <c r="D74" s="44" t="n"/>
      <c r="E74" s="44" t="n"/>
      <c r="F74" s="44" t="n"/>
      <c r="G74" s="44" t="n"/>
      <c r="H74" s="44" t="n"/>
      <c r="I74" s="44" t="n"/>
      <c r="J74" s="44" t="n"/>
      <c r="K74" s="44" t="n"/>
      <c r="L74" s="44" t="n"/>
      <c r="M74" s="44" t="n"/>
      <c r="N74" s="44" t="n"/>
      <c r="O74" s="44" t="n"/>
      <c r="P74" s="44" t="n"/>
      <c r="Q74" s="44" t="n"/>
      <c r="R74" s="44" t="n"/>
      <c r="S74" s="44" t="n"/>
      <c r="T74" s="44" t="n"/>
      <c r="U74" s="44" t="n"/>
      <c r="V74" s="44" t="n"/>
      <c r="W74" s="44" t="n"/>
      <c r="X74" s="44" t="n"/>
    </row>
    <row r="75" ht="15.75" customHeight="1" s="88">
      <c r="A75" s="71" t="n"/>
      <c r="B75" s="71" t="n"/>
      <c r="C75" s="44" t="n"/>
      <c r="D75" s="44" t="n"/>
      <c r="E75" s="44" t="n"/>
      <c r="F75" s="44" t="n"/>
      <c r="G75" s="44" t="n"/>
      <c r="H75" s="44" t="n"/>
      <c r="I75" s="44" t="n"/>
      <c r="J75" s="44" t="n"/>
      <c r="K75" s="44" t="n"/>
      <c r="L75" s="44" t="n"/>
      <c r="M75" s="44" t="n"/>
      <c r="N75" s="44" t="n"/>
      <c r="O75" s="44" t="n"/>
      <c r="P75" s="44" t="n"/>
      <c r="Q75" s="44" t="n"/>
      <c r="R75" s="44" t="n"/>
      <c r="S75" s="44" t="n"/>
      <c r="T75" s="44" t="n"/>
      <c r="U75" s="44" t="n"/>
      <c r="V75" s="44" t="n"/>
      <c r="W75" s="44" t="n"/>
      <c r="X75" s="44" t="n"/>
    </row>
    <row r="76" ht="15.75" customHeight="1" s="88">
      <c r="A76" s="44" t="n"/>
      <c r="B76" s="44" t="n"/>
      <c r="C76" s="44" t="n"/>
      <c r="D76" s="44" t="n"/>
      <c r="E76" s="44" t="n"/>
      <c r="F76" s="44" t="n"/>
      <c r="G76" s="44" t="n"/>
      <c r="H76" s="44" t="n"/>
      <c r="I76" s="44" t="n"/>
      <c r="J76" s="44" t="n"/>
      <c r="K76" s="44" t="n"/>
      <c r="L76" s="44" t="n"/>
      <c r="M76" s="44" t="n"/>
      <c r="N76" s="44" t="n"/>
      <c r="O76" s="44" t="n"/>
      <c r="P76" s="44" t="n"/>
      <c r="Q76" s="44" t="n"/>
      <c r="R76" s="44" t="n"/>
      <c r="S76" s="44" t="n"/>
      <c r="T76" s="44" t="n"/>
      <c r="U76" s="44" t="n"/>
      <c r="V76" s="44" t="n"/>
      <c r="W76" s="44" t="n"/>
      <c r="X76" s="44" t="n"/>
    </row>
    <row r="77" ht="15.75" customHeight="1" s="88">
      <c r="A77" s="44" t="n"/>
      <c r="B77" s="44" t="n"/>
      <c r="C77" s="44" t="n"/>
      <c r="D77" s="44" t="n"/>
      <c r="E77" s="44" t="n"/>
      <c r="F77" s="44" t="n"/>
      <c r="G77" s="44" t="n"/>
      <c r="H77" s="44" t="n"/>
      <c r="I77" s="44" t="n"/>
      <c r="J77" s="44" t="n"/>
      <c r="K77" s="44" t="n"/>
      <c r="L77" s="44" t="n"/>
      <c r="M77" s="44" t="n"/>
      <c r="N77" s="44" t="n"/>
      <c r="O77" s="44" t="n"/>
      <c r="P77" s="44" t="n"/>
      <c r="Q77" s="44" t="n"/>
      <c r="R77" s="44" t="n"/>
      <c r="S77" s="44" t="n"/>
      <c r="T77" s="44" t="n"/>
      <c r="U77" s="44" t="n"/>
      <c r="V77" s="44" t="n"/>
      <c r="W77" s="44" t="n"/>
      <c r="X77" s="44" t="n"/>
    </row>
    <row r="78" ht="15.75" customHeight="1" s="88">
      <c r="A78" s="44" t="n"/>
      <c r="B78" s="44" t="n"/>
      <c r="C78" s="44" t="n"/>
      <c r="D78" s="44" t="n"/>
      <c r="E78" s="44" t="n"/>
      <c r="F78" s="44" t="n"/>
      <c r="G78" s="44" t="n"/>
      <c r="H78" s="44" t="n"/>
      <c r="I78" s="44" t="n"/>
      <c r="J78" s="44" t="n"/>
      <c r="K78" s="44" t="n"/>
      <c r="L78" s="44" t="n"/>
      <c r="M78" s="44" t="n"/>
      <c r="N78" s="44" t="n"/>
      <c r="O78" s="44" t="n"/>
      <c r="P78" s="44" t="n"/>
      <c r="Q78" s="44" t="n"/>
      <c r="R78" s="44" t="n"/>
      <c r="S78" s="44" t="n"/>
      <c r="T78" s="44" t="n"/>
      <c r="U78" s="44" t="n"/>
      <c r="V78" s="44" t="n"/>
      <c r="W78" s="44" t="n"/>
      <c r="X78" s="44" t="n"/>
    </row>
    <row r="79" ht="15.75" customHeight="1" s="88">
      <c r="A79" s="44" t="n"/>
      <c r="B79" s="44" t="n"/>
      <c r="C79" s="44" t="n"/>
      <c r="D79" s="44" t="n"/>
      <c r="E79" s="44" t="n"/>
      <c r="F79" s="44" t="n"/>
      <c r="G79" s="44" t="n"/>
      <c r="H79" s="44" t="n"/>
      <c r="I79" s="44" t="n"/>
      <c r="J79" s="44" t="n"/>
      <c r="K79" s="44" t="n"/>
      <c r="L79" s="44" t="n"/>
      <c r="M79" s="44" t="n"/>
      <c r="N79" s="44" t="n"/>
      <c r="O79" s="44" t="n"/>
      <c r="P79" s="44" t="n"/>
      <c r="Q79" s="44" t="n"/>
      <c r="R79" s="44" t="n"/>
      <c r="S79" s="44" t="n"/>
      <c r="T79" s="44" t="n"/>
      <c r="U79" s="44" t="n"/>
      <c r="V79" s="44" t="n"/>
      <c r="W79" s="44" t="n"/>
      <c r="X79" s="44" t="n"/>
    </row>
    <row r="80" ht="15.75" customHeight="1" s="88">
      <c r="A80" s="44" t="n"/>
      <c r="B80" s="44" t="n"/>
      <c r="C80" s="44" t="n"/>
      <c r="D80" s="44" t="n"/>
      <c r="E80" s="44" t="n"/>
      <c r="F80" s="44" t="n"/>
      <c r="G80" s="44" t="n"/>
      <c r="H80" s="44" t="n"/>
      <c r="I80" s="44" t="n"/>
      <c r="J80" s="44" t="n"/>
      <c r="K80" s="44" t="n"/>
      <c r="L80" s="44" t="n"/>
      <c r="M80" s="44" t="n"/>
      <c r="N80" s="44" t="n"/>
      <c r="O80" s="44" t="n"/>
      <c r="P80" s="44" t="n"/>
      <c r="Q80" s="44" t="n"/>
      <c r="R80" s="44" t="n"/>
      <c r="S80" s="44" t="n"/>
      <c r="T80" s="44" t="n"/>
      <c r="U80" s="44" t="n"/>
      <c r="V80" s="44" t="n"/>
      <c r="W80" s="44" t="n"/>
      <c r="X80" s="44" t="n"/>
    </row>
    <row r="81" ht="15.75" customHeight="1" s="88">
      <c r="A81" s="44" t="n"/>
      <c r="B81" s="44" t="n"/>
      <c r="C81" s="44" t="n"/>
      <c r="D81" s="44" t="n"/>
      <c r="E81" s="44" t="n"/>
      <c r="F81" s="44" t="n"/>
      <c r="G81" s="44" t="n"/>
      <c r="H81" s="44" t="n"/>
      <c r="I81" s="44" t="n"/>
      <c r="J81" s="44" t="n"/>
      <c r="K81" s="44" t="n"/>
      <c r="L81" s="44" t="n"/>
      <c r="M81" s="44" t="n"/>
      <c r="N81" s="44" t="n"/>
      <c r="O81" s="44" t="n"/>
      <c r="P81" s="44" t="n"/>
      <c r="Q81" s="44" t="n"/>
      <c r="R81" s="44" t="n"/>
      <c r="S81" s="44" t="n"/>
      <c r="T81" s="44" t="n"/>
      <c r="U81" s="44" t="n"/>
      <c r="V81" s="44" t="n"/>
      <c r="W81" s="44" t="n"/>
      <c r="X81" s="44" t="n"/>
    </row>
    <row r="82" ht="15.75" customHeight="1" s="88">
      <c r="A82" s="44" t="n"/>
      <c r="B82" s="44" t="n"/>
      <c r="C82" s="44" t="n"/>
      <c r="D82" s="44" t="n"/>
      <c r="E82" s="44" t="n"/>
      <c r="F82" s="44" t="n"/>
      <c r="G82" s="44" t="n"/>
      <c r="H82" s="44" t="n"/>
      <c r="I82" s="44" t="n"/>
      <c r="J82" s="44" t="n"/>
      <c r="K82" s="44" t="n"/>
      <c r="L82" s="44" t="n"/>
      <c r="M82" s="44" t="n"/>
      <c r="N82" s="44" t="n"/>
      <c r="O82" s="44" t="n"/>
      <c r="P82" s="44" t="n"/>
      <c r="Q82" s="44" t="n"/>
      <c r="R82" s="44" t="n"/>
      <c r="S82" s="44" t="n"/>
      <c r="T82" s="44" t="n"/>
      <c r="U82" s="44" t="n"/>
      <c r="V82" s="44" t="n"/>
      <c r="W82" s="44" t="n"/>
      <c r="X82" s="44" t="n"/>
    </row>
    <row r="83" ht="15.75" customHeight="1" s="88">
      <c r="A83" s="44" t="n"/>
      <c r="B83" s="44" t="n"/>
      <c r="C83" s="44" t="n"/>
      <c r="D83" s="44" t="n"/>
      <c r="E83" s="44" t="n"/>
      <c r="F83" s="44" t="n"/>
      <c r="G83" s="44" t="n"/>
      <c r="H83" s="44" t="n"/>
      <c r="I83" s="44" t="n"/>
      <c r="J83" s="44" t="n"/>
      <c r="K83" s="44" t="n"/>
      <c r="L83" s="44" t="n"/>
      <c r="M83" s="44" t="n"/>
      <c r="N83" s="44" t="n"/>
      <c r="O83" s="44" t="n"/>
      <c r="P83" s="44" t="n"/>
      <c r="Q83" s="44" t="n"/>
      <c r="R83" s="44" t="n"/>
      <c r="S83" s="44" t="n"/>
      <c r="T83" s="44" t="n"/>
      <c r="U83" s="44" t="n"/>
      <c r="V83" s="44" t="n"/>
      <c r="W83" s="44" t="n"/>
      <c r="X83" s="44" t="n"/>
    </row>
    <row r="84" ht="15.75" customHeight="1" s="88">
      <c r="A84" s="44" t="n"/>
      <c r="B84" s="44" t="n"/>
      <c r="C84" s="44" t="n"/>
      <c r="D84" s="44" t="n"/>
      <c r="E84" s="44" t="n"/>
      <c r="F84" s="44" t="n"/>
      <c r="G84" s="44" t="n"/>
      <c r="H84" s="44" t="n"/>
      <c r="I84" s="44" t="n"/>
      <c r="J84" s="44" t="n"/>
      <c r="K84" s="44" t="n"/>
      <c r="L84" s="44" t="n"/>
      <c r="M84" s="44" t="n"/>
      <c r="N84" s="44" t="n"/>
      <c r="O84" s="44" t="n"/>
      <c r="P84" s="44" t="n"/>
      <c r="Q84" s="44" t="n"/>
      <c r="R84" s="44" t="n"/>
      <c r="S84" s="44" t="n"/>
      <c r="T84" s="44" t="n"/>
      <c r="U84" s="44" t="n"/>
      <c r="V84" s="44" t="n"/>
      <c r="W84" s="44" t="n"/>
      <c r="X84" s="44" t="n"/>
    </row>
    <row r="85" ht="15.75" customHeight="1" s="88">
      <c r="A85" s="44" t="n"/>
      <c r="B85" s="44" t="n"/>
      <c r="C85" s="44" t="n"/>
      <c r="D85" s="44" t="n"/>
      <c r="E85" s="44" t="n"/>
      <c r="F85" s="44" t="n"/>
      <c r="G85" s="44" t="n"/>
      <c r="H85" s="44" t="n"/>
      <c r="I85" s="44" t="n"/>
      <c r="J85" s="44" t="n"/>
      <c r="K85" s="44" t="n"/>
      <c r="L85" s="44" t="n"/>
      <c r="M85" s="44" t="n"/>
      <c r="N85" s="44" t="n"/>
      <c r="O85" s="44" t="n"/>
      <c r="P85" s="44" t="n"/>
      <c r="Q85" s="44" t="n"/>
      <c r="R85" s="44" t="n"/>
      <c r="S85" s="44" t="n"/>
      <c r="T85" s="44" t="n"/>
      <c r="U85" s="44" t="n"/>
      <c r="V85" s="44" t="n"/>
      <c r="W85" s="44" t="n"/>
      <c r="X85" s="44" t="n"/>
    </row>
    <row r="86" ht="15.75" customHeight="1" s="88">
      <c r="A86" s="44" t="n"/>
      <c r="B86" s="44" t="n"/>
      <c r="C86" s="44" t="n"/>
      <c r="D86" s="44" t="n"/>
      <c r="E86" s="44" t="n"/>
      <c r="F86" s="44" t="n"/>
      <c r="G86" s="44" t="n"/>
      <c r="H86" s="44" t="n"/>
      <c r="I86" s="44" t="n"/>
      <c r="J86" s="44" t="n"/>
      <c r="K86" s="44" t="n"/>
      <c r="L86" s="44" t="n"/>
      <c r="M86" s="44" t="n"/>
      <c r="N86" s="44" t="n"/>
      <c r="O86" s="44" t="n"/>
      <c r="P86" s="44" t="n"/>
      <c r="Q86" s="44" t="n"/>
      <c r="R86" s="44" t="n"/>
      <c r="S86" s="44" t="n"/>
      <c r="T86" s="44" t="n"/>
      <c r="U86" s="44" t="n"/>
      <c r="V86" s="44" t="n"/>
      <c r="W86" s="44" t="n"/>
      <c r="X86" s="44" t="n"/>
    </row>
    <row r="87" ht="15.75" customHeight="1" s="88">
      <c r="A87" s="44" t="n"/>
      <c r="B87" s="44" t="n"/>
      <c r="C87" s="44" t="n"/>
      <c r="D87" s="44" t="n"/>
      <c r="E87" s="44" t="n"/>
      <c r="F87" s="44" t="n"/>
      <c r="G87" s="44" t="n"/>
      <c r="H87" s="44" t="n"/>
      <c r="I87" s="44" t="n"/>
      <c r="J87" s="44" t="n"/>
      <c r="K87" s="44" t="n"/>
      <c r="L87" s="44" t="n"/>
      <c r="M87" s="44" t="n"/>
      <c r="N87" s="44" t="n"/>
      <c r="O87" s="44" t="n"/>
      <c r="P87" s="44" t="n"/>
      <c r="Q87" s="44" t="n"/>
      <c r="R87" s="44" t="n"/>
      <c r="S87" s="44" t="n"/>
      <c r="T87" s="44" t="n"/>
      <c r="U87" s="44" t="n"/>
      <c r="V87" s="44" t="n"/>
      <c r="W87" s="44" t="n"/>
      <c r="X87" s="44" t="n"/>
    </row>
    <row r="88" ht="15.75" customHeight="1" s="88">
      <c r="A88" s="44" t="n"/>
      <c r="B88" s="44" t="n"/>
      <c r="C88" s="44" t="n"/>
      <c r="D88" s="44" t="n"/>
      <c r="E88" s="44" t="n"/>
      <c r="F88" s="44" t="n"/>
      <c r="G88" s="44" t="n"/>
      <c r="H88" s="44" t="n"/>
      <c r="I88" s="44" t="n"/>
      <c r="J88" s="44" t="n"/>
      <c r="K88" s="44" t="n"/>
      <c r="L88" s="44" t="n"/>
      <c r="M88" s="44" t="n"/>
      <c r="N88" s="44" t="n"/>
      <c r="O88" s="44" t="n"/>
      <c r="P88" s="44" t="n"/>
      <c r="Q88" s="44" t="n"/>
      <c r="R88" s="44" t="n"/>
      <c r="S88" s="44" t="n"/>
      <c r="T88" s="44" t="n"/>
      <c r="U88" s="44" t="n"/>
      <c r="V88" s="44" t="n"/>
      <c r="W88" s="44" t="n"/>
      <c r="X88" s="44" t="n"/>
    </row>
    <row r="89" ht="15.75" customHeight="1" s="88">
      <c r="A89" s="44" t="n"/>
      <c r="B89" s="44" t="n"/>
      <c r="C89" s="44" t="n"/>
      <c r="D89" s="44" t="n"/>
      <c r="E89" s="44" t="n"/>
      <c r="F89" s="44" t="n"/>
      <c r="G89" s="44" t="n"/>
      <c r="H89" s="44" t="n"/>
      <c r="I89" s="44" t="n"/>
      <c r="J89" s="44" t="n"/>
      <c r="K89" s="44" t="n"/>
      <c r="L89" s="44" t="n"/>
      <c r="M89" s="44" t="n"/>
      <c r="N89" s="44" t="n"/>
      <c r="O89" s="44" t="n"/>
      <c r="P89" s="44" t="n"/>
      <c r="Q89" s="44" t="n"/>
      <c r="R89" s="44" t="n"/>
      <c r="S89" s="44" t="n"/>
      <c r="T89" s="44" t="n"/>
      <c r="U89" s="44" t="n"/>
      <c r="V89" s="44" t="n"/>
      <c r="W89" s="44" t="n"/>
      <c r="X89" s="44" t="n"/>
    </row>
    <row r="90" ht="15.75" customHeight="1" s="88">
      <c r="A90" s="44" t="n"/>
      <c r="B90" s="44" t="n"/>
      <c r="C90" s="44" t="n"/>
      <c r="D90" s="44" t="n"/>
      <c r="E90" s="44" t="n"/>
      <c r="F90" s="44" t="n"/>
      <c r="G90" s="44" t="n"/>
      <c r="H90" s="44" t="n"/>
      <c r="I90" s="44" t="n"/>
      <c r="J90" s="44" t="n"/>
      <c r="K90" s="44" t="n"/>
      <c r="L90" s="44" t="n"/>
      <c r="M90" s="44" t="n"/>
      <c r="N90" s="44" t="n"/>
      <c r="O90" s="44" t="n"/>
      <c r="P90" s="44" t="n"/>
      <c r="Q90" s="44" t="n"/>
      <c r="R90" s="44" t="n"/>
      <c r="S90" s="44" t="n"/>
      <c r="T90" s="44" t="n"/>
      <c r="U90" s="44" t="n"/>
      <c r="V90" s="44" t="n"/>
      <c r="W90" s="44" t="n"/>
      <c r="X90" s="44" t="n"/>
    </row>
    <row r="91" ht="15.75" customHeight="1" s="88">
      <c r="A91" s="44" t="n"/>
      <c r="B91" s="44" t="n"/>
      <c r="C91" s="44" t="n"/>
      <c r="D91" s="44" t="n"/>
      <c r="E91" s="44" t="n"/>
      <c r="F91" s="44" t="n"/>
      <c r="G91" s="44" t="n"/>
      <c r="H91" s="44" t="n"/>
      <c r="I91" s="44" t="n"/>
      <c r="J91" s="44" t="n"/>
      <c r="K91" s="44" t="n"/>
      <c r="L91" s="44" t="n"/>
      <c r="M91" s="44" t="n"/>
      <c r="N91" s="44" t="n"/>
      <c r="O91" s="44" t="n"/>
      <c r="P91" s="44" t="n"/>
      <c r="Q91" s="44" t="n"/>
      <c r="R91" s="44" t="n"/>
      <c r="S91" s="44" t="n"/>
      <c r="T91" s="44" t="n"/>
      <c r="U91" s="44" t="n"/>
      <c r="V91" s="44" t="n"/>
      <c r="W91" s="44" t="n"/>
      <c r="X91" s="44" t="n"/>
    </row>
    <row r="92" ht="15.75" customHeight="1" s="88">
      <c r="A92" s="44" t="n"/>
      <c r="B92" s="44" t="n"/>
      <c r="C92" s="44" t="n"/>
      <c r="D92" s="44" t="n"/>
      <c r="E92" s="44" t="n"/>
      <c r="F92" s="44" t="n"/>
      <c r="G92" s="44" t="n"/>
      <c r="H92" s="44" t="n"/>
      <c r="I92" s="44" t="n"/>
      <c r="J92" s="44" t="n"/>
      <c r="K92" s="44" t="n"/>
      <c r="L92" s="44" t="n"/>
      <c r="M92" s="44" t="n"/>
      <c r="N92" s="44" t="n"/>
      <c r="O92" s="44" t="n"/>
      <c r="P92" s="44" t="n"/>
      <c r="Q92" s="44" t="n"/>
      <c r="R92" s="44" t="n"/>
      <c r="S92" s="44" t="n"/>
      <c r="T92" s="44" t="n"/>
      <c r="U92" s="44" t="n"/>
      <c r="V92" s="44" t="n"/>
      <c r="W92" s="44" t="n"/>
      <c r="X92" s="44" t="n"/>
    </row>
    <row r="93" ht="15.75" customHeight="1" s="88">
      <c r="A93" s="44" t="n"/>
      <c r="B93" s="44" t="n"/>
      <c r="C93" s="44" t="n"/>
      <c r="D93" s="44" t="n"/>
      <c r="E93" s="44" t="n"/>
      <c r="F93" s="44" t="n"/>
      <c r="G93" s="44" t="n"/>
      <c r="H93" s="44" t="n"/>
      <c r="I93" s="44" t="n"/>
      <c r="J93" s="44" t="n"/>
      <c r="K93" s="44" t="n"/>
      <c r="L93" s="44" t="n"/>
      <c r="M93" s="44" t="n"/>
      <c r="N93" s="44" t="n"/>
      <c r="O93" s="44" t="n"/>
      <c r="P93" s="44" t="n"/>
      <c r="Q93" s="44" t="n"/>
      <c r="R93" s="44" t="n"/>
      <c r="S93" s="44" t="n"/>
      <c r="T93" s="44" t="n"/>
      <c r="U93" s="44" t="n"/>
      <c r="V93" s="44" t="n"/>
      <c r="W93" s="44" t="n"/>
      <c r="X93" s="44" t="n"/>
    </row>
    <row r="94" ht="15.75" customHeight="1" s="88">
      <c r="A94" s="44" t="n"/>
      <c r="B94" s="44" t="n"/>
      <c r="C94" s="44" t="n"/>
      <c r="D94" s="44" t="n"/>
      <c r="E94" s="44" t="n"/>
      <c r="F94" s="44" t="n"/>
      <c r="G94" s="44" t="n"/>
      <c r="H94" s="44" t="n"/>
      <c r="I94" s="44" t="n"/>
      <c r="J94" s="44" t="n"/>
      <c r="K94" s="44" t="n"/>
      <c r="L94" s="44" t="n"/>
      <c r="M94" s="44" t="n"/>
      <c r="N94" s="44" t="n"/>
      <c r="O94" s="44" t="n"/>
      <c r="P94" s="44" t="n"/>
      <c r="Q94" s="44" t="n"/>
      <c r="R94" s="44" t="n"/>
      <c r="S94" s="44" t="n"/>
      <c r="T94" s="44" t="n"/>
      <c r="U94" s="44" t="n"/>
      <c r="V94" s="44" t="n"/>
      <c r="W94" s="44" t="n"/>
      <c r="X94" s="44" t="n"/>
    </row>
    <row r="95" ht="15.75" customHeight="1" s="88">
      <c r="A95" s="44" t="n"/>
      <c r="B95" s="44" t="n"/>
      <c r="C95" s="44" t="n"/>
      <c r="D95" s="44" t="n"/>
      <c r="E95" s="44" t="n"/>
      <c r="F95" s="44" t="n"/>
      <c r="G95" s="44" t="n"/>
      <c r="H95" s="44" t="n"/>
      <c r="I95" s="44" t="n"/>
      <c r="J95" s="44" t="n"/>
      <c r="K95" s="44" t="n"/>
      <c r="L95" s="44" t="n"/>
      <c r="M95" s="44" t="n"/>
      <c r="N95" s="44" t="n"/>
      <c r="O95" s="44" t="n"/>
      <c r="P95" s="44" t="n"/>
      <c r="Q95" s="44" t="n"/>
      <c r="R95" s="44" t="n"/>
      <c r="S95" s="44" t="n"/>
      <c r="T95" s="44" t="n"/>
      <c r="U95" s="44" t="n"/>
      <c r="V95" s="44" t="n"/>
      <c r="W95" s="44" t="n"/>
      <c r="X95" s="44" t="n"/>
    </row>
    <row r="96" ht="15.75" customHeight="1" s="88">
      <c r="A96" s="44" t="n"/>
      <c r="B96" s="44" t="n"/>
      <c r="C96" s="44" t="n"/>
      <c r="D96" s="44" t="n"/>
      <c r="E96" s="44" t="n"/>
      <c r="F96" s="44" t="n"/>
      <c r="G96" s="44" t="n"/>
      <c r="H96" s="44" t="n"/>
      <c r="I96" s="44" t="n"/>
      <c r="J96" s="44" t="n"/>
      <c r="K96" s="44" t="n"/>
      <c r="L96" s="44" t="n"/>
      <c r="M96" s="44" t="n"/>
      <c r="N96" s="44" t="n"/>
      <c r="O96" s="44" t="n"/>
      <c r="P96" s="44" t="n"/>
      <c r="Q96" s="44" t="n"/>
      <c r="R96" s="44" t="n"/>
      <c r="S96" s="44" t="n"/>
      <c r="T96" s="44" t="n"/>
      <c r="U96" s="44" t="n"/>
      <c r="V96" s="44" t="n"/>
      <c r="W96" s="44" t="n"/>
      <c r="X96" s="44" t="n"/>
    </row>
    <row r="97" ht="15.75" customHeight="1" s="88">
      <c r="A97" s="44" t="n"/>
      <c r="B97" s="44" t="n"/>
      <c r="C97" s="44" t="n"/>
      <c r="D97" s="44" t="n"/>
      <c r="E97" s="44" t="n"/>
      <c r="F97" s="44" t="n"/>
      <c r="G97" s="44" t="n"/>
      <c r="H97" s="44" t="n"/>
      <c r="I97" s="44" t="n"/>
      <c r="J97" s="44" t="n"/>
      <c r="K97" s="44" t="n"/>
      <c r="L97" s="44" t="n"/>
      <c r="M97" s="44" t="n"/>
      <c r="N97" s="44" t="n"/>
      <c r="O97" s="44" t="n"/>
      <c r="P97" s="44" t="n"/>
      <c r="Q97" s="44" t="n"/>
      <c r="R97" s="44" t="n"/>
      <c r="S97" s="44" t="n"/>
      <c r="T97" s="44" t="n"/>
      <c r="U97" s="44" t="n"/>
      <c r="V97" s="44" t="n"/>
      <c r="W97" s="44" t="n"/>
      <c r="X97" s="44" t="n"/>
    </row>
    <row r="98" ht="15.75" customHeight="1" s="88">
      <c r="A98" s="44" t="n"/>
      <c r="B98" s="44" t="n"/>
      <c r="C98" s="44" t="n"/>
      <c r="D98" s="44" t="n"/>
      <c r="E98" s="44" t="n"/>
      <c r="F98" s="44" t="n"/>
      <c r="G98" s="44" t="n"/>
      <c r="H98" s="44" t="n"/>
      <c r="I98" s="44" t="n"/>
      <c r="J98" s="44" t="n"/>
      <c r="K98" s="44" t="n"/>
      <c r="L98" s="44" t="n"/>
      <c r="M98" s="44" t="n"/>
      <c r="N98" s="44" t="n"/>
      <c r="O98" s="44" t="n"/>
      <c r="P98" s="44" t="n"/>
      <c r="Q98" s="44" t="n"/>
      <c r="R98" s="44" t="n"/>
      <c r="S98" s="44" t="n"/>
      <c r="T98" s="44" t="n"/>
      <c r="U98" s="44" t="n"/>
      <c r="V98" s="44" t="n"/>
      <c r="W98" s="44" t="n"/>
      <c r="X98" s="44" t="n"/>
    </row>
    <row r="99" ht="15.75" customHeight="1" s="88">
      <c r="A99" s="44" t="n"/>
      <c r="B99" s="44" t="n"/>
      <c r="C99" s="44" t="n"/>
      <c r="D99" s="44" t="n"/>
      <c r="E99" s="44" t="n"/>
      <c r="F99" s="44" t="n"/>
      <c r="G99" s="44" t="n"/>
      <c r="H99" s="44" t="n"/>
      <c r="I99" s="44" t="n"/>
      <c r="J99" s="44" t="n"/>
      <c r="K99" s="44" t="n"/>
      <c r="L99" s="44" t="n"/>
      <c r="M99" s="44" t="n"/>
      <c r="N99" s="44" t="n"/>
      <c r="O99" s="44" t="n"/>
      <c r="P99" s="44" t="n"/>
      <c r="Q99" s="44" t="n"/>
      <c r="R99" s="44" t="n"/>
      <c r="S99" s="44" t="n"/>
      <c r="T99" s="44" t="n"/>
      <c r="U99" s="44" t="n"/>
      <c r="V99" s="44" t="n"/>
      <c r="W99" s="44" t="n"/>
      <c r="X99" s="44" t="n"/>
    </row>
    <row r="100" ht="15.75" customHeight="1" s="88">
      <c r="A100" s="44" t="n"/>
      <c r="B100" s="44" t="n"/>
      <c r="C100" s="44" t="n"/>
      <c r="D100" s="44" t="n"/>
      <c r="E100" s="44" t="n"/>
      <c r="F100" s="44" t="n"/>
      <c r="G100" s="44" t="n"/>
      <c r="H100" s="44" t="n"/>
      <c r="I100" s="44" t="n"/>
      <c r="J100" s="44" t="n"/>
      <c r="K100" s="44" t="n"/>
      <c r="L100" s="44" t="n"/>
      <c r="M100" s="44" t="n"/>
      <c r="N100" s="44" t="n"/>
      <c r="O100" s="44" t="n"/>
      <c r="P100" s="44" t="n"/>
      <c r="Q100" s="44" t="n"/>
      <c r="R100" s="44" t="n"/>
      <c r="S100" s="44" t="n"/>
      <c r="T100" s="44" t="n"/>
      <c r="U100" s="44" t="n"/>
      <c r="V100" s="44" t="n"/>
      <c r="W100" s="44" t="n"/>
      <c r="X100" s="44" t="n"/>
    </row>
    <row r="101" ht="15.75" customHeight="1" s="88">
      <c r="A101" s="44" t="n"/>
      <c r="B101" s="44" t="n"/>
      <c r="C101" s="44" t="n"/>
      <c r="D101" s="44" t="n"/>
      <c r="E101" s="44" t="n"/>
      <c r="F101" s="44" t="n"/>
      <c r="G101" s="44" t="n"/>
      <c r="H101" s="44" t="n"/>
      <c r="I101" s="44" t="n"/>
      <c r="J101" s="44" t="n"/>
      <c r="K101" s="44" t="n"/>
      <c r="L101" s="44" t="n"/>
      <c r="M101" s="44" t="n"/>
      <c r="N101" s="44" t="n"/>
      <c r="O101" s="44" t="n"/>
      <c r="P101" s="44" t="n"/>
      <c r="Q101" s="44" t="n"/>
      <c r="R101" s="44" t="n"/>
      <c r="S101" s="44" t="n"/>
      <c r="T101" s="44" t="n"/>
      <c r="U101" s="44" t="n"/>
      <c r="V101" s="44" t="n"/>
      <c r="W101" s="44" t="n"/>
      <c r="X101" s="44" t="n"/>
    </row>
    <row r="102" ht="15.75" customHeight="1" s="88">
      <c r="A102" s="44" t="n"/>
      <c r="B102" s="44" t="n"/>
      <c r="C102" s="44" t="n"/>
      <c r="D102" s="44" t="n"/>
      <c r="E102" s="44" t="n"/>
      <c r="F102" s="44" t="n"/>
      <c r="G102" s="44" t="n"/>
      <c r="H102" s="44" t="n"/>
      <c r="I102" s="44" t="n"/>
      <c r="J102" s="44" t="n"/>
      <c r="K102" s="44" t="n"/>
      <c r="L102" s="44" t="n"/>
      <c r="M102" s="44" t="n"/>
      <c r="N102" s="44" t="n"/>
      <c r="O102" s="44" t="n"/>
      <c r="P102" s="44" t="n"/>
      <c r="Q102" s="44" t="n"/>
      <c r="R102" s="44" t="n"/>
      <c r="S102" s="44" t="n"/>
      <c r="T102" s="44" t="n"/>
      <c r="U102" s="44" t="n"/>
      <c r="V102" s="44" t="n"/>
      <c r="W102" s="44" t="n"/>
      <c r="X102" s="44" t="n"/>
    </row>
    <row r="103" ht="15.75" customHeight="1" s="88">
      <c r="A103" s="44" t="n"/>
      <c r="B103" s="44" t="n"/>
      <c r="C103" s="44" t="n"/>
      <c r="D103" s="44" t="n"/>
      <c r="E103" s="44" t="n"/>
      <c r="F103" s="44" t="n"/>
      <c r="G103" s="44" t="n"/>
      <c r="H103" s="44" t="n"/>
      <c r="I103" s="44" t="n"/>
      <c r="J103" s="44" t="n"/>
      <c r="K103" s="44" t="n"/>
      <c r="L103" s="44" t="n"/>
      <c r="M103" s="44" t="n"/>
      <c r="N103" s="44" t="n"/>
      <c r="O103" s="44" t="n"/>
      <c r="P103" s="44" t="n"/>
      <c r="Q103" s="44" t="n"/>
      <c r="R103" s="44" t="n"/>
      <c r="S103" s="44" t="n"/>
      <c r="T103" s="44" t="n"/>
      <c r="U103" s="44" t="n"/>
      <c r="V103" s="44" t="n"/>
      <c r="W103" s="44" t="n"/>
      <c r="X103" s="44" t="n"/>
    </row>
    <row r="104" ht="15.75" customHeight="1" s="88">
      <c r="A104" s="44" t="n"/>
      <c r="B104" s="44" t="n"/>
      <c r="C104" s="44" t="n"/>
      <c r="D104" s="44" t="n"/>
      <c r="E104" s="44" t="n"/>
      <c r="F104" s="44" t="n"/>
      <c r="G104" s="44" t="n"/>
      <c r="H104" s="44" t="n"/>
      <c r="I104" s="44" t="n"/>
      <c r="J104" s="44" t="n"/>
      <c r="K104" s="44" t="n"/>
      <c r="L104" s="44" t="n"/>
      <c r="M104" s="44" t="n"/>
      <c r="N104" s="44" t="n"/>
      <c r="O104" s="44" t="n"/>
      <c r="P104" s="44" t="n"/>
      <c r="Q104" s="44" t="n"/>
      <c r="R104" s="44" t="n"/>
      <c r="S104" s="44" t="n"/>
      <c r="T104" s="44" t="n"/>
      <c r="U104" s="44" t="n"/>
      <c r="V104" s="44" t="n"/>
      <c r="W104" s="44" t="n"/>
      <c r="X104" s="44" t="n"/>
    </row>
    <row r="105" ht="15.75" customHeight="1" s="88">
      <c r="A105" s="44" t="n"/>
      <c r="B105" s="44" t="n"/>
      <c r="C105" s="44" t="n"/>
      <c r="D105" s="44" t="n"/>
      <c r="E105" s="44" t="n"/>
      <c r="F105" s="44" t="n"/>
      <c r="G105" s="44" t="n"/>
      <c r="H105" s="44" t="n"/>
      <c r="I105" s="44" t="n"/>
      <c r="J105" s="44" t="n"/>
      <c r="K105" s="44" t="n"/>
      <c r="L105" s="44" t="n"/>
      <c r="M105" s="44" t="n"/>
      <c r="N105" s="44" t="n"/>
      <c r="O105" s="44" t="n"/>
      <c r="P105" s="44" t="n"/>
      <c r="Q105" s="44" t="n"/>
      <c r="R105" s="44" t="n"/>
      <c r="S105" s="44" t="n"/>
      <c r="T105" s="44" t="n"/>
      <c r="U105" s="44" t="n"/>
      <c r="V105" s="44" t="n"/>
      <c r="W105" s="44" t="n"/>
      <c r="X105" s="44" t="n"/>
    </row>
    <row r="106" ht="15.75" customHeight="1" s="88">
      <c r="A106" s="44" t="n"/>
      <c r="B106" s="44" t="n"/>
      <c r="C106" s="44" t="n"/>
      <c r="D106" s="44" t="n"/>
      <c r="E106" s="44" t="n"/>
      <c r="F106" s="44" t="n"/>
      <c r="G106" s="44" t="n"/>
      <c r="H106" s="44" t="n"/>
      <c r="I106" s="44" t="n"/>
      <c r="J106" s="44" t="n"/>
      <c r="K106" s="44" t="n"/>
      <c r="L106" s="44" t="n"/>
      <c r="M106" s="44" t="n"/>
      <c r="N106" s="44" t="n"/>
      <c r="O106" s="44" t="n"/>
      <c r="P106" s="44" t="n"/>
      <c r="Q106" s="44" t="n"/>
      <c r="R106" s="44" t="n"/>
      <c r="S106" s="44" t="n"/>
      <c r="T106" s="44" t="n"/>
      <c r="U106" s="44" t="n"/>
      <c r="V106" s="44" t="n"/>
      <c r="W106" s="44" t="n"/>
      <c r="X106" s="44" t="n"/>
    </row>
    <row r="107" ht="15.75" customHeight="1" s="88">
      <c r="A107" s="44" t="n"/>
      <c r="B107" s="44" t="n"/>
      <c r="C107" s="44" t="n"/>
      <c r="D107" s="44" t="n"/>
      <c r="E107" s="44" t="n"/>
      <c r="F107" s="44" t="n"/>
      <c r="G107" s="44" t="n"/>
      <c r="H107" s="44" t="n"/>
      <c r="I107" s="44" t="n"/>
      <c r="J107" s="44" t="n"/>
      <c r="K107" s="44" t="n"/>
      <c r="L107" s="44" t="n"/>
      <c r="M107" s="44" t="n"/>
      <c r="N107" s="44" t="n"/>
      <c r="O107" s="44" t="n"/>
      <c r="P107" s="44" t="n"/>
      <c r="Q107" s="44" t="n"/>
      <c r="R107" s="44" t="n"/>
      <c r="S107" s="44" t="n"/>
      <c r="T107" s="44" t="n"/>
      <c r="U107" s="44" t="n"/>
      <c r="V107" s="44" t="n"/>
      <c r="W107" s="44" t="n"/>
      <c r="X107" s="44" t="n"/>
    </row>
    <row r="108" ht="15.75" customHeight="1" s="88">
      <c r="A108" s="44" t="n"/>
      <c r="B108" s="44" t="n"/>
      <c r="C108" s="44" t="n"/>
      <c r="D108" s="44" t="n"/>
      <c r="E108" s="44" t="n"/>
      <c r="F108" s="44" t="n"/>
      <c r="G108" s="44" t="n"/>
      <c r="H108" s="44" t="n"/>
      <c r="I108" s="44" t="n"/>
      <c r="J108" s="44" t="n"/>
      <c r="K108" s="44" t="n"/>
      <c r="L108" s="44" t="n"/>
      <c r="M108" s="44" t="n"/>
      <c r="N108" s="44" t="n"/>
      <c r="O108" s="44" t="n"/>
      <c r="P108" s="44" t="n"/>
      <c r="Q108" s="44" t="n"/>
      <c r="R108" s="44" t="n"/>
      <c r="S108" s="44" t="n"/>
      <c r="T108" s="44" t="n"/>
      <c r="U108" s="44" t="n"/>
      <c r="V108" s="44" t="n"/>
      <c r="W108" s="44" t="n"/>
      <c r="X108" s="44" t="n"/>
    </row>
    <row r="109" ht="15.75" customHeight="1" s="88">
      <c r="A109" s="44" t="n"/>
      <c r="B109" s="44" t="n"/>
      <c r="C109" s="44" t="n"/>
      <c r="D109" s="44" t="n"/>
      <c r="E109" s="44" t="n"/>
      <c r="F109" s="44" t="n"/>
      <c r="G109" s="44" t="n"/>
      <c r="H109" s="44" t="n"/>
      <c r="I109" s="44" t="n"/>
      <c r="J109" s="44" t="n"/>
      <c r="K109" s="44" t="n"/>
      <c r="L109" s="44" t="n"/>
      <c r="M109" s="44" t="n"/>
      <c r="N109" s="44" t="n"/>
      <c r="O109" s="44" t="n"/>
      <c r="P109" s="44" t="n"/>
      <c r="Q109" s="44" t="n"/>
      <c r="R109" s="44" t="n"/>
      <c r="S109" s="44" t="n"/>
      <c r="T109" s="44" t="n"/>
      <c r="U109" s="44" t="n"/>
      <c r="V109" s="44" t="n"/>
      <c r="W109" s="44" t="n"/>
      <c r="X109" s="44" t="n"/>
    </row>
    <row r="110" ht="15.75" customHeight="1" s="88">
      <c r="A110" s="44" t="n"/>
      <c r="B110" s="44" t="n"/>
      <c r="C110" s="44" t="n"/>
      <c r="D110" s="44" t="n"/>
      <c r="E110" s="44" t="n"/>
      <c r="F110" s="44" t="n"/>
      <c r="G110" s="44" t="n"/>
      <c r="H110" s="44" t="n"/>
      <c r="I110" s="44" t="n"/>
      <c r="J110" s="44" t="n"/>
      <c r="K110" s="44" t="n"/>
      <c r="L110" s="44" t="n"/>
      <c r="M110" s="44" t="n"/>
      <c r="N110" s="44" t="n"/>
      <c r="O110" s="44" t="n"/>
      <c r="P110" s="44" t="n"/>
      <c r="Q110" s="44" t="n"/>
      <c r="R110" s="44" t="n"/>
      <c r="S110" s="44" t="n"/>
      <c r="T110" s="44" t="n"/>
      <c r="U110" s="44" t="n"/>
      <c r="V110" s="44" t="n"/>
      <c r="W110" s="44" t="n"/>
      <c r="X110" s="44" t="n"/>
    </row>
    <row r="111" ht="15.75" customHeight="1" s="88">
      <c r="A111" s="44" t="n"/>
      <c r="B111" s="44" t="n"/>
      <c r="C111" s="44" t="n"/>
      <c r="D111" s="44" t="n"/>
      <c r="E111" s="44" t="n"/>
      <c r="F111" s="44" t="n"/>
      <c r="G111" s="44" t="n"/>
      <c r="H111" s="44" t="n"/>
      <c r="I111" s="44" t="n"/>
      <c r="J111" s="44" t="n"/>
      <c r="K111" s="44" t="n"/>
      <c r="L111" s="44" t="n"/>
      <c r="M111" s="44" t="n"/>
      <c r="N111" s="44" t="n"/>
      <c r="O111" s="44" t="n"/>
      <c r="P111" s="44" t="n"/>
      <c r="Q111" s="44" t="n"/>
      <c r="R111" s="44" t="n"/>
      <c r="S111" s="44" t="n"/>
      <c r="T111" s="44" t="n"/>
      <c r="U111" s="44" t="n"/>
      <c r="V111" s="44" t="n"/>
      <c r="W111" s="44" t="n"/>
      <c r="X111" s="44" t="n"/>
    </row>
    <row r="112" ht="15.75" customHeight="1" s="88">
      <c r="A112" s="44" t="n"/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4" t="n"/>
      <c r="N112" s="44" t="n"/>
      <c r="O112" s="44" t="n"/>
      <c r="P112" s="44" t="n"/>
      <c r="Q112" s="44" t="n"/>
      <c r="R112" s="44" t="n"/>
      <c r="S112" s="44" t="n"/>
      <c r="T112" s="44" t="n"/>
      <c r="U112" s="44" t="n"/>
      <c r="V112" s="44" t="n"/>
      <c r="W112" s="44" t="n"/>
      <c r="X112" s="44" t="n"/>
    </row>
    <row r="113" ht="15.75" customHeight="1" s="88">
      <c r="A113" s="44" t="n"/>
      <c r="B113" s="44" t="n"/>
      <c r="C113" s="44" t="n"/>
      <c r="D113" s="44" t="n"/>
      <c r="E113" s="44" t="n"/>
      <c r="F113" s="44" t="n"/>
      <c r="G113" s="44" t="n"/>
      <c r="H113" s="44" t="n"/>
      <c r="I113" s="44" t="n"/>
      <c r="J113" s="44" t="n"/>
      <c r="K113" s="44" t="n"/>
      <c r="L113" s="44" t="n"/>
      <c r="M113" s="44" t="n"/>
      <c r="N113" s="44" t="n"/>
      <c r="O113" s="44" t="n"/>
      <c r="P113" s="44" t="n"/>
      <c r="Q113" s="44" t="n"/>
      <c r="R113" s="44" t="n"/>
      <c r="S113" s="44" t="n"/>
      <c r="T113" s="44" t="n"/>
      <c r="U113" s="44" t="n"/>
      <c r="V113" s="44" t="n"/>
      <c r="W113" s="44" t="n"/>
      <c r="X113" s="44" t="n"/>
    </row>
    <row r="114" ht="15.75" customHeight="1" s="88">
      <c r="A114" s="44" t="n"/>
      <c r="B114" s="44" t="n"/>
      <c r="C114" s="44" t="n"/>
      <c r="D114" s="44" t="n"/>
      <c r="E114" s="44" t="n"/>
      <c r="F114" s="44" t="n"/>
      <c r="G114" s="44" t="n"/>
      <c r="H114" s="44" t="n"/>
      <c r="I114" s="44" t="n"/>
      <c r="J114" s="44" t="n"/>
      <c r="K114" s="44" t="n"/>
      <c r="L114" s="44" t="n"/>
      <c r="M114" s="44" t="n"/>
      <c r="N114" s="44" t="n"/>
      <c r="O114" s="44" t="n"/>
      <c r="P114" s="44" t="n"/>
      <c r="Q114" s="44" t="n"/>
      <c r="R114" s="44" t="n"/>
      <c r="S114" s="44" t="n"/>
      <c r="T114" s="44" t="n"/>
      <c r="U114" s="44" t="n"/>
      <c r="V114" s="44" t="n"/>
      <c r="W114" s="44" t="n"/>
      <c r="X114" s="44" t="n"/>
    </row>
    <row r="115" ht="15.75" customHeight="1" s="88">
      <c r="A115" s="44" t="n"/>
      <c r="B115" s="44" t="n"/>
      <c r="C115" s="44" t="n"/>
      <c r="D115" s="44" t="n"/>
      <c r="E115" s="44" t="n"/>
      <c r="F115" s="44" t="n"/>
      <c r="G115" s="44" t="n"/>
      <c r="H115" s="44" t="n"/>
      <c r="I115" s="44" t="n"/>
      <c r="J115" s="44" t="n"/>
      <c r="K115" s="44" t="n"/>
      <c r="L115" s="44" t="n"/>
      <c r="M115" s="44" t="n"/>
      <c r="N115" s="44" t="n"/>
      <c r="O115" s="44" t="n"/>
      <c r="P115" s="44" t="n"/>
      <c r="Q115" s="44" t="n"/>
      <c r="R115" s="44" t="n"/>
      <c r="S115" s="44" t="n"/>
      <c r="T115" s="44" t="n"/>
      <c r="U115" s="44" t="n"/>
      <c r="V115" s="44" t="n"/>
      <c r="W115" s="44" t="n"/>
      <c r="X115" s="44" t="n"/>
    </row>
    <row r="116" ht="15.75" customHeight="1" s="88">
      <c r="A116" s="44" t="n"/>
      <c r="B116" s="44" t="n"/>
      <c r="C116" s="44" t="n"/>
      <c r="D116" s="44" t="n"/>
      <c r="E116" s="44" t="n"/>
      <c r="F116" s="44" t="n"/>
      <c r="G116" s="44" t="n"/>
      <c r="H116" s="44" t="n"/>
      <c r="I116" s="44" t="n"/>
      <c r="J116" s="44" t="n"/>
      <c r="K116" s="44" t="n"/>
      <c r="L116" s="44" t="n"/>
      <c r="M116" s="44" t="n"/>
      <c r="N116" s="44" t="n"/>
      <c r="O116" s="44" t="n"/>
      <c r="P116" s="44" t="n"/>
      <c r="Q116" s="44" t="n"/>
      <c r="R116" s="44" t="n"/>
      <c r="S116" s="44" t="n"/>
      <c r="T116" s="44" t="n"/>
      <c r="U116" s="44" t="n"/>
      <c r="V116" s="44" t="n"/>
      <c r="W116" s="44" t="n"/>
      <c r="X116" s="44" t="n"/>
    </row>
    <row r="117" ht="15.75" customHeight="1" s="88">
      <c r="A117" s="44" t="n"/>
      <c r="B117" s="44" t="n"/>
      <c r="C117" s="44" t="n"/>
      <c r="D117" s="44" t="n"/>
      <c r="E117" s="44" t="n"/>
      <c r="F117" s="44" t="n"/>
      <c r="G117" s="44" t="n"/>
      <c r="H117" s="44" t="n"/>
      <c r="I117" s="44" t="n"/>
      <c r="J117" s="44" t="n"/>
      <c r="K117" s="44" t="n"/>
      <c r="L117" s="44" t="n"/>
      <c r="M117" s="44" t="n"/>
      <c r="N117" s="44" t="n"/>
      <c r="O117" s="44" t="n"/>
      <c r="P117" s="44" t="n"/>
      <c r="Q117" s="44" t="n"/>
      <c r="R117" s="44" t="n"/>
      <c r="S117" s="44" t="n"/>
      <c r="T117" s="44" t="n"/>
      <c r="U117" s="44" t="n"/>
      <c r="V117" s="44" t="n"/>
      <c r="W117" s="44" t="n"/>
      <c r="X117" s="44" t="n"/>
    </row>
    <row r="118" ht="15.75" customHeight="1" s="88">
      <c r="A118" s="44" t="n"/>
      <c r="B118" s="44" t="n"/>
      <c r="C118" s="44" t="n"/>
      <c r="D118" s="44" t="n"/>
      <c r="E118" s="44" t="n"/>
      <c r="F118" s="44" t="n"/>
      <c r="G118" s="44" t="n"/>
      <c r="H118" s="44" t="n"/>
      <c r="I118" s="44" t="n"/>
      <c r="J118" s="44" t="n"/>
      <c r="K118" s="44" t="n"/>
      <c r="L118" s="44" t="n"/>
      <c r="M118" s="44" t="n"/>
      <c r="N118" s="44" t="n"/>
      <c r="O118" s="44" t="n"/>
      <c r="P118" s="44" t="n"/>
      <c r="Q118" s="44" t="n"/>
      <c r="R118" s="44" t="n"/>
      <c r="S118" s="44" t="n"/>
      <c r="T118" s="44" t="n"/>
      <c r="U118" s="44" t="n"/>
      <c r="V118" s="44" t="n"/>
      <c r="W118" s="44" t="n"/>
      <c r="X118" s="44" t="n"/>
    </row>
    <row r="119" ht="15.75" customHeight="1" s="88">
      <c r="A119" s="44" t="n"/>
      <c r="B119" s="44" t="n"/>
      <c r="C119" s="44" t="n"/>
      <c r="D119" s="44" t="n"/>
      <c r="E119" s="44" t="n"/>
      <c r="F119" s="44" t="n"/>
      <c r="G119" s="44" t="n"/>
      <c r="H119" s="44" t="n"/>
      <c r="I119" s="44" t="n"/>
      <c r="J119" s="44" t="n"/>
      <c r="K119" s="44" t="n"/>
      <c r="L119" s="44" t="n"/>
      <c r="M119" s="44" t="n"/>
      <c r="N119" s="44" t="n"/>
      <c r="O119" s="44" t="n"/>
      <c r="P119" s="44" t="n"/>
      <c r="Q119" s="44" t="n"/>
      <c r="R119" s="44" t="n"/>
      <c r="S119" s="44" t="n"/>
      <c r="T119" s="44" t="n"/>
      <c r="U119" s="44" t="n"/>
      <c r="V119" s="44" t="n"/>
      <c r="W119" s="44" t="n"/>
      <c r="X119" s="44" t="n"/>
    </row>
    <row r="120" ht="15.75" customHeight="1" s="88">
      <c r="A120" s="44" t="n"/>
      <c r="B120" s="44" t="n"/>
      <c r="C120" s="44" t="n"/>
      <c r="D120" s="44" t="n"/>
      <c r="E120" s="44" t="n"/>
      <c r="F120" s="44" t="n"/>
      <c r="G120" s="44" t="n"/>
      <c r="H120" s="44" t="n"/>
      <c r="I120" s="44" t="n"/>
      <c r="J120" s="44" t="n"/>
      <c r="K120" s="44" t="n"/>
      <c r="L120" s="44" t="n"/>
      <c r="M120" s="44" t="n"/>
      <c r="N120" s="44" t="n"/>
      <c r="O120" s="44" t="n"/>
      <c r="P120" s="44" t="n"/>
      <c r="Q120" s="44" t="n"/>
      <c r="R120" s="44" t="n"/>
      <c r="S120" s="44" t="n"/>
      <c r="T120" s="44" t="n"/>
      <c r="U120" s="44" t="n"/>
      <c r="V120" s="44" t="n"/>
      <c r="W120" s="44" t="n"/>
      <c r="X120" s="44" t="n"/>
    </row>
    <row r="121" ht="15.75" customHeight="1" s="88">
      <c r="A121" s="44" t="n"/>
      <c r="B121" s="44" t="n"/>
      <c r="C121" s="44" t="n"/>
      <c r="D121" s="44" t="n"/>
      <c r="E121" s="44" t="n"/>
      <c r="F121" s="44" t="n"/>
      <c r="G121" s="44" t="n"/>
      <c r="H121" s="44" t="n"/>
      <c r="I121" s="44" t="n"/>
      <c r="J121" s="44" t="n"/>
      <c r="K121" s="44" t="n"/>
      <c r="L121" s="44" t="n"/>
      <c r="M121" s="44" t="n"/>
      <c r="N121" s="44" t="n"/>
      <c r="O121" s="44" t="n"/>
      <c r="P121" s="44" t="n"/>
      <c r="Q121" s="44" t="n"/>
      <c r="R121" s="44" t="n"/>
      <c r="S121" s="44" t="n"/>
      <c r="T121" s="44" t="n"/>
      <c r="U121" s="44" t="n"/>
      <c r="V121" s="44" t="n"/>
      <c r="W121" s="44" t="n"/>
      <c r="X121" s="44" t="n"/>
    </row>
    <row r="122" ht="15.75" customHeight="1" s="88">
      <c r="A122" s="44" t="n"/>
      <c r="B122" s="44" t="n"/>
      <c r="C122" s="44" t="n"/>
      <c r="D122" s="44" t="n"/>
      <c r="E122" s="44" t="n"/>
      <c r="F122" s="44" t="n"/>
      <c r="G122" s="44" t="n"/>
      <c r="H122" s="44" t="n"/>
      <c r="I122" s="44" t="n"/>
      <c r="J122" s="44" t="n"/>
      <c r="K122" s="44" t="n"/>
      <c r="L122" s="44" t="n"/>
      <c r="M122" s="44" t="n"/>
      <c r="N122" s="44" t="n"/>
      <c r="O122" s="44" t="n"/>
      <c r="P122" s="44" t="n"/>
      <c r="Q122" s="44" t="n"/>
      <c r="R122" s="44" t="n"/>
      <c r="S122" s="44" t="n"/>
      <c r="T122" s="44" t="n"/>
      <c r="U122" s="44" t="n"/>
      <c r="V122" s="44" t="n"/>
      <c r="W122" s="44" t="n"/>
      <c r="X122" s="44" t="n"/>
    </row>
    <row r="123" ht="15.75" customHeight="1" s="88">
      <c r="A123" s="44" t="n"/>
      <c r="B123" s="44" t="n"/>
      <c r="C123" s="44" t="n"/>
      <c r="D123" s="44" t="n"/>
      <c r="E123" s="44" t="n"/>
      <c r="F123" s="44" t="n"/>
      <c r="G123" s="44" t="n"/>
      <c r="H123" s="44" t="n"/>
      <c r="I123" s="44" t="n"/>
      <c r="J123" s="44" t="n"/>
      <c r="K123" s="44" t="n"/>
      <c r="L123" s="44" t="n"/>
      <c r="M123" s="44" t="n"/>
      <c r="N123" s="44" t="n"/>
      <c r="O123" s="44" t="n"/>
      <c r="P123" s="44" t="n"/>
      <c r="Q123" s="44" t="n"/>
      <c r="R123" s="44" t="n"/>
      <c r="S123" s="44" t="n"/>
      <c r="T123" s="44" t="n"/>
      <c r="U123" s="44" t="n"/>
      <c r="V123" s="44" t="n"/>
      <c r="W123" s="44" t="n"/>
      <c r="X123" s="44" t="n"/>
    </row>
    <row r="124" ht="15.75" customHeight="1" s="88">
      <c r="A124" s="44" t="n"/>
      <c r="B124" s="44" t="n"/>
      <c r="C124" s="44" t="n"/>
      <c r="D124" s="44" t="n"/>
      <c r="E124" s="44" t="n"/>
      <c r="F124" s="44" t="n"/>
      <c r="G124" s="44" t="n"/>
      <c r="H124" s="44" t="n"/>
      <c r="I124" s="44" t="n"/>
      <c r="J124" s="44" t="n"/>
      <c r="K124" s="44" t="n"/>
      <c r="L124" s="44" t="n"/>
      <c r="M124" s="44" t="n"/>
      <c r="N124" s="44" t="n"/>
      <c r="O124" s="44" t="n"/>
      <c r="P124" s="44" t="n"/>
      <c r="Q124" s="44" t="n"/>
      <c r="R124" s="44" t="n"/>
      <c r="S124" s="44" t="n"/>
      <c r="T124" s="44" t="n"/>
      <c r="U124" s="44" t="n"/>
      <c r="V124" s="44" t="n"/>
      <c r="W124" s="44" t="n"/>
      <c r="X124" s="44" t="n"/>
    </row>
    <row r="125" ht="15.75" customHeight="1" s="88"/>
    <row r="126" ht="15.75" customHeight="1" s="88"/>
    <row r="127" ht="15.75" customHeight="1" s="88"/>
    <row r="128" ht="15.75" customHeight="1" s="88"/>
    <row r="129" ht="15.75" customHeight="1" s="88"/>
    <row r="130" ht="15.75" customHeight="1" s="88"/>
    <row r="131" ht="15.75" customHeight="1" s="88"/>
    <row r="132" ht="15.75" customHeight="1" s="88"/>
    <row r="133" ht="15.75" customHeight="1" s="88"/>
    <row r="134" ht="15.75" customHeight="1" s="88"/>
    <row r="135" ht="15.75" customHeight="1" s="88"/>
    <row r="136" ht="15.75" customHeight="1" s="88"/>
    <row r="137" ht="15.75" customHeight="1" s="88"/>
    <row r="138" ht="15.75" customHeight="1" s="88"/>
    <row r="139" ht="15.75" customHeight="1" s="88"/>
    <row r="140" ht="15.75" customHeight="1" s="88"/>
    <row r="141" ht="15.75" customHeight="1" s="88"/>
    <row r="142" ht="15.75" customHeight="1" s="88"/>
    <row r="143" ht="15.75" customHeight="1" s="88"/>
    <row r="144" ht="15.75" customHeight="1" s="88"/>
    <row r="145" ht="15.75" customHeight="1" s="88"/>
    <row r="146" ht="15.75" customHeight="1" s="88"/>
    <row r="147" ht="15.75" customHeight="1" s="88"/>
    <row r="148" ht="15.75" customHeight="1" s="88"/>
    <row r="149" ht="15.75" customHeight="1" s="88"/>
    <row r="150" ht="15.75" customHeight="1" s="88"/>
    <row r="151" ht="15.75" customHeight="1" s="88"/>
    <row r="152" ht="15.75" customHeight="1" s="88"/>
    <row r="153" ht="15.75" customHeight="1" s="88"/>
    <row r="154" ht="15.75" customHeight="1" s="88"/>
    <row r="155" ht="15.75" customHeight="1" s="88"/>
    <row r="156" ht="15.75" customHeight="1" s="88"/>
    <row r="157" ht="15.75" customHeight="1" s="88"/>
    <row r="158" ht="15.75" customHeight="1" s="88"/>
    <row r="159" ht="15.75" customHeight="1" s="88"/>
    <row r="160" ht="15.75" customHeight="1" s="88"/>
    <row r="161" ht="15.75" customHeight="1" s="88"/>
    <row r="162" ht="15.75" customHeight="1" s="88"/>
    <row r="163" ht="15.75" customHeight="1" s="88"/>
    <row r="164" ht="15.75" customHeight="1" s="88"/>
    <row r="165" ht="15.75" customHeight="1" s="88"/>
    <row r="166" ht="15.75" customHeight="1" s="88"/>
    <row r="167" ht="15.75" customHeight="1" s="88"/>
    <row r="168" ht="15.75" customHeight="1" s="88"/>
    <row r="169" ht="15.75" customHeight="1" s="88"/>
    <row r="170" ht="15.75" customHeight="1" s="88"/>
    <row r="171" ht="15.75" customHeight="1" s="88"/>
    <row r="172" ht="15.75" customHeight="1" s="88"/>
    <row r="173" ht="15.75" customHeight="1" s="88"/>
    <row r="174" ht="15.75" customHeight="1" s="88"/>
    <row r="175" ht="15.75" customHeight="1" s="88"/>
    <row r="176" ht="15.75" customHeight="1" s="88"/>
    <row r="177" ht="15.75" customHeight="1" s="88"/>
    <row r="178" ht="15.75" customHeight="1" s="88"/>
    <row r="179" ht="15.75" customHeight="1" s="88"/>
    <row r="180" ht="15.75" customHeight="1" s="88"/>
    <row r="181" ht="15.75" customHeight="1" s="88"/>
    <row r="182" ht="15.75" customHeight="1" s="88"/>
    <row r="183" ht="15.75" customHeight="1" s="88"/>
    <row r="184" ht="15.75" customHeight="1" s="88"/>
    <row r="185" ht="15.75" customHeight="1" s="88"/>
    <row r="186" ht="15.75" customHeight="1" s="88"/>
    <row r="187" ht="15.75" customHeight="1" s="88"/>
    <row r="188" ht="15.75" customHeight="1" s="88"/>
    <row r="189" ht="15.75" customHeight="1" s="88"/>
    <row r="190" ht="15.75" customHeight="1" s="88"/>
    <row r="191" ht="15.75" customHeight="1" s="88"/>
    <row r="192" ht="15.75" customHeight="1" s="88"/>
    <row r="193" ht="15.75" customHeight="1" s="88"/>
    <row r="194" ht="15.75" customHeight="1" s="88"/>
    <row r="195" ht="15.75" customHeight="1" s="88"/>
    <row r="196" ht="15.75" customHeight="1" s="88"/>
    <row r="197" ht="15.75" customHeight="1" s="88"/>
    <row r="198" ht="15.75" customHeight="1" s="88"/>
    <row r="199" ht="15.75" customHeight="1" s="88"/>
    <row r="200" ht="15.75" customHeight="1" s="88"/>
    <row r="201" ht="15.75" customHeight="1" s="88"/>
    <row r="202" ht="15.75" customHeight="1" s="88"/>
    <row r="203" ht="15.75" customHeight="1" s="88"/>
    <row r="204" ht="15.75" customHeight="1" s="88"/>
    <row r="205" ht="15.75" customHeight="1" s="88"/>
    <row r="206" ht="15.75" customHeight="1" s="88"/>
    <row r="207" ht="15.75" customHeight="1" s="88"/>
    <row r="208" ht="15.75" customHeight="1" s="88"/>
    <row r="209" ht="15.75" customHeight="1" s="88"/>
    <row r="210" ht="15.75" customHeight="1" s="88"/>
    <row r="211" ht="15.75" customHeight="1" s="88"/>
    <row r="212" ht="15.75" customHeight="1" s="88"/>
    <row r="213" ht="15.75" customHeight="1" s="88"/>
    <row r="214" ht="15.75" customHeight="1" s="88"/>
    <row r="215" ht="15.75" customHeight="1" s="88"/>
    <row r="216" ht="15.75" customHeight="1" s="88"/>
    <row r="217" ht="15.75" customHeight="1" s="88"/>
    <row r="218" ht="15.75" customHeight="1" s="88"/>
    <row r="219" ht="15.75" customHeight="1" s="88"/>
    <row r="220" ht="15.75" customHeight="1" s="88"/>
    <row r="221" ht="15.75" customHeight="1" s="88"/>
    <row r="222" ht="15.75" customHeight="1" s="88"/>
    <row r="223" ht="15.75" customHeight="1" s="88"/>
    <row r="224" ht="15.75" customHeight="1" s="88"/>
    <row r="225" ht="15.75" customHeight="1" s="88"/>
    <row r="226" ht="15.75" customHeight="1" s="88"/>
    <row r="227" ht="15.75" customHeight="1" s="88"/>
    <row r="228" ht="15.75" customHeight="1" s="88"/>
    <row r="229" ht="15.75" customHeight="1" s="88"/>
    <row r="230" ht="15.75" customHeight="1" s="88"/>
    <row r="231" ht="15.75" customHeight="1" s="88"/>
    <row r="232" ht="15.75" customHeight="1" s="88"/>
    <row r="233" ht="15.75" customHeight="1" s="88"/>
    <row r="234" ht="15.75" customHeight="1" s="88"/>
    <row r="235" ht="15.75" customHeight="1" s="88"/>
    <row r="236" ht="15.75" customHeight="1" s="88"/>
    <row r="237" ht="15.75" customHeight="1" s="88"/>
    <row r="238" ht="15.75" customHeight="1" s="88"/>
    <row r="239" ht="15.75" customHeight="1" s="88"/>
    <row r="240" ht="15.75" customHeight="1" s="88"/>
    <row r="241" ht="15.75" customHeight="1" s="88"/>
    <row r="242" ht="15.75" customHeight="1" s="88"/>
    <row r="243" ht="15.75" customHeight="1" s="88"/>
    <row r="244" ht="15.75" customHeight="1" s="88"/>
    <row r="245" ht="15.75" customHeight="1" s="88"/>
    <row r="246" ht="15.75" customHeight="1" s="88"/>
    <row r="247" ht="15.75" customHeight="1" s="88"/>
    <row r="248" ht="15.75" customHeight="1" s="88"/>
    <row r="249" ht="15.75" customHeight="1" s="88"/>
    <row r="250" ht="15.75" customHeight="1" s="88"/>
    <row r="251" ht="15.75" customHeight="1" s="88"/>
    <row r="252" ht="15.75" customHeight="1" s="88"/>
    <row r="253" ht="15.75" customHeight="1" s="88"/>
    <row r="254" ht="15.75" customHeight="1" s="88"/>
    <row r="255" ht="15.75" customHeight="1" s="88"/>
    <row r="256" ht="15.75" customHeight="1" s="88"/>
    <row r="257" ht="15.75" customHeight="1" s="88"/>
    <row r="258" ht="15.75" customHeight="1" s="88"/>
    <row r="259" ht="15.75" customHeight="1" s="88"/>
    <row r="260" ht="15.75" customHeight="1" s="88"/>
    <row r="261" ht="15.75" customHeight="1" s="88"/>
    <row r="262" ht="15.75" customHeight="1" s="88"/>
    <row r="263" ht="15.75" customHeight="1" s="88"/>
    <row r="264" ht="15.75" customHeight="1" s="88"/>
    <row r="265" ht="15.75" customHeight="1" s="88"/>
    <row r="266" ht="15.75" customHeight="1" s="88"/>
    <row r="267" ht="15.75" customHeight="1" s="88"/>
    <row r="268" ht="15.75" customHeight="1" s="88"/>
    <row r="269" ht="15.75" customHeight="1" s="88"/>
    <row r="270" ht="15.75" customHeight="1" s="88"/>
    <row r="271" ht="15.75" customHeight="1" s="88"/>
    <row r="272" ht="15.75" customHeight="1" s="88"/>
    <row r="273" ht="15.75" customHeight="1" s="88"/>
    <row r="274" ht="15.75" customHeight="1" s="88"/>
    <row r="275" ht="15.75" customHeight="1" s="88"/>
    <row r="276" ht="15.75" customHeight="1" s="88"/>
    <row r="277" ht="15.75" customHeight="1" s="88"/>
    <row r="278" ht="15.75" customHeight="1" s="88"/>
    <row r="279" ht="15.75" customHeight="1" s="88"/>
    <row r="280" ht="15.75" customHeight="1" s="88"/>
    <row r="281" ht="15.75" customHeight="1" s="88"/>
    <row r="282" ht="15.75" customHeight="1" s="88"/>
    <row r="283" ht="15.75" customHeight="1" s="88"/>
    <row r="284" ht="15.75" customHeight="1" s="88"/>
    <row r="285" ht="15.75" customHeight="1" s="88"/>
    <row r="286" ht="15.75" customHeight="1" s="88"/>
    <row r="287" ht="15.75" customHeight="1" s="88"/>
    <row r="288" ht="15.75" customHeight="1" s="88"/>
    <row r="289" ht="15.75" customHeight="1" s="88"/>
    <row r="290" ht="15.75" customHeight="1" s="88"/>
    <row r="291" ht="15.75" customHeight="1" s="88"/>
    <row r="292" ht="15.75" customHeight="1" s="88"/>
    <row r="293" ht="15.75" customHeight="1" s="88"/>
    <row r="294" ht="15.75" customHeight="1" s="88"/>
    <row r="295" ht="15.75" customHeight="1" s="88"/>
    <row r="296" ht="15.75" customHeight="1" s="88"/>
    <row r="297" ht="15.75" customHeight="1" s="88"/>
    <row r="298" ht="15.75" customHeight="1" s="88"/>
    <row r="299" ht="15.75" customHeight="1" s="88"/>
    <row r="300" ht="15.75" customHeight="1" s="88"/>
    <row r="301" ht="15.75" customHeight="1" s="88"/>
    <row r="302" ht="15.75" customHeight="1" s="88"/>
    <row r="303" ht="15.75" customHeight="1" s="88"/>
    <row r="304" ht="15.75" customHeight="1" s="88"/>
    <row r="305" ht="15.75" customHeight="1" s="88"/>
    <row r="306" ht="15.75" customHeight="1" s="88"/>
    <row r="307" ht="15.75" customHeight="1" s="88"/>
    <row r="308" ht="15.75" customHeight="1" s="88"/>
    <row r="309" ht="15.75" customHeight="1" s="88"/>
    <row r="310" ht="15.75" customHeight="1" s="88"/>
    <row r="311" ht="15.75" customHeight="1" s="88"/>
    <row r="312" ht="15.75" customHeight="1" s="88"/>
    <row r="313" ht="15.75" customHeight="1" s="88"/>
    <row r="314" ht="15.75" customHeight="1" s="88"/>
    <row r="315" ht="15.75" customHeight="1" s="88"/>
    <row r="316" ht="15.75" customHeight="1" s="88"/>
    <row r="317" ht="15.75" customHeight="1" s="88"/>
    <row r="318" ht="15.75" customHeight="1" s="88"/>
    <row r="319" ht="15.75" customHeight="1" s="88"/>
    <row r="320" ht="15.75" customHeight="1" s="88"/>
    <row r="321" ht="15.75" customHeight="1" s="88"/>
    <row r="322" ht="15.75" customHeight="1" s="88"/>
    <row r="323" ht="15.75" customHeight="1" s="88"/>
    <row r="324" ht="15.75" customHeight="1" s="88"/>
    <row r="325" ht="15.75" customHeight="1" s="88"/>
    <row r="326" ht="15.75" customHeight="1" s="88"/>
    <row r="327" ht="15.75" customHeight="1" s="88"/>
    <row r="328" ht="15.75" customHeight="1" s="88"/>
    <row r="329" ht="15.75" customHeight="1" s="88"/>
    <row r="330" ht="15.75" customHeight="1" s="88"/>
    <row r="331" ht="15.75" customHeight="1" s="88"/>
    <row r="332" ht="15.75" customHeight="1" s="88"/>
    <row r="333" ht="15.75" customHeight="1" s="88"/>
    <row r="334" ht="15.75" customHeight="1" s="88"/>
    <row r="335" ht="15.75" customHeight="1" s="88"/>
    <row r="336" ht="15.75" customHeight="1" s="88"/>
    <row r="337" ht="15.75" customHeight="1" s="88"/>
    <row r="338" ht="15.75" customHeight="1" s="88"/>
    <row r="339" ht="15.75" customHeight="1" s="88"/>
    <row r="340" ht="15.75" customHeight="1" s="88"/>
    <row r="341" ht="15.75" customHeight="1" s="88"/>
    <row r="342" ht="15.75" customHeight="1" s="88"/>
    <row r="343" ht="15.75" customHeight="1" s="88"/>
    <row r="344" ht="15.75" customHeight="1" s="88"/>
    <row r="345" ht="15.75" customHeight="1" s="88"/>
    <row r="346" ht="15.75" customHeight="1" s="88"/>
    <row r="347" ht="15.75" customHeight="1" s="88"/>
    <row r="348" ht="15.75" customHeight="1" s="88"/>
    <row r="349" ht="15.75" customHeight="1" s="88"/>
    <row r="350" ht="15.75" customHeight="1" s="88"/>
    <row r="351" ht="15.75" customHeight="1" s="88"/>
    <row r="352" ht="15.75" customHeight="1" s="88"/>
    <row r="353" ht="15.75" customHeight="1" s="88"/>
    <row r="354" ht="15.75" customHeight="1" s="88"/>
    <row r="355" ht="15.75" customHeight="1" s="88"/>
    <row r="356" ht="15.75" customHeight="1" s="88"/>
    <row r="357" ht="15.75" customHeight="1" s="88"/>
    <row r="358" ht="15.75" customHeight="1" s="88"/>
    <row r="359" ht="15.75" customHeight="1" s="88"/>
    <row r="360" ht="15.75" customHeight="1" s="88"/>
    <row r="361" ht="15.75" customHeight="1" s="88"/>
    <row r="362" ht="15.75" customHeight="1" s="88"/>
    <row r="363" ht="15.75" customHeight="1" s="88"/>
    <row r="364" ht="15.75" customHeight="1" s="88"/>
    <row r="365" ht="15.75" customHeight="1" s="88"/>
    <row r="366" ht="15.75" customHeight="1" s="88"/>
    <row r="367" ht="15.75" customHeight="1" s="88"/>
    <row r="368" ht="15.75" customHeight="1" s="88"/>
    <row r="369" ht="15.75" customHeight="1" s="88"/>
    <row r="370" ht="15.75" customHeight="1" s="88"/>
    <row r="371" ht="15.75" customHeight="1" s="88"/>
    <row r="372" ht="15.75" customHeight="1" s="88"/>
    <row r="373" ht="15.75" customHeight="1" s="88"/>
    <row r="374" ht="15.75" customHeight="1" s="88"/>
    <row r="375" ht="15.75" customHeight="1" s="88"/>
    <row r="376" ht="15.75" customHeight="1" s="88"/>
    <row r="377" ht="15.75" customHeight="1" s="88"/>
    <row r="378" ht="15.75" customHeight="1" s="88"/>
    <row r="379" ht="15.75" customHeight="1" s="88"/>
    <row r="380" ht="15.75" customHeight="1" s="88"/>
    <row r="381" ht="15.75" customHeight="1" s="88"/>
    <row r="382" ht="15.75" customHeight="1" s="88"/>
    <row r="383" ht="15.75" customHeight="1" s="88"/>
    <row r="384" ht="15.75" customHeight="1" s="88"/>
    <row r="385" ht="15.75" customHeight="1" s="88"/>
    <row r="386" ht="15.75" customHeight="1" s="88"/>
    <row r="387" ht="15.75" customHeight="1" s="88"/>
    <row r="388" ht="15.75" customHeight="1" s="88"/>
    <row r="389" ht="15.75" customHeight="1" s="88"/>
    <row r="390" ht="15.75" customHeight="1" s="88"/>
    <row r="391" ht="15.75" customHeight="1" s="88"/>
    <row r="392" ht="15.75" customHeight="1" s="88"/>
    <row r="393" ht="15.75" customHeight="1" s="88"/>
    <row r="394" ht="15.75" customHeight="1" s="88"/>
    <row r="395" ht="15.75" customHeight="1" s="88"/>
    <row r="396" ht="15.75" customHeight="1" s="88"/>
    <row r="397" ht="15.75" customHeight="1" s="88"/>
    <row r="398" ht="15.75" customHeight="1" s="88"/>
    <row r="399" ht="15.75" customHeight="1" s="88"/>
    <row r="400" ht="15.75" customHeight="1" s="88"/>
    <row r="401" ht="15.75" customHeight="1" s="88"/>
    <row r="402" ht="15.75" customHeight="1" s="88"/>
    <row r="403" ht="15.75" customHeight="1" s="88"/>
    <row r="404" ht="15.75" customHeight="1" s="88"/>
    <row r="405" ht="15.75" customHeight="1" s="88"/>
    <row r="406" ht="15.75" customHeight="1" s="88"/>
    <row r="407" ht="15.75" customHeight="1" s="88"/>
    <row r="408" ht="15.75" customHeight="1" s="88"/>
    <row r="409" ht="15.75" customHeight="1" s="88"/>
    <row r="410" ht="15.75" customHeight="1" s="88"/>
    <row r="411" ht="15.75" customHeight="1" s="88"/>
    <row r="412" ht="15.75" customHeight="1" s="88"/>
    <row r="413" ht="15.75" customHeight="1" s="88"/>
    <row r="414" ht="15.75" customHeight="1" s="88"/>
    <row r="415" ht="15.75" customHeight="1" s="88"/>
    <row r="416" ht="15.75" customHeight="1" s="88"/>
    <row r="417" ht="15.75" customHeight="1" s="88"/>
    <row r="418" ht="15.75" customHeight="1" s="88"/>
    <row r="419" ht="15.75" customHeight="1" s="88"/>
    <row r="420" ht="15.75" customHeight="1" s="88"/>
    <row r="421" ht="15.75" customHeight="1" s="88"/>
    <row r="422" ht="15.75" customHeight="1" s="88"/>
    <row r="423" ht="15.75" customHeight="1" s="88"/>
    <row r="424" ht="15.75" customHeight="1" s="88"/>
    <row r="425" ht="15.75" customHeight="1" s="88"/>
    <row r="426" ht="15.75" customHeight="1" s="88"/>
    <row r="427" ht="15.75" customHeight="1" s="88"/>
    <row r="428" ht="15.75" customHeight="1" s="88"/>
    <row r="429" ht="15.75" customHeight="1" s="88"/>
    <row r="430" ht="15.75" customHeight="1" s="88"/>
    <row r="431" ht="15.75" customHeight="1" s="88"/>
    <row r="432" ht="15.75" customHeight="1" s="88"/>
    <row r="433" ht="15.75" customHeight="1" s="88"/>
    <row r="434" ht="15.75" customHeight="1" s="88"/>
    <row r="435" ht="15.75" customHeight="1" s="88"/>
    <row r="436" ht="15.75" customHeight="1" s="88"/>
    <row r="437" ht="15.75" customHeight="1" s="88"/>
    <row r="438" ht="15.75" customHeight="1" s="88"/>
    <row r="439" ht="15.75" customHeight="1" s="88"/>
    <row r="440" ht="15.75" customHeight="1" s="88"/>
    <row r="441" ht="15.75" customHeight="1" s="88"/>
    <row r="442" ht="15.75" customHeight="1" s="88"/>
    <row r="443" ht="15.75" customHeight="1" s="88"/>
    <row r="444" ht="15.75" customHeight="1" s="88"/>
    <row r="445" ht="15.75" customHeight="1" s="88"/>
    <row r="446" ht="15.75" customHeight="1" s="88"/>
    <row r="447" ht="15.75" customHeight="1" s="88"/>
    <row r="448" ht="15.75" customHeight="1" s="88"/>
    <row r="449" ht="15.75" customHeight="1" s="88"/>
    <row r="450" ht="15.75" customHeight="1" s="88"/>
    <row r="451" ht="15.75" customHeight="1" s="88"/>
    <row r="452" ht="15.75" customHeight="1" s="88"/>
    <row r="453" ht="15.75" customHeight="1" s="88"/>
    <row r="454" ht="15.75" customHeight="1" s="88"/>
    <row r="455" ht="15.75" customHeight="1" s="88"/>
    <row r="456" ht="15.75" customHeight="1" s="88"/>
    <row r="457" ht="15.75" customHeight="1" s="88"/>
    <row r="458" ht="15.75" customHeight="1" s="88"/>
    <row r="459" ht="15.75" customHeight="1" s="88"/>
    <row r="460" ht="15.75" customHeight="1" s="88"/>
    <row r="461" ht="15.75" customHeight="1" s="88"/>
    <row r="462" ht="15.75" customHeight="1" s="88"/>
    <row r="463" ht="15.75" customHeight="1" s="88"/>
    <row r="464" ht="15.75" customHeight="1" s="88"/>
    <row r="465" ht="15.75" customHeight="1" s="88"/>
    <row r="466" ht="15.75" customHeight="1" s="88"/>
    <row r="467" ht="15.75" customHeight="1" s="88"/>
    <row r="468" ht="15.75" customHeight="1" s="88"/>
    <row r="469" ht="15.75" customHeight="1" s="88"/>
    <row r="470" ht="15.75" customHeight="1" s="88"/>
    <row r="471" ht="15.75" customHeight="1" s="88"/>
    <row r="472" ht="15.75" customHeight="1" s="88"/>
    <row r="473" ht="15.75" customHeight="1" s="88"/>
    <row r="474" ht="15.75" customHeight="1" s="88"/>
    <row r="475" ht="15.75" customHeight="1" s="88"/>
    <row r="476" ht="15.75" customHeight="1" s="88"/>
    <row r="477" ht="15.75" customHeight="1" s="88"/>
    <row r="478" ht="15.75" customHeight="1" s="88"/>
    <row r="479" ht="15.75" customHeight="1" s="88"/>
    <row r="480" ht="15.75" customHeight="1" s="88"/>
    <row r="481" ht="15.75" customHeight="1" s="88"/>
    <row r="482" ht="15.75" customHeight="1" s="88"/>
    <row r="483" ht="15.75" customHeight="1" s="88"/>
    <row r="484" ht="15.75" customHeight="1" s="88"/>
    <row r="485" ht="15.75" customHeight="1" s="88"/>
    <row r="486" ht="15.75" customHeight="1" s="88"/>
    <row r="487" ht="15.75" customHeight="1" s="88"/>
    <row r="488" ht="15.75" customHeight="1" s="88"/>
    <row r="489" ht="15.75" customHeight="1" s="88"/>
    <row r="490" ht="15.75" customHeight="1" s="88"/>
    <row r="491" ht="15.75" customHeight="1" s="88"/>
    <row r="492" ht="15.75" customHeight="1" s="88"/>
    <row r="493" ht="15.75" customHeight="1" s="88"/>
    <row r="494" ht="15.75" customHeight="1" s="88"/>
    <row r="495" ht="15.75" customHeight="1" s="88"/>
    <row r="496" ht="15.75" customHeight="1" s="88"/>
    <row r="497" ht="15.75" customHeight="1" s="88"/>
    <row r="498" ht="15.75" customHeight="1" s="88"/>
    <row r="499" ht="15.75" customHeight="1" s="88"/>
    <row r="500" ht="15.75" customHeight="1" s="88"/>
    <row r="501" ht="15.75" customHeight="1" s="88"/>
    <row r="502" ht="15.75" customHeight="1" s="88"/>
    <row r="503" ht="15.75" customHeight="1" s="88"/>
    <row r="504" ht="15.75" customHeight="1" s="88"/>
    <row r="505" ht="15.75" customHeight="1" s="88"/>
    <row r="506" ht="15.75" customHeight="1" s="88"/>
    <row r="507" ht="15.75" customHeight="1" s="88"/>
    <row r="508" ht="15.75" customHeight="1" s="88"/>
    <row r="509" ht="15.75" customHeight="1" s="88"/>
    <row r="510" ht="15.75" customHeight="1" s="88"/>
    <row r="511" ht="15.75" customHeight="1" s="88"/>
    <row r="512" ht="15.75" customHeight="1" s="88"/>
    <row r="513" ht="15.75" customHeight="1" s="88"/>
    <row r="514" ht="15.75" customHeight="1" s="88"/>
    <row r="515" ht="15.75" customHeight="1" s="88"/>
    <row r="516" ht="15.75" customHeight="1" s="88"/>
    <row r="517" ht="15.75" customHeight="1" s="88"/>
    <row r="518" ht="15.75" customHeight="1" s="88"/>
    <row r="519" ht="15.75" customHeight="1" s="88"/>
    <row r="520" ht="15.75" customHeight="1" s="88"/>
    <row r="521" ht="15.75" customHeight="1" s="88"/>
    <row r="522" ht="15.75" customHeight="1" s="88"/>
    <row r="523" ht="15.75" customHeight="1" s="88"/>
    <row r="524" ht="15.75" customHeight="1" s="88"/>
    <row r="525" ht="15.75" customHeight="1" s="88"/>
    <row r="526" ht="15.75" customHeight="1" s="88"/>
    <row r="527" ht="15.75" customHeight="1" s="88"/>
    <row r="528" ht="15.75" customHeight="1" s="88"/>
    <row r="529" ht="15.75" customHeight="1" s="88"/>
    <row r="530" ht="15.75" customHeight="1" s="88"/>
    <row r="531" ht="15.75" customHeight="1" s="88"/>
    <row r="532" ht="15.75" customHeight="1" s="88"/>
    <row r="533" ht="15.75" customHeight="1" s="88"/>
    <row r="534" ht="15.75" customHeight="1" s="88"/>
    <row r="535" ht="15.75" customHeight="1" s="88"/>
    <row r="536" ht="15.75" customHeight="1" s="88"/>
    <row r="537" ht="15.75" customHeight="1" s="88"/>
    <row r="538" ht="15.75" customHeight="1" s="88"/>
    <row r="539" ht="15.75" customHeight="1" s="88"/>
    <row r="540" ht="15.75" customHeight="1" s="88"/>
    <row r="541" ht="15.75" customHeight="1" s="88"/>
    <row r="542" ht="15.75" customHeight="1" s="88"/>
    <row r="543" ht="15.75" customHeight="1" s="88"/>
    <row r="544" ht="15.75" customHeight="1" s="88"/>
    <row r="545" ht="15.75" customHeight="1" s="88"/>
    <row r="546" ht="15.75" customHeight="1" s="88"/>
    <row r="547" ht="15.75" customHeight="1" s="88"/>
    <row r="548" ht="15.75" customHeight="1" s="88"/>
    <row r="549" ht="15.75" customHeight="1" s="88"/>
    <row r="550" ht="15.75" customHeight="1" s="88"/>
    <row r="551" ht="15.75" customHeight="1" s="88"/>
    <row r="552" ht="15.75" customHeight="1" s="88"/>
    <row r="553" ht="15.75" customHeight="1" s="88"/>
    <row r="554" ht="15.75" customHeight="1" s="88"/>
    <row r="555" ht="15.75" customHeight="1" s="88"/>
    <row r="556" ht="15.75" customHeight="1" s="88"/>
    <row r="557" ht="15.75" customHeight="1" s="88"/>
    <row r="558" ht="15.75" customHeight="1" s="88"/>
    <row r="559" ht="15.75" customHeight="1" s="88"/>
    <row r="560" ht="15.75" customHeight="1" s="88"/>
    <row r="561" ht="15.75" customHeight="1" s="88"/>
    <row r="562" ht="15.75" customHeight="1" s="88"/>
    <row r="563" ht="15.75" customHeight="1" s="88"/>
    <row r="564" ht="15.75" customHeight="1" s="88"/>
    <row r="565" ht="15.75" customHeight="1" s="88"/>
    <row r="566" ht="15.75" customHeight="1" s="88"/>
    <row r="567" ht="15.75" customHeight="1" s="88"/>
    <row r="568" ht="15.75" customHeight="1" s="88"/>
    <row r="569" ht="15.75" customHeight="1" s="88"/>
    <row r="570" ht="15.75" customHeight="1" s="88"/>
    <row r="571" ht="15.75" customHeight="1" s="88"/>
    <row r="572" ht="15.75" customHeight="1" s="88"/>
    <row r="573" ht="15.75" customHeight="1" s="88"/>
    <row r="574" ht="15.75" customHeight="1" s="88"/>
    <row r="575" ht="15.75" customHeight="1" s="88"/>
    <row r="576" ht="15.75" customHeight="1" s="88"/>
    <row r="577" ht="15.75" customHeight="1" s="88"/>
    <row r="578" ht="15.75" customHeight="1" s="88"/>
    <row r="579" ht="15.75" customHeight="1" s="88"/>
    <row r="580" ht="15.75" customHeight="1" s="88"/>
    <row r="581" ht="15.75" customHeight="1" s="88"/>
    <row r="582" ht="15.75" customHeight="1" s="88"/>
    <row r="583" ht="15.75" customHeight="1" s="88"/>
    <row r="584" ht="15.75" customHeight="1" s="88"/>
    <row r="585" ht="15.75" customHeight="1" s="88"/>
    <row r="586" ht="15.75" customHeight="1" s="88"/>
    <row r="587" ht="15.75" customHeight="1" s="88"/>
    <row r="588" ht="15.75" customHeight="1" s="88"/>
    <row r="589" ht="15.75" customHeight="1" s="88"/>
    <row r="590" ht="15.75" customHeight="1" s="88"/>
    <row r="591" ht="15.75" customHeight="1" s="88"/>
    <row r="592" ht="15.75" customHeight="1" s="88"/>
    <row r="593" ht="15.75" customHeight="1" s="88"/>
    <row r="594" ht="15.75" customHeight="1" s="88"/>
    <row r="595" ht="15.75" customHeight="1" s="88"/>
    <row r="596" ht="15.75" customHeight="1" s="88"/>
    <row r="597" ht="15.75" customHeight="1" s="88"/>
    <row r="598" ht="15.75" customHeight="1" s="88"/>
    <row r="599" ht="15.75" customHeight="1" s="88"/>
    <row r="600" ht="15.75" customHeight="1" s="88"/>
    <row r="601" ht="15.75" customHeight="1" s="88"/>
    <row r="602" ht="15.75" customHeight="1" s="88"/>
    <row r="603" ht="15.75" customHeight="1" s="88"/>
    <row r="604" ht="15.75" customHeight="1" s="88"/>
    <row r="605" ht="15.75" customHeight="1" s="88"/>
    <row r="606" ht="15.75" customHeight="1" s="88"/>
    <row r="607" ht="15.75" customHeight="1" s="88"/>
    <row r="608" ht="15.75" customHeight="1" s="88"/>
    <row r="609" ht="15.75" customHeight="1" s="88"/>
    <row r="610" ht="15.75" customHeight="1" s="88"/>
    <row r="611" ht="15.75" customHeight="1" s="88"/>
    <row r="612" ht="15.75" customHeight="1" s="88"/>
    <row r="613" ht="15.75" customHeight="1" s="88"/>
    <row r="614" ht="15.75" customHeight="1" s="88"/>
    <row r="615" ht="15.75" customHeight="1" s="88"/>
    <row r="616" ht="15.75" customHeight="1" s="88"/>
    <row r="617" ht="15.75" customHeight="1" s="88"/>
    <row r="618" ht="15.75" customHeight="1" s="88"/>
    <row r="619" ht="15.75" customHeight="1" s="88"/>
    <row r="620" ht="15.75" customHeight="1" s="88"/>
    <row r="621" ht="15.75" customHeight="1" s="88"/>
    <row r="622" ht="15.75" customHeight="1" s="88"/>
    <row r="623" ht="15.75" customHeight="1" s="88"/>
    <row r="624" ht="15.75" customHeight="1" s="88"/>
    <row r="625" ht="15.75" customHeight="1" s="88"/>
    <row r="626" ht="15.75" customHeight="1" s="88"/>
    <row r="627" ht="15.75" customHeight="1" s="88"/>
    <row r="628" ht="15.75" customHeight="1" s="88"/>
    <row r="629" ht="15.75" customHeight="1" s="88"/>
    <row r="630" ht="15.75" customHeight="1" s="88"/>
    <row r="631" ht="15.75" customHeight="1" s="88"/>
    <row r="632" ht="15.75" customHeight="1" s="88"/>
    <row r="633" ht="15.75" customHeight="1" s="88"/>
    <row r="634" ht="15.75" customHeight="1" s="88"/>
    <row r="635" ht="15.75" customHeight="1" s="88"/>
    <row r="636" ht="15.75" customHeight="1" s="88"/>
    <row r="637" ht="15.75" customHeight="1" s="88"/>
    <row r="638" ht="15.75" customHeight="1" s="88"/>
    <row r="639" ht="15.75" customHeight="1" s="88"/>
    <row r="640" ht="15.75" customHeight="1" s="88"/>
    <row r="641" ht="15.75" customHeight="1" s="88"/>
    <row r="642" ht="15.75" customHeight="1" s="88"/>
    <row r="643" ht="15.75" customHeight="1" s="88"/>
    <row r="644" ht="15.75" customHeight="1" s="88"/>
    <row r="645" ht="15.75" customHeight="1" s="88"/>
    <row r="646" ht="15.75" customHeight="1" s="88"/>
    <row r="647" ht="15.75" customHeight="1" s="88"/>
    <row r="648" ht="15.75" customHeight="1" s="88"/>
    <row r="649" ht="15.75" customHeight="1" s="88"/>
    <row r="650" ht="15.75" customHeight="1" s="88"/>
    <row r="651" ht="15.75" customHeight="1" s="88"/>
    <row r="652" ht="15.75" customHeight="1" s="88"/>
    <row r="653" ht="15.75" customHeight="1" s="88"/>
    <row r="654" ht="15.75" customHeight="1" s="88"/>
    <row r="655" ht="15.75" customHeight="1" s="88"/>
    <row r="656" ht="15.75" customHeight="1" s="88"/>
    <row r="657" ht="15.75" customHeight="1" s="88"/>
    <row r="658" ht="15.75" customHeight="1" s="88"/>
    <row r="659" ht="15.75" customHeight="1" s="88"/>
    <row r="660" ht="15.75" customHeight="1" s="88"/>
    <row r="661" ht="15.75" customHeight="1" s="88"/>
    <row r="662" ht="15.75" customHeight="1" s="88"/>
    <row r="663" ht="15.75" customHeight="1" s="88"/>
    <row r="664" ht="15.75" customHeight="1" s="88"/>
    <row r="665" ht="15.75" customHeight="1" s="88"/>
    <row r="666" ht="15.75" customHeight="1" s="88"/>
    <row r="667" ht="15.75" customHeight="1" s="88"/>
    <row r="668" ht="15.75" customHeight="1" s="88"/>
    <row r="669" ht="15.75" customHeight="1" s="88"/>
    <row r="670" ht="15.75" customHeight="1" s="88"/>
    <row r="671" ht="15.75" customHeight="1" s="88"/>
    <row r="672" ht="15.75" customHeight="1" s="88"/>
    <row r="673" ht="15.75" customHeight="1" s="88"/>
    <row r="674" ht="15.75" customHeight="1" s="88"/>
    <row r="675" ht="15.75" customHeight="1" s="88"/>
    <row r="676" ht="15.75" customHeight="1" s="88"/>
    <row r="677" ht="15.75" customHeight="1" s="88"/>
    <row r="678" ht="15.75" customHeight="1" s="88"/>
    <row r="679" ht="15.75" customHeight="1" s="88"/>
    <row r="680" ht="15.75" customHeight="1" s="88"/>
    <row r="681" ht="15.75" customHeight="1" s="88"/>
    <row r="682" ht="15.75" customHeight="1" s="88"/>
    <row r="683" ht="15.75" customHeight="1" s="88"/>
    <row r="684" ht="15.75" customHeight="1" s="88"/>
    <row r="685" ht="15.75" customHeight="1" s="88"/>
    <row r="686" ht="15.75" customHeight="1" s="88"/>
    <row r="687" ht="15.75" customHeight="1" s="88"/>
    <row r="688" ht="15.75" customHeight="1" s="88"/>
    <row r="689" ht="15.75" customHeight="1" s="88"/>
    <row r="690" ht="15.75" customHeight="1" s="88"/>
    <row r="691" ht="15.75" customHeight="1" s="88"/>
    <row r="692" ht="15.75" customHeight="1" s="88"/>
    <row r="693" ht="15.75" customHeight="1" s="88"/>
    <row r="694" ht="15.75" customHeight="1" s="88"/>
    <row r="695" ht="15.75" customHeight="1" s="88"/>
    <row r="696" ht="15.75" customHeight="1" s="88"/>
    <row r="697" ht="15.75" customHeight="1" s="88"/>
    <row r="698" ht="15.75" customHeight="1" s="88"/>
    <row r="699" ht="15.75" customHeight="1" s="88"/>
    <row r="700" ht="15.75" customHeight="1" s="88"/>
    <row r="701" ht="15.75" customHeight="1" s="88"/>
    <row r="702" ht="15.75" customHeight="1" s="88"/>
    <row r="703" ht="15.75" customHeight="1" s="88"/>
    <row r="704" ht="15.75" customHeight="1" s="88"/>
    <row r="705" ht="15.75" customHeight="1" s="88"/>
    <row r="706" ht="15.75" customHeight="1" s="88"/>
    <row r="707" ht="15.75" customHeight="1" s="88"/>
    <row r="708" ht="15.75" customHeight="1" s="88"/>
    <row r="709" ht="15.75" customHeight="1" s="88"/>
    <row r="710" ht="15.75" customHeight="1" s="88"/>
    <row r="711" ht="15.75" customHeight="1" s="88"/>
    <row r="712" ht="15.75" customHeight="1" s="88"/>
    <row r="713" ht="15.75" customHeight="1" s="88"/>
    <row r="714" ht="15.75" customHeight="1" s="88"/>
    <row r="715" ht="15.75" customHeight="1" s="88"/>
    <row r="716" ht="15.75" customHeight="1" s="88"/>
    <row r="717" ht="15.75" customHeight="1" s="88"/>
    <row r="718" ht="15.75" customHeight="1" s="88"/>
    <row r="719" ht="15.75" customHeight="1" s="88"/>
    <row r="720" ht="15.75" customHeight="1" s="88"/>
    <row r="721" ht="15.75" customHeight="1" s="88"/>
    <row r="722" ht="15.75" customHeight="1" s="88"/>
    <row r="723" ht="15.75" customHeight="1" s="88"/>
    <row r="724" ht="15.75" customHeight="1" s="88"/>
    <row r="725" ht="15.75" customHeight="1" s="88"/>
    <row r="726" ht="15.75" customHeight="1" s="88"/>
    <row r="727" ht="15.75" customHeight="1" s="88"/>
    <row r="728" ht="15.75" customHeight="1" s="88"/>
    <row r="729" ht="15.75" customHeight="1" s="88"/>
    <row r="730" ht="15.75" customHeight="1" s="88"/>
    <row r="731" ht="15.75" customHeight="1" s="88"/>
    <row r="732" ht="15.75" customHeight="1" s="88"/>
    <row r="733" ht="15.75" customHeight="1" s="88"/>
    <row r="734" ht="15.75" customHeight="1" s="88"/>
    <row r="735" ht="15.75" customHeight="1" s="88"/>
    <row r="736" ht="15.75" customHeight="1" s="88"/>
    <row r="737" ht="15.75" customHeight="1" s="88"/>
    <row r="738" ht="15.75" customHeight="1" s="88"/>
    <row r="739" ht="15.75" customHeight="1" s="88"/>
    <row r="740" ht="15.75" customHeight="1" s="88"/>
    <row r="741" ht="15.75" customHeight="1" s="88"/>
    <row r="742" ht="15.75" customHeight="1" s="88"/>
    <row r="743" ht="15.75" customHeight="1" s="88"/>
    <row r="744" ht="15.75" customHeight="1" s="88"/>
    <row r="745" ht="15.75" customHeight="1" s="88"/>
    <row r="746" ht="15.75" customHeight="1" s="88"/>
    <row r="747" ht="15.75" customHeight="1" s="88"/>
    <row r="748" ht="15.75" customHeight="1" s="88"/>
    <row r="749" ht="15.75" customHeight="1" s="88"/>
    <row r="750" ht="15.75" customHeight="1" s="88"/>
    <row r="751" ht="15.75" customHeight="1" s="88"/>
    <row r="752" ht="15.75" customHeight="1" s="88"/>
    <row r="753" ht="15.75" customHeight="1" s="88"/>
    <row r="754" ht="15.75" customHeight="1" s="88"/>
    <row r="755" ht="15.75" customHeight="1" s="88"/>
    <row r="756" ht="15.75" customHeight="1" s="88"/>
    <row r="757" ht="15.75" customHeight="1" s="88"/>
    <row r="758" ht="15.75" customHeight="1" s="88"/>
    <row r="759" ht="15.75" customHeight="1" s="88"/>
    <row r="760" ht="15.75" customHeight="1" s="88"/>
    <row r="761" ht="15.75" customHeight="1" s="88"/>
    <row r="762" ht="15.75" customHeight="1" s="88"/>
    <row r="763" ht="15.75" customHeight="1" s="88"/>
    <row r="764" ht="15.75" customHeight="1" s="88"/>
    <row r="765" ht="15.75" customHeight="1" s="88"/>
    <row r="766" ht="15.75" customHeight="1" s="88"/>
    <row r="767" ht="15.75" customHeight="1" s="88"/>
    <row r="768" ht="15.75" customHeight="1" s="88"/>
    <row r="769" ht="15.75" customHeight="1" s="88"/>
    <row r="770" ht="15.75" customHeight="1" s="88"/>
    <row r="771" ht="15.75" customHeight="1" s="88"/>
    <row r="772" ht="15.75" customHeight="1" s="88"/>
    <row r="773" ht="15.75" customHeight="1" s="88"/>
    <row r="774" ht="15.75" customHeight="1" s="88"/>
    <row r="775" ht="15.75" customHeight="1" s="88"/>
    <row r="776" ht="15.75" customHeight="1" s="88"/>
    <row r="777" ht="15.75" customHeight="1" s="88"/>
    <row r="778" ht="15.75" customHeight="1" s="88"/>
    <row r="779" ht="15.75" customHeight="1" s="88"/>
    <row r="780" ht="15.75" customHeight="1" s="88"/>
    <row r="781" ht="15.75" customHeight="1" s="88"/>
    <row r="782" ht="15.75" customHeight="1" s="88"/>
    <row r="783" ht="15.75" customHeight="1" s="88"/>
    <row r="784" ht="15.75" customHeight="1" s="88"/>
    <row r="785" ht="15.75" customHeight="1" s="88"/>
    <row r="786" ht="15.75" customHeight="1" s="88"/>
    <row r="787" ht="15.75" customHeight="1" s="88"/>
    <row r="788" ht="15.75" customHeight="1" s="88"/>
    <row r="789" ht="15.75" customHeight="1" s="88"/>
    <row r="790" ht="15.75" customHeight="1" s="88"/>
    <row r="791" ht="15.75" customHeight="1" s="88"/>
    <row r="792" ht="15.75" customHeight="1" s="88"/>
    <row r="793" ht="15.75" customHeight="1" s="88"/>
    <row r="794" ht="15.75" customHeight="1" s="88"/>
    <row r="795" ht="15.75" customHeight="1" s="88"/>
    <row r="796" ht="15.75" customHeight="1" s="88"/>
    <row r="797" ht="15.75" customHeight="1" s="88"/>
    <row r="798" ht="15.75" customHeight="1" s="88"/>
    <row r="799" ht="15.75" customHeight="1" s="88"/>
    <row r="800" ht="15.75" customHeight="1" s="88"/>
    <row r="801" ht="15.75" customHeight="1" s="88"/>
    <row r="802" ht="15.75" customHeight="1" s="88"/>
    <row r="803" ht="15.75" customHeight="1" s="88"/>
    <row r="804" ht="15.75" customHeight="1" s="88"/>
    <row r="805" ht="15.75" customHeight="1" s="88"/>
    <row r="806" ht="15.75" customHeight="1" s="88"/>
    <row r="807" ht="15.75" customHeight="1" s="88"/>
    <row r="808" ht="15.75" customHeight="1" s="88"/>
    <row r="809" ht="15.75" customHeight="1" s="88"/>
    <row r="810" ht="15.75" customHeight="1" s="88"/>
    <row r="811" ht="15.75" customHeight="1" s="88"/>
    <row r="812" ht="15.75" customHeight="1" s="88"/>
    <row r="813" ht="15.75" customHeight="1" s="88"/>
    <row r="814" ht="15.75" customHeight="1" s="88"/>
    <row r="815" ht="15.75" customHeight="1" s="88"/>
    <row r="816" ht="15.75" customHeight="1" s="88"/>
    <row r="817" ht="15.75" customHeight="1" s="88"/>
    <row r="818" ht="15.75" customHeight="1" s="88"/>
    <row r="819" ht="15.75" customHeight="1" s="88"/>
    <row r="820" ht="15.75" customHeight="1" s="88"/>
  </sheetData>
  <mergeCells count="16">
    <mergeCell ref="D4:Q4"/>
    <mergeCell ref="A3:R3"/>
    <mergeCell ref="N5:N6"/>
    <mergeCell ref="O5:O6"/>
    <mergeCell ref="E5:E6"/>
    <mergeCell ref="A4:A6"/>
    <mergeCell ref="R4:R5"/>
    <mergeCell ref="G5:G6"/>
    <mergeCell ref="B4:B6"/>
    <mergeCell ref="J5:J6"/>
    <mergeCell ref="A2:R2"/>
    <mergeCell ref="A1:R1"/>
    <mergeCell ref="F5:F6"/>
    <mergeCell ref="K5:K6"/>
    <mergeCell ref="I5:I6"/>
    <mergeCell ref="M5:M6"/>
  </mergeCells>
  <conditionalFormatting sqref="E7:G36 M7:O36">
    <cfRule type="cellIs" priority="1" operator="equal" dxfId="2">
      <formula>0</formula>
    </cfRule>
  </conditionalFormatting>
  <conditionalFormatting sqref="I7:K36">
    <cfRule type="cellIs" priority="5" operator="equal" dxfId="2">
      <formula>0</formula>
    </cfRule>
  </conditionalFormatting>
  <conditionalFormatting sqref="U7:U36">
    <cfRule type="cellIs" priority="2" operator="greaterThan" dxfId="0">
      <formula>14</formula>
    </cfRule>
  </conditionalFormatting>
  <pageMargins left="0.7" right="0.7" top="0.75" bottom="0.75" header="0" footer="0"/>
  <pageSetup orientation="landscape" paperSize="9"/>
  <rowBreaks count="1" manualBreakCount="1">
    <brk id="35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94"/>
  <sheetViews>
    <sheetView topLeftCell="A21" workbookViewId="0">
      <selection activeCell="C30" sqref="C30"/>
    </sheetView>
  </sheetViews>
  <sheetFormatPr baseColWidth="8" defaultColWidth="12.59765625" defaultRowHeight="15" customHeight="1"/>
  <cols>
    <col width="8.8984375" customWidth="1" style="88" min="1" max="1"/>
    <col width="12.69921875" customWidth="1" style="88" min="2" max="2"/>
    <col width="27.8984375" customWidth="1" style="88" min="3" max="3"/>
    <col width="9.19921875" customWidth="1" style="88" min="4" max="4"/>
    <col width="10.8984375" customWidth="1" style="88" min="5" max="5"/>
    <col width="8.8984375" customWidth="1" style="88" min="6" max="25"/>
    <col width="12.69921875" customWidth="1" style="88" min="26" max="26"/>
  </cols>
  <sheetData>
    <row r="1" ht="21" customHeight="1" s="88">
      <c r="A1" s="119" t="inlineStr">
        <is>
          <t>Marks and Gap Analysis of Mid-Term 1</t>
        </is>
      </c>
      <c r="B1" s="131" t="n"/>
      <c r="C1" s="131" t="n"/>
      <c r="D1" s="131" t="n"/>
      <c r="E1" s="131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  <c r="O1" s="50" t="n"/>
      <c r="P1" s="50" t="n"/>
      <c r="Q1" s="50" t="n"/>
      <c r="R1" s="50" t="n"/>
      <c r="S1" s="50" t="n"/>
      <c r="T1" s="50" t="n"/>
      <c r="U1" s="50" t="n"/>
      <c r="V1" s="50" t="n"/>
      <c r="W1" s="50" t="n"/>
      <c r="X1" s="50" t="n"/>
      <c r="Y1" s="50" t="n"/>
      <c r="Z1" s="50" t="n"/>
    </row>
    <row r="2" ht="69" customHeight="1" s="88" thickBot="1">
      <c r="A2" s="59" t="inlineStr">
        <is>
          <t>Sr. No</t>
        </is>
      </c>
      <c r="B2" s="59" t="inlineStr">
        <is>
          <t>RTU Roll Number</t>
        </is>
      </c>
      <c r="C2" s="59" t="inlineStr">
        <is>
          <t>Name of the Student</t>
        </is>
      </c>
      <c r="D2" s="60" t="inlineStr">
        <is>
          <t>M-1 Marks (70)</t>
        </is>
      </c>
      <c r="E2" s="60" t="inlineStr">
        <is>
          <t>Remark
( Remedial Class need or not – Y/N )</t>
        </is>
      </c>
      <c r="F2" s="51" t="n"/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5.75" customHeight="1" s="88" thickBot="1">
      <c r="A3" s="64">
        <f>'Sessional + End Term Assessment'!A8</f>
        <v/>
      </c>
      <c r="B3" s="79">
        <f>'Sessional + End Term Assessment'!B8</f>
        <v/>
      </c>
      <c r="C3" s="79">
        <f>'Sessional + End Term Assessment'!C8</f>
        <v/>
      </c>
      <c r="D3" s="62">
        <f>'MID Term 1'!R7</f>
        <v/>
      </c>
      <c r="E3" s="63">
        <f>IF(D3&lt;=30,"Y","N")</f>
        <v/>
      </c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  <c r="P3" s="50" t="n"/>
      <c r="Q3" s="50" t="n"/>
      <c r="R3" s="50" t="n"/>
      <c r="S3" s="50" t="n"/>
      <c r="T3" s="50" t="n"/>
      <c r="U3" s="50" t="n"/>
      <c r="V3" s="50" t="n"/>
      <c r="W3" s="50" t="n"/>
      <c r="X3" s="50" t="n"/>
      <c r="Y3" s="50" t="n"/>
      <c r="Z3" s="50" t="n"/>
    </row>
    <row r="4" ht="15.75" customHeight="1" s="88" thickBot="1">
      <c r="A4" s="64">
        <f>'Sessional + End Term Assessment'!A9</f>
        <v/>
      </c>
      <c r="B4" s="79">
        <f>'Sessional + End Term Assessment'!B9</f>
        <v/>
      </c>
      <c r="C4" s="79">
        <f>'Sessional + End Term Assessment'!C9</f>
        <v/>
      </c>
      <c r="D4" s="62">
        <f>'MID Term 1'!R8</f>
        <v/>
      </c>
      <c r="E4" s="63">
        <f>IF(D4&lt;=30,"Y","N")</f>
        <v/>
      </c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  <c r="P4" s="50" t="n"/>
      <c r="Q4" s="50" t="n"/>
      <c r="R4" s="50" t="n"/>
      <c r="S4" s="50" t="n"/>
      <c r="T4" s="50" t="n"/>
      <c r="U4" s="50" t="n"/>
      <c r="V4" s="50" t="n"/>
      <c r="W4" s="50" t="n"/>
      <c r="X4" s="50" t="n"/>
      <c r="Y4" s="50" t="n"/>
      <c r="Z4" s="50" t="n"/>
    </row>
    <row r="5" ht="15.75" customHeight="1" s="88" thickBot="1">
      <c r="A5" s="64">
        <f>'Sessional + End Term Assessment'!A10</f>
        <v/>
      </c>
      <c r="B5" s="79">
        <f>'Sessional + End Term Assessment'!B10</f>
        <v/>
      </c>
      <c r="C5" s="79">
        <f>'Sessional + End Term Assessment'!C10</f>
        <v/>
      </c>
      <c r="D5" s="62">
        <f>'MID Term 1'!R9</f>
        <v/>
      </c>
      <c r="E5" s="63">
        <f>IF(D5&lt;=30,"Y","N")</f>
        <v/>
      </c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  <c r="P5" s="50" t="n"/>
      <c r="Q5" s="50" t="n"/>
      <c r="R5" s="50" t="n"/>
      <c r="S5" s="50" t="n"/>
      <c r="T5" s="50" t="n"/>
      <c r="U5" s="50" t="n"/>
      <c r="V5" s="50" t="n"/>
      <c r="W5" s="50" t="n"/>
      <c r="X5" s="50" t="n"/>
      <c r="Y5" s="50" t="n"/>
      <c r="Z5" s="50" t="n"/>
    </row>
    <row r="6" ht="15.75" customHeight="1" s="88" thickBot="1">
      <c r="A6" s="64">
        <f>'Sessional + End Term Assessment'!A11</f>
        <v/>
      </c>
      <c r="B6" s="79">
        <f>'Sessional + End Term Assessment'!B11</f>
        <v/>
      </c>
      <c r="C6" s="79">
        <f>'Sessional + End Term Assessment'!C11</f>
        <v/>
      </c>
      <c r="D6" s="62">
        <f>'MID Term 1'!R10</f>
        <v/>
      </c>
      <c r="E6" s="63">
        <f>IF(D6&lt;=30,"Y","N")</f>
        <v/>
      </c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</row>
    <row r="7" ht="15.75" customHeight="1" s="88" thickBot="1">
      <c r="A7" s="64">
        <f>'Sessional + End Term Assessment'!A12</f>
        <v/>
      </c>
      <c r="B7" s="79">
        <f>'Sessional + End Term Assessment'!B12</f>
        <v/>
      </c>
      <c r="C7" s="79">
        <f>'Sessional + End Term Assessment'!C12</f>
        <v/>
      </c>
      <c r="D7" s="62">
        <f>'MID Term 1'!R11</f>
        <v/>
      </c>
      <c r="E7" s="63">
        <f>IF(D7&lt;=30,"Y","N")</f>
        <v/>
      </c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  <c r="P7" s="50" t="n"/>
      <c r="Q7" s="50" t="n"/>
      <c r="R7" s="50" t="n"/>
      <c r="S7" s="50" t="n"/>
      <c r="T7" s="50" t="n"/>
      <c r="U7" s="50" t="n"/>
      <c r="V7" s="50" t="n"/>
      <c r="W7" s="50" t="n"/>
      <c r="X7" s="50" t="n"/>
      <c r="Y7" s="50" t="n"/>
      <c r="Z7" s="50" t="n"/>
    </row>
    <row r="8" ht="15.75" customHeight="1" s="88" thickBot="1">
      <c r="A8" s="64">
        <f>'Sessional + End Term Assessment'!A13</f>
        <v/>
      </c>
      <c r="B8" s="79">
        <f>'Sessional + End Term Assessment'!B13</f>
        <v/>
      </c>
      <c r="C8" s="79">
        <f>'Sessional + End Term Assessment'!C13</f>
        <v/>
      </c>
      <c r="D8" s="62">
        <f>'MID Term 1'!R12</f>
        <v/>
      </c>
      <c r="E8" s="63">
        <f>IF(D8&lt;=30,"Y","N")</f>
        <v/>
      </c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  <c r="P8" s="50" t="n"/>
      <c r="Q8" s="50" t="n"/>
      <c r="R8" s="50" t="n"/>
      <c r="S8" s="50" t="n"/>
      <c r="T8" s="50" t="n"/>
      <c r="U8" s="50" t="n"/>
      <c r="V8" s="50" t="n"/>
      <c r="W8" s="50" t="n"/>
      <c r="X8" s="50" t="n"/>
      <c r="Y8" s="50" t="n"/>
      <c r="Z8" s="50" t="n"/>
    </row>
    <row r="9" ht="15.75" customHeight="1" s="88" thickBot="1">
      <c r="A9" s="64">
        <f>'Sessional + End Term Assessment'!A14</f>
        <v/>
      </c>
      <c r="B9" s="79">
        <f>'Sessional + End Term Assessment'!B14</f>
        <v/>
      </c>
      <c r="C9" s="79">
        <f>'Sessional + End Term Assessment'!C14</f>
        <v/>
      </c>
      <c r="D9" s="62">
        <f>'MID Term 1'!R13</f>
        <v/>
      </c>
      <c r="E9" s="63">
        <f>IF(D9&lt;=30,"Y","N")</f>
        <v/>
      </c>
      <c r="F9" s="50" t="n"/>
      <c r="G9" s="50" t="n"/>
      <c r="H9" s="50" t="n"/>
      <c r="I9" s="50" t="n"/>
      <c r="J9" s="50" t="n"/>
      <c r="K9" s="50" t="n"/>
      <c r="L9" s="50" t="n"/>
      <c r="M9" s="50" t="n"/>
      <c r="N9" s="50" t="n"/>
      <c r="O9" s="50" t="n"/>
      <c r="P9" s="50" t="n"/>
      <c r="Q9" s="50" t="n"/>
      <c r="R9" s="50" t="n"/>
      <c r="S9" s="50" t="n"/>
      <c r="T9" s="50" t="n"/>
      <c r="U9" s="50" t="n"/>
      <c r="V9" s="50" t="n"/>
      <c r="W9" s="50" t="n"/>
      <c r="X9" s="50" t="n"/>
      <c r="Y9" s="50" t="n"/>
      <c r="Z9" s="50" t="n"/>
    </row>
    <row r="10" ht="15.75" customHeight="1" s="88" thickBot="1">
      <c r="A10" s="64">
        <f>'Sessional + End Term Assessment'!A15</f>
        <v/>
      </c>
      <c r="B10" s="79">
        <f>'Sessional + End Term Assessment'!B15</f>
        <v/>
      </c>
      <c r="C10" s="79">
        <f>'Sessional + End Term Assessment'!C15</f>
        <v/>
      </c>
      <c r="D10" s="62">
        <f>'MID Term 1'!R14</f>
        <v/>
      </c>
      <c r="E10" s="63">
        <f>IF(D10&lt;=30,"Y","N")</f>
        <v/>
      </c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  <c r="P10" s="50" t="n"/>
      <c r="Q10" s="50" t="n"/>
      <c r="R10" s="50" t="n"/>
      <c r="S10" s="50" t="n"/>
      <c r="T10" s="50" t="n"/>
      <c r="U10" s="50" t="n"/>
      <c r="V10" s="50" t="n"/>
      <c r="W10" s="50" t="n"/>
      <c r="X10" s="50" t="n"/>
      <c r="Y10" s="50" t="n"/>
      <c r="Z10" s="50" t="n"/>
    </row>
    <row r="11" ht="15.75" customHeight="1" s="88" thickBot="1">
      <c r="A11" s="64">
        <f>'Sessional + End Term Assessment'!A16</f>
        <v/>
      </c>
      <c r="B11" s="79">
        <f>'Sessional + End Term Assessment'!B16</f>
        <v/>
      </c>
      <c r="C11" s="79">
        <f>'Sessional + End Term Assessment'!C16</f>
        <v/>
      </c>
      <c r="D11" s="62">
        <f>'MID Term 1'!R15</f>
        <v/>
      </c>
      <c r="E11" s="63">
        <f>IF(D11&lt;=30,"Y","N")</f>
        <v/>
      </c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50" t="n"/>
      <c r="W11" s="50" t="n"/>
      <c r="X11" s="50" t="n"/>
      <c r="Y11" s="50" t="n"/>
      <c r="Z11" s="50" t="n"/>
    </row>
    <row r="12" ht="15.75" customHeight="1" s="88" thickBot="1">
      <c r="A12" s="64">
        <f>'Sessional + End Term Assessment'!A17</f>
        <v/>
      </c>
      <c r="B12" s="79">
        <f>'Sessional + End Term Assessment'!B17</f>
        <v/>
      </c>
      <c r="C12" s="79">
        <f>'Sessional + End Term Assessment'!C17</f>
        <v/>
      </c>
      <c r="D12" s="62">
        <f>'MID Term 1'!R16</f>
        <v/>
      </c>
      <c r="E12" s="63">
        <f>IF(D12&lt;=30,"Y","N")</f>
        <v/>
      </c>
      <c r="F12" s="50" t="n"/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  <c r="P12" s="50" t="n"/>
      <c r="Q12" s="50" t="n"/>
      <c r="R12" s="50" t="n"/>
      <c r="S12" s="50" t="n"/>
      <c r="T12" s="50" t="n"/>
      <c r="U12" s="50" t="n"/>
      <c r="V12" s="50" t="n"/>
      <c r="W12" s="50" t="n"/>
      <c r="X12" s="50" t="n"/>
      <c r="Y12" s="50" t="n"/>
      <c r="Z12" s="50" t="n"/>
    </row>
    <row r="13" ht="15.75" customHeight="1" s="88" thickBot="1">
      <c r="A13" s="64">
        <f>'Sessional + End Term Assessment'!A18</f>
        <v/>
      </c>
      <c r="B13" s="79">
        <f>'Sessional + End Term Assessment'!B18</f>
        <v/>
      </c>
      <c r="C13" s="79">
        <f>'Sessional + End Term Assessment'!C18</f>
        <v/>
      </c>
      <c r="D13" s="62">
        <f>'MID Term 1'!R17</f>
        <v/>
      </c>
      <c r="E13" s="63">
        <f>IF(D13&lt;=30,"Y","N")</f>
        <v/>
      </c>
      <c r="F13" s="50" t="n"/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  <c r="P13" s="50" t="n"/>
      <c r="Q13" s="50" t="n"/>
      <c r="R13" s="50" t="n"/>
      <c r="S13" s="50" t="n"/>
      <c r="T13" s="50" t="n"/>
      <c r="U13" s="50" t="n"/>
      <c r="V13" s="50" t="n"/>
      <c r="W13" s="50" t="n"/>
      <c r="X13" s="50" t="n"/>
      <c r="Y13" s="50" t="n"/>
      <c r="Z13" s="50" t="n"/>
    </row>
    <row r="14" ht="15.75" customHeight="1" s="88" thickBot="1">
      <c r="A14" s="64">
        <f>'Sessional + End Term Assessment'!A19</f>
        <v/>
      </c>
      <c r="B14" s="79">
        <f>'Sessional + End Term Assessment'!B19</f>
        <v/>
      </c>
      <c r="C14" s="79">
        <f>'Sessional + End Term Assessment'!C19</f>
        <v/>
      </c>
      <c r="D14" s="62">
        <f>'MID Term 1'!R18</f>
        <v/>
      </c>
      <c r="E14" s="63">
        <f>IF(D14&lt;=30,"Y","N")</f>
        <v/>
      </c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50" t="n"/>
      <c r="W14" s="50" t="n"/>
      <c r="X14" s="50" t="n"/>
      <c r="Y14" s="50" t="n"/>
      <c r="Z14" s="50" t="n"/>
    </row>
    <row r="15" ht="15.75" customHeight="1" s="88" thickBot="1">
      <c r="A15" s="64">
        <f>'Sessional + End Term Assessment'!A20</f>
        <v/>
      </c>
      <c r="B15" s="79">
        <f>'Sessional + End Term Assessment'!B20</f>
        <v/>
      </c>
      <c r="C15" s="79">
        <f>'Sessional + End Term Assessment'!C20</f>
        <v/>
      </c>
      <c r="D15" s="62">
        <f>'MID Term 1'!R19</f>
        <v/>
      </c>
      <c r="E15" s="63">
        <f>IF(D15&lt;=30,"Y","N")</f>
        <v/>
      </c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  <c r="P15" s="50" t="n"/>
      <c r="Q15" s="50" t="n"/>
      <c r="R15" s="50" t="n"/>
      <c r="S15" s="50" t="n"/>
      <c r="T15" s="50" t="n"/>
      <c r="U15" s="50" t="n"/>
      <c r="V15" s="50" t="n"/>
      <c r="W15" s="50" t="n"/>
      <c r="X15" s="50" t="n"/>
      <c r="Y15" s="50" t="n"/>
      <c r="Z15" s="50" t="n"/>
    </row>
    <row r="16" ht="15.75" customHeight="1" s="88" thickBot="1">
      <c r="A16" s="64">
        <f>'Sessional + End Term Assessment'!A21</f>
        <v/>
      </c>
      <c r="B16" s="79">
        <f>'Sessional + End Term Assessment'!B21</f>
        <v/>
      </c>
      <c r="C16" s="79">
        <f>'Sessional + End Term Assessment'!C21</f>
        <v/>
      </c>
      <c r="D16" s="62">
        <f>'MID Term 1'!R20</f>
        <v/>
      </c>
      <c r="E16" s="63">
        <f>IF(D16&lt;=30,"Y","N")</f>
        <v/>
      </c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  <c r="P16" s="50" t="n"/>
      <c r="Q16" s="50" t="n"/>
      <c r="R16" s="50" t="n"/>
      <c r="S16" s="50" t="n"/>
      <c r="T16" s="50" t="n"/>
      <c r="U16" s="50" t="n"/>
      <c r="V16" s="50" t="n"/>
      <c r="W16" s="50" t="n"/>
      <c r="X16" s="50" t="n"/>
      <c r="Y16" s="50" t="n"/>
      <c r="Z16" s="50" t="n"/>
    </row>
    <row r="17" ht="15.75" customHeight="1" s="88" thickBot="1">
      <c r="A17" s="64">
        <f>'Sessional + End Term Assessment'!A22</f>
        <v/>
      </c>
      <c r="B17" s="79">
        <f>'Sessional + End Term Assessment'!B22</f>
        <v/>
      </c>
      <c r="C17" s="79">
        <f>'Sessional + End Term Assessment'!C22</f>
        <v/>
      </c>
      <c r="D17" s="62">
        <f>'MID Term 1'!R21</f>
        <v/>
      </c>
      <c r="E17" s="63">
        <f>IF(D17&lt;=30,"Y","N")</f>
        <v/>
      </c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  <c r="P17" s="50" t="n"/>
      <c r="Q17" s="50" t="n"/>
      <c r="R17" s="50" t="n"/>
      <c r="S17" s="50" t="n"/>
      <c r="T17" s="50" t="n"/>
      <c r="U17" s="50" t="n"/>
      <c r="V17" s="50" t="n"/>
      <c r="W17" s="50" t="n"/>
      <c r="X17" s="50" t="n"/>
      <c r="Y17" s="50" t="n"/>
      <c r="Z17" s="50" t="n"/>
    </row>
    <row r="18" ht="15.75" customHeight="1" s="88" thickBot="1">
      <c r="A18" s="64">
        <f>'Sessional + End Term Assessment'!A23</f>
        <v/>
      </c>
      <c r="B18" s="79">
        <f>'Sessional + End Term Assessment'!B23</f>
        <v/>
      </c>
      <c r="C18" s="79">
        <f>'Sessional + End Term Assessment'!C23</f>
        <v/>
      </c>
      <c r="D18" s="62">
        <f>'MID Term 1'!R22</f>
        <v/>
      </c>
      <c r="E18" s="63">
        <f>IF(D18&lt;=30,"Y","N")</f>
        <v/>
      </c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  <c r="P18" s="50" t="n"/>
      <c r="Q18" s="50" t="n"/>
      <c r="R18" s="50" t="n"/>
      <c r="S18" s="50" t="n"/>
      <c r="T18" s="50" t="n"/>
      <c r="U18" s="50" t="n"/>
      <c r="V18" s="50" t="n"/>
      <c r="W18" s="50" t="n"/>
      <c r="X18" s="50" t="n"/>
      <c r="Y18" s="50" t="n"/>
      <c r="Z18" s="50" t="n"/>
    </row>
    <row r="19" ht="15.75" customHeight="1" s="88" thickBot="1">
      <c r="A19" s="64">
        <f>'Sessional + End Term Assessment'!A24</f>
        <v/>
      </c>
      <c r="B19" s="79">
        <f>'Sessional + End Term Assessment'!B24</f>
        <v/>
      </c>
      <c r="C19" s="79">
        <f>'Sessional + End Term Assessment'!C24</f>
        <v/>
      </c>
      <c r="D19" s="62">
        <f>'MID Term 1'!R23</f>
        <v/>
      </c>
      <c r="E19" s="63">
        <f>IF(D19&lt;=30,"Y","N")</f>
        <v/>
      </c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  <c r="P19" s="50" t="n"/>
      <c r="Q19" s="50" t="n"/>
      <c r="R19" s="50" t="n"/>
      <c r="S19" s="50" t="n"/>
      <c r="T19" s="50" t="n"/>
      <c r="U19" s="50" t="n"/>
      <c r="V19" s="50" t="n"/>
      <c r="W19" s="50" t="n"/>
      <c r="X19" s="50" t="n"/>
      <c r="Y19" s="50" t="n"/>
      <c r="Z19" s="50" t="n"/>
    </row>
    <row r="20" ht="15.75" customHeight="1" s="88" thickBot="1">
      <c r="A20" s="64">
        <f>'Sessional + End Term Assessment'!A25</f>
        <v/>
      </c>
      <c r="B20" s="79">
        <f>'Sessional + End Term Assessment'!B25</f>
        <v/>
      </c>
      <c r="C20" s="79">
        <f>'Sessional + End Term Assessment'!C25</f>
        <v/>
      </c>
      <c r="D20" s="62">
        <f>'MID Term 1'!R24</f>
        <v/>
      </c>
      <c r="E20" s="63">
        <f>IF(D20&lt;=30,"Y","N")</f>
        <v/>
      </c>
      <c r="F20" s="50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  <c r="P20" s="50" t="n"/>
      <c r="Q20" s="50" t="n"/>
      <c r="R20" s="50" t="n"/>
      <c r="S20" s="50" t="n"/>
      <c r="T20" s="50" t="n"/>
      <c r="U20" s="50" t="n"/>
      <c r="V20" s="50" t="n"/>
      <c r="W20" s="50" t="n"/>
      <c r="X20" s="50" t="n"/>
      <c r="Y20" s="50" t="n"/>
      <c r="Z20" s="50" t="n"/>
    </row>
    <row r="21" ht="15.75" customHeight="1" s="88" thickBot="1">
      <c r="A21" s="64">
        <f>'Sessional + End Term Assessment'!A26</f>
        <v/>
      </c>
      <c r="B21" s="79">
        <f>'Sessional + End Term Assessment'!B26</f>
        <v/>
      </c>
      <c r="C21" s="79">
        <f>'Sessional + End Term Assessment'!C26</f>
        <v/>
      </c>
      <c r="D21" s="62">
        <f>'MID Term 1'!R25</f>
        <v/>
      </c>
      <c r="E21" s="63">
        <f>IF(D21&lt;=30,"Y","N")</f>
        <v/>
      </c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0" t="n"/>
      <c r="S21" s="50" t="n"/>
      <c r="T21" s="50" t="n"/>
      <c r="U21" s="50" t="n"/>
      <c r="V21" s="50" t="n"/>
      <c r="W21" s="50" t="n"/>
      <c r="X21" s="50" t="n"/>
      <c r="Y21" s="50" t="n"/>
      <c r="Z21" s="50" t="n"/>
    </row>
    <row r="22" ht="15.75" customHeight="1" s="88" thickBot="1">
      <c r="A22" s="64">
        <f>'Sessional + End Term Assessment'!A27</f>
        <v/>
      </c>
      <c r="B22" s="79">
        <f>'Sessional + End Term Assessment'!B27</f>
        <v/>
      </c>
      <c r="C22" s="79">
        <f>'Sessional + End Term Assessment'!C27</f>
        <v/>
      </c>
      <c r="D22" s="62">
        <f>'MID Term 1'!R26</f>
        <v/>
      </c>
      <c r="E22" s="63">
        <f>IF(D22&lt;=30,"Y","N")</f>
        <v/>
      </c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  <c r="P22" s="50" t="n"/>
      <c r="Q22" s="50" t="n"/>
      <c r="R22" s="50" t="n"/>
      <c r="S22" s="50" t="n"/>
      <c r="T22" s="50" t="n"/>
      <c r="U22" s="50" t="n"/>
      <c r="V22" s="50" t="n"/>
      <c r="W22" s="50" t="n"/>
      <c r="X22" s="50" t="n"/>
      <c r="Y22" s="50" t="n"/>
      <c r="Z22" s="50" t="n"/>
    </row>
    <row r="23" ht="15.75" customHeight="1" s="88" thickBot="1">
      <c r="A23" s="64">
        <f>'Sessional + End Term Assessment'!A28</f>
        <v/>
      </c>
      <c r="B23" s="79">
        <f>'Sessional + End Term Assessment'!B28</f>
        <v/>
      </c>
      <c r="C23" s="79">
        <f>'Sessional + End Term Assessment'!C28</f>
        <v/>
      </c>
      <c r="D23" s="62">
        <f>'MID Term 1'!R27</f>
        <v/>
      </c>
      <c r="E23" s="63">
        <f>IF(D23&lt;=30,"Y","N")</f>
        <v/>
      </c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  <c r="P23" s="50" t="n"/>
      <c r="Q23" s="50" t="n"/>
      <c r="R23" s="50" t="n"/>
      <c r="S23" s="50" t="n"/>
      <c r="T23" s="50" t="n"/>
      <c r="U23" s="50" t="n"/>
      <c r="V23" s="50" t="n"/>
      <c r="W23" s="50" t="n"/>
      <c r="X23" s="50" t="n"/>
      <c r="Y23" s="50" t="n"/>
      <c r="Z23" s="50" t="n"/>
    </row>
    <row r="24" ht="15.75" customHeight="1" s="88" thickBot="1">
      <c r="A24" s="64">
        <f>'Sessional + End Term Assessment'!A29</f>
        <v/>
      </c>
      <c r="B24" s="79">
        <f>'Sessional + End Term Assessment'!B29</f>
        <v/>
      </c>
      <c r="C24" s="79">
        <f>'Sessional + End Term Assessment'!C29</f>
        <v/>
      </c>
      <c r="D24" s="62">
        <f>'MID Term 1'!R28</f>
        <v/>
      </c>
      <c r="E24" s="63">
        <f>IF(D24&lt;=30,"Y","N")</f>
        <v/>
      </c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  <c r="P24" s="50" t="n"/>
      <c r="Q24" s="50" t="n"/>
      <c r="R24" s="50" t="n"/>
      <c r="S24" s="50" t="n"/>
      <c r="T24" s="50" t="n"/>
      <c r="U24" s="50" t="n"/>
      <c r="V24" s="50" t="n"/>
      <c r="W24" s="50" t="n"/>
      <c r="X24" s="50" t="n"/>
      <c r="Y24" s="50" t="n"/>
      <c r="Z24" s="50" t="n"/>
    </row>
    <row r="25" ht="15.75" customHeight="1" s="88" thickBot="1">
      <c r="A25" s="64">
        <f>'Sessional + End Term Assessment'!A30</f>
        <v/>
      </c>
      <c r="B25" s="79">
        <f>'Sessional + End Term Assessment'!B30</f>
        <v/>
      </c>
      <c r="C25" s="79">
        <f>'Sessional + End Term Assessment'!C30</f>
        <v/>
      </c>
      <c r="D25" s="62">
        <f>'MID Term 1'!R29</f>
        <v/>
      </c>
      <c r="E25" s="63">
        <f>IF(D25&lt;=30,"Y","N")</f>
        <v/>
      </c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n"/>
      <c r="P25" s="50" t="n"/>
      <c r="Q25" s="50" t="n"/>
      <c r="R25" s="50" t="n"/>
      <c r="S25" s="50" t="n"/>
      <c r="T25" s="50" t="n"/>
      <c r="U25" s="50" t="n"/>
      <c r="V25" s="50" t="n"/>
      <c r="W25" s="50" t="n"/>
      <c r="X25" s="50" t="n"/>
      <c r="Y25" s="50" t="n"/>
      <c r="Z25" s="50" t="n"/>
    </row>
    <row r="26" ht="15.75" customHeight="1" s="88" thickBot="1">
      <c r="A26" s="64">
        <f>'Sessional + End Term Assessment'!A31</f>
        <v/>
      </c>
      <c r="B26" s="79">
        <f>'Sessional + End Term Assessment'!B31</f>
        <v/>
      </c>
      <c r="C26" s="79">
        <f>'Sessional + End Term Assessment'!C31</f>
        <v/>
      </c>
      <c r="D26" s="62">
        <f>'MID Term 1'!R30</f>
        <v/>
      </c>
      <c r="E26" s="63">
        <f>IF(D26&lt;=30,"Y","N")</f>
        <v/>
      </c>
      <c r="F26" s="50" t="n"/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  <c r="P26" s="50" t="n"/>
      <c r="Q26" s="50" t="n"/>
      <c r="R26" s="50" t="n"/>
      <c r="S26" s="50" t="n"/>
      <c r="T26" s="50" t="n"/>
      <c r="U26" s="50" t="n"/>
      <c r="V26" s="50" t="n"/>
      <c r="W26" s="50" t="n"/>
      <c r="X26" s="50" t="n"/>
      <c r="Y26" s="50" t="n"/>
      <c r="Z26" s="50" t="n"/>
    </row>
    <row r="27" ht="15.75" customHeight="1" s="88" thickBot="1">
      <c r="A27" s="64">
        <f>'Sessional + End Term Assessment'!A32</f>
        <v/>
      </c>
      <c r="B27" s="79">
        <f>'Sessional + End Term Assessment'!B32</f>
        <v/>
      </c>
      <c r="C27" s="79">
        <f>'Sessional + End Term Assessment'!C32</f>
        <v/>
      </c>
      <c r="D27" s="62">
        <f>'MID Term 1'!R31</f>
        <v/>
      </c>
      <c r="E27" s="63">
        <f>IF(D27&lt;=30,"Y","N")</f>
        <v/>
      </c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  <c r="P27" s="50" t="n"/>
      <c r="Q27" s="50" t="n"/>
      <c r="R27" s="50" t="n"/>
      <c r="S27" s="50" t="n"/>
      <c r="T27" s="50" t="n"/>
      <c r="U27" s="50" t="n"/>
      <c r="V27" s="50" t="n"/>
      <c r="W27" s="50" t="n"/>
      <c r="X27" s="50" t="n"/>
      <c r="Y27" s="50" t="n"/>
      <c r="Z27" s="50" t="n"/>
    </row>
    <row r="28" ht="15.75" customHeight="1" s="88" thickBot="1">
      <c r="A28" s="64">
        <f>'Sessional + End Term Assessment'!A33</f>
        <v/>
      </c>
      <c r="B28" s="79">
        <f>'Sessional + End Term Assessment'!B33</f>
        <v/>
      </c>
      <c r="C28" s="79">
        <f>'Sessional + End Term Assessment'!C33</f>
        <v/>
      </c>
      <c r="D28" s="62">
        <f>'MID Term 1'!R32</f>
        <v/>
      </c>
      <c r="E28" s="63">
        <f>IF(D28&lt;=30,"Y","N")</f>
        <v/>
      </c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  <c r="P28" s="50" t="n"/>
      <c r="Q28" s="50" t="n"/>
      <c r="R28" s="50" t="n"/>
      <c r="S28" s="50" t="n"/>
      <c r="T28" s="50" t="n"/>
      <c r="U28" s="50" t="n"/>
      <c r="V28" s="50" t="n"/>
      <c r="W28" s="50" t="n"/>
      <c r="X28" s="50" t="n"/>
      <c r="Y28" s="50" t="n"/>
      <c r="Z28" s="50" t="n"/>
    </row>
    <row r="29" ht="15.75" customHeight="1" s="88" thickBot="1">
      <c r="A29" s="64">
        <f>'Sessional + End Term Assessment'!A34</f>
        <v/>
      </c>
      <c r="B29" s="79">
        <f>'Sessional + End Term Assessment'!B34</f>
        <v/>
      </c>
      <c r="C29" s="79">
        <f>'Sessional + End Term Assessment'!C34</f>
        <v/>
      </c>
      <c r="D29" s="62">
        <f>'MID Term 1'!R33</f>
        <v/>
      </c>
      <c r="E29" s="63">
        <f>IF(D29&lt;=30,"Y","N")</f>
        <v/>
      </c>
      <c r="F29" s="50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  <c r="X29" s="50" t="n"/>
      <c r="Y29" s="50" t="n"/>
      <c r="Z29" s="50" t="n"/>
    </row>
    <row r="30" ht="15.75" customHeight="1" s="88" thickBot="1">
      <c r="A30" s="64">
        <f>'Sessional + End Term Assessment'!A35</f>
        <v/>
      </c>
      <c r="B30" s="79">
        <f>'Sessional + End Term Assessment'!B35</f>
        <v/>
      </c>
      <c r="C30" s="79">
        <f>'Sessional + End Term Assessment'!C35</f>
        <v/>
      </c>
      <c r="D30" s="62">
        <f>'MID Term 1'!R34</f>
        <v/>
      </c>
      <c r="E30" s="63">
        <f>IF(D30&lt;=30,"Y","N")</f>
        <v/>
      </c>
      <c r="F30" s="50" t="n"/>
      <c r="G30" s="50" t="n"/>
      <c r="H30" s="50" t="n"/>
      <c r="I30" s="50" t="n"/>
      <c r="J30" s="50" t="n"/>
      <c r="K30" s="50" t="n"/>
      <c r="L30" s="50" t="n"/>
      <c r="M30" s="50" t="n"/>
      <c r="N30" s="50" t="n"/>
      <c r="O30" s="50" t="n"/>
      <c r="P30" s="50" t="n"/>
      <c r="Q30" s="50" t="n"/>
      <c r="R30" s="50" t="n"/>
      <c r="S30" s="50" t="n"/>
      <c r="T30" s="50" t="n"/>
      <c r="U30" s="50" t="n"/>
      <c r="V30" s="50" t="n"/>
      <c r="W30" s="50" t="n"/>
      <c r="X30" s="50" t="n"/>
      <c r="Y30" s="50" t="n"/>
      <c r="Z30" s="50" t="n"/>
    </row>
    <row r="31" ht="15.75" customHeight="1" s="88" thickBot="1">
      <c r="A31" s="64">
        <f>'Sessional + End Term Assessment'!A36</f>
        <v/>
      </c>
      <c r="B31" s="79">
        <f>'Sessional + End Term Assessment'!B36</f>
        <v/>
      </c>
      <c r="C31" s="79">
        <f>'Sessional + End Term Assessment'!C36</f>
        <v/>
      </c>
      <c r="D31" s="62">
        <f>'MID Term 1'!R35</f>
        <v/>
      </c>
      <c r="E31" s="63">
        <f>IF(D31&lt;=30,"Y","N")</f>
        <v/>
      </c>
      <c r="F31" s="50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  <c r="X31" s="50" t="n"/>
      <c r="Y31" s="50" t="n"/>
      <c r="Z31" s="50" t="n"/>
    </row>
    <row r="32" ht="15.75" customHeight="1" s="88" thickBot="1">
      <c r="A32" s="64">
        <f>'Sessional + End Term Assessment'!A37</f>
        <v/>
      </c>
      <c r="B32" s="79">
        <f>'Sessional + End Term Assessment'!B37</f>
        <v/>
      </c>
      <c r="C32" s="79">
        <f>'Sessional + End Term Assessment'!C37</f>
        <v/>
      </c>
      <c r="D32" s="62">
        <f>'MID Term 1'!R36</f>
        <v/>
      </c>
      <c r="E32" s="63">
        <f>IF(D32&lt;=30,"Y","N")</f>
        <v/>
      </c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  <c r="O32" s="50" t="n"/>
      <c r="P32" s="50" t="n"/>
      <c r="Q32" s="50" t="n"/>
      <c r="R32" s="50" t="n"/>
      <c r="S32" s="50" t="n"/>
      <c r="T32" s="50" t="n"/>
      <c r="U32" s="50" t="n"/>
      <c r="V32" s="50" t="n"/>
      <c r="W32" s="50" t="n"/>
      <c r="X32" s="50" t="n"/>
      <c r="Y32" s="50" t="n"/>
      <c r="Z32" s="50" t="n"/>
    </row>
    <row r="33" ht="14.25" customHeight="1" s="88">
      <c r="A33" s="50" t="n"/>
      <c r="B33" s="50" t="n"/>
      <c r="C33" s="50" t="n"/>
      <c r="D33" s="44" t="n"/>
      <c r="E33" s="44" t="n"/>
      <c r="F33" s="50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  <c r="X33" s="50" t="n"/>
      <c r="Y33" s="50" t="n"/>
      <c r="Z33" s="50" t="n"/>
    </row>
    <row r="34" ht="14.25" customHeight="1" s="88">
      <c r="A34" s="50" t="n"/>
      <c r="B34" s="50" t="n"/>
      <c r="C34" s="50" t="n"/>
      <c r="D34" s="44" t="n"/>
      <c r="E34" s="44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  <c r="P34" s="50" t="n"/>
      <c r="Q34" s="50" t="n"/>
      <c r="R34" s="50" t="n"/>
      <c r="S34" s="50" t="n"/>
      <c r="T34" s="50" t="n"/>
      <c r="U34" s="50" t="n"/>
      <c r="V34" s="50" t="n"/>
      <c r="W34" s="50" t="n"/>
      <c r="X34" s="50" t="n"/>
      <c r="Y34" s="50" t="n"/>
      <c r="Z34" s="50" t="n"/>
    </row>
    <row r="35" ht="14.25" customHeight="1" s="88">
      <c r="A35" s="50" t="n"/>
      <c r="B35" s="50" t="n"/>
      <c r="C35" s="50" t="n"/>
      <c r="D35" s="44" t="n"/>
      <c r="E35" s="44" t="n"/>
      <c r="F35" s="50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  <c r="X35" s="50" t="n"/>
      <c r="Y35" s="50" t="n"/>
      <c r="Z35" s="50" t="n"/>
    </row>
    <row r="36" ht="14.25" customHeight="1" s="88">
      <c r="A36" s="50" t="n"/>
      <c r="B36" s="50" t="n"/>
      <c r="C36" s="50" t="n"/>
      <c r="D36" s="44" t="n"/>
      <c r="E36" s="44" t="n"/>
      <c r="F36" s="50" t="n"/>
      <c r="G36" s="50" t="n"/>
      <c r="H36" s="50" t="n"/>
      <c r="I36" s="50" t="n"/>
      <c r="J36" s="50" t="n"/>
      <c r="K36" s="50" t="n"/>
      <c r="L36" s="50" t="n"/>
      <c r="M36" s="50" t="n"/>
      <c r="N36" s="50" t="n"/>
      <c r="O36" s="50" t="n"/>
      <c r="P36" s="50" t="n"/>
      <c r="Q36" s="50" t="n"/>
      <c r="R36" s="50" t="n"/>
      <c r="S36" s="50" t="n"/>
      <c r="T36" s="50" t="n"/>
      <c r="U36" s="50" t="n"/>
      <c r="V36" s="50" t="n"/>
      <c r="W36" s="50" t="n"/>
      <c r="X36" s="50" t="n"/>
      <c r="Y36" s="50" t="n"/>
      <c r="Z36" s="50" t="n"/>
    </row>
    <row r="37" ht="14.25" customHeight="1" s="88">
      <c r="A37" s="50" t="n"/>
      <c r="B37" s="50" t="n"/>
      <c r="C37" s="50" t="n"/>
      <c r="D37" s="44" t="n"/>
      <c r="E37" s="44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</row>
    <row r="38" ht="14.25" customHeight="1" s="88">
      <c r="A38" s="50" t="n"/>
      <c r="B38" s="50" t="n"/>
      <c r="C38" s="50" t="n"/>
      <c r="D38" s="44" t="n"/>
      <c r="E38" s="44" t="n"/>
      <c r="F38" s="50" t="n"/>
      <c r="G38" s="50" t="n"/>
      <c r="H38" s="50" t="n"/>
      <c r="I38" s="50" t="n"/>
      <c r="J38" s="50" t="n"/>
      <c r="K38" s="50" t="n"/>
      <c r="L38" s="50" t="n"/>
      <c r="M38" s="50" t="n"/>
      <c r="N38" s="50" t="n"/>
      <c r="O38" s="50" t="n"/>
      <c r="P38" s="50" t="n"/>
      <c r="Q38" s="50" t="n"/>
      <c r="R38" s="50" t="n"/>
      <c r="S38" s="50" t="n"/>
      <c r="T38" s="50" t="n"/>
      <c r="U38" s="50" t="n"/>
      <c r="V38" s="50" t="n"/>
      <c r="W38" s="50" t="n"/>
      <c r="X38" s="50" t="n"/>
      <c r="Y38" s="50" t="n"/>
      <c r="Z38" s="50" t="n"/>
    </row>
    <row r="39" ht="14.25" customHeight="1" s="88">
      <c r="A39" s="50" t="n"/>
      <c r="B39" s="50" t="n"/>
      <c r="C39" s="50" t="n"/>
      <c r="D39" s="44" t="n"/>
      <c r="E39" s="44" t="n"/>
      <c r="F39" s="50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  <c r="X39" s="50" t="n"/>
      <c r="Y39" s="50" t="n"/>
      <c r="Z39" s="50" t="n"/>
    </row>
    <row r="40" ht="14.25" customHeight="1" s="88">
      <c r="A40" s="50" t="n"/>
      <c r="B40" s="50" t="n"/>
      <c r="C40" s="50" t="n"/>
      <c r="D40" s="44" t="n"/>
      <c r="E40" s="44" t="n"/>
      <c r="F40" s="50" t="n"/>
      <c r="G40" s="50" t="n"/>
      <c r="H40" s="50" t="n"/>
      <c r="I40" s="50" t="n"/>
      <c r="J40" s="50" t="n"/>
      <c r="K40" s="50" t="n"/>
      <c r="L40" s="50" t="n"/>
      <c r="M40" s="50" t="n"/>
      <c r="N40" s="50" t="n"/>
      <c r="O40" s="50" t="n"/>
      <c r="P40" s="50" t="n"/>
      <c r="Q40" s="50" t="n"/>
      <c r="R40" s="50" t="n"/>
      <c r="S40" s="50" t="n"/>
      <c r="T40" s="50" t="n"/>
      <c r="U40" s="50" t="n"/>
      <c r="V40" s="50" t="n"/>
      <c r="W40" s="50" t="n"/>
      <c r="X40" s="50" t="n"/>
      <c r="Y40" s="50" t="n"/>
      <c r="Z40" s="50" t="n"/>
    </row>
    <row r="41" ht="14.25" customHeight="1" s="88">
      <c r="A41" s="50" t="n"/>
      <c r="B41" s="50" t="n"/>
      <c r="C41" s="50" t="n"/>
      <c r="D41" s="44" t="n"/>
      <c r="E41" s="44" t="n"/>
      <c r="F41" s="50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  <c r="X41" s="50" t="n"/>
      <c r="Y41" s="50" t="n"/>
      <c r="Z41" s="50" t="n"/>
    </row>
    <row r="42" ht="14.25" customHeight="1" s="88">
      <c r="A42" s="50" t="n"/>
      <c r="B42" s="50" t="n"/>
      <c r="C42" s="50" t="n"/>
      <c r="D42" s="44" t="n"/>
      <c r="E42" s="44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  <c r="P42" s="50" t="n"/>
      <c r="Q42" s="50" t="n"/>
      <c r="R42" s="50" t="n"/>
      <c r="S42" s="50" t="n"/>
      <c r="T42" s="50" t="n"/>
      <c r="U42" s="50" t="n"/>
      <c r="V42" s="50" t="n"/>
      <c r="W42" s="50" t="n"/>
      <c r="X42" s="50" t="n"/>
      <c r="Y42" s="50" t="n"/>
      <c r="Z42" s="50" t="n"/>
    </row>
    <row r="43" ht="14.25" customHeight="1" s="88">
      <c r="A43" s="50" t="n"/>
      <c r="B43" s="50" t="n"/>
      <c r="C43" s="50" t="n"/>
      <c r="D43" s="44" t="n"/>
      <c r="E43" s="44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</row>
    <row r="44" ht="14.25" customHeight="1" s="88">
      <c r="A44" s="50" t="n"/>
      <c r="B44" s="50" t="n"/>
      <c r="C44" s="50" t="n"/>
      <c r="D44" s="44" t="n"/>
      <c r="E44" s="44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  <c r="P44" s="50" t="n"/>
      <c r="Q44" s="50" t="n"/>
      <c r="R44" s="50" t="n"/>
      <c r="S44" s="50" t="n"/>
      <c r="T44" s="50" t="n"/>
      <c r="U44" s="50" t="n"/>
      <c r="V44" s="50" t="n"/>
      <c r="W44" s="50" t="n"/>
      <c r="X44" s="50" t="n"/>
      <c r="Y44" s="50" t="n"/>
      <c r="Z44" s="50" t="n"/>
    </row>
    <row r="45" ht="14.25" customHeight="1" s="88">
      <c r="A45" s="50" t="n"/>
      <c r="B45" s="50" t="n"/>
      <c r="C45" s="50" t="n"/>
      <c r="D45" s="44" t="n"/>
      <c r="E45" s="44" t="n"/>
      <c r="F45" s="50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  <c r="X45" s="50" t="n"/>
      <c r="Y45" s="50" t="n"/>
      <c r="Z45" s="50" t="n"/>
    </row>
    <row r="46" ht="14.25" customHeight="1" s="88">
      <c r="A46" s="50" t="n"/>
      <c r="B46" s="50" t="n"/>
      <c r="C46" s="50" t="n"/>
      <c r="D46" s="44" t="n"/>
      <c r="E46" s="44" t="n"/>
      <c r="F46" s="50" t="n"/>
      <c r="G46" s="50" t="n"/>
      <c r="H46" s="50" t="n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50" t="n"/>
      <c r="R46" s="50" t="n"/>
      <c r="S46" s="50" t="n"/>
      <c r="T46" s="50" t="n"/>
      <c r="U46" s="50" t="n"/>
      <c r="V46" s="50" t="n"/>
      <c r="W46" s="50" t="n"/>
      <c r="X46" s="50" t="n"/>
      <c r="Y46" s="50" t="n"/>
      <c r="Z46" s="50" t="n"/>
    </row>
    <row r="47" ht="14.25" customHeight="1" s="88">
      <c r="A47" s="50" t="n"/>
      <c r="B47" s="50" t="n"/>
      <c r="C47" s="50" t="n"/>
      <c r="D47" s="44" t="n"/>
      <c r="E47" s="44" t="n"/>
      <c r="F47" s="50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  <c r="Z47" s="50" t="n"/>
    </row>
    <row r="48" ht="14.25" customHeight="1" s="88">
      <c r="A48" s="50" t="n"/>
      <c r="B48" s="50" t="n"/>
      <c r="C48" s="50" t="n"/>
      <c r="D48" s="44" t="n"/>
      <c r="E48" s="44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0" t="n"/>
      <c r="S48" s="50" t="n"/>
      <c r="T48" s="50" t="n"/>
      <c r="U48" s="50" t="n"/>
      <c r="V48" s="50" t="n"/>
      <c r="W48" s="50" t="n"/>
      <c r="X48" s="50" t="n"/>
      <c r="Y48" s="50" t="n"/>
      <c r="Z48" s="50" t="n"/>
    </row>
    <row r="49" ht="14.25" customHeight="1" s="88">
      <c r="A49" s="50" t="n"/>
      <c r="B49" s="50" t="n"/>
      <c r="C49" s="50" t="n"/>
      <c r="D49" s="44" t="n"/>
      <c r="E49" s="44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  <c r="Z49" s="50" t="n"/>
    </row>
    <row r="50" ht="14.25" customHeight="1" s="88">
      <c r="A50" s="50" t="n"/>
      <c r="B50" s="50" t="n"/>
      <c r="C50" s="50" t="n"/>
      <c r="D50" s="44" t="n"/>
      <c r="E50" s="44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50" t="n"/>
      <c r="R50" s="50" t="n"/>
      <c r="S50" s="50" t="n"/>
      <c r="T50" s="50" t="n"/>
      <c r="U50" s="50" t="n"/>
      <c r="V50" s="50" t="n"/>
      <c r="W50" s="50" t="n"/>
      <c r="X50" s="50" t="n"/>
      <c r="Y50" s="50" t="n"/>
      <c r="Z50" s="50" t="n"/>
    </row>
    <row r="51" ht="14.25" customHeight="1" s="88">
      <c r="A51" s="50" t="n"/>
      <c r="B51" s="50" t="n"/>
      <c r="C51" s="50" t="n"/>
      <c r="D51" s="44" t="n"/>
      <c r="E51" s="44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</row>
    <row r="52" ht="14.25" customHeight="1" s="88">
      <c r="A52" s="50" t="n"/>
      <c r="B52" s="50" t="n"/>
      <c r="C52" s="50" t="n"/>
      <c r="D52" s="44" t="n"/>
      <c r="E52" s="44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  <c r="V52" s="50" t="n"/>
      <c r="W52" s="50" t="n"/>
      <c r="X52" s="50" t="n"/>
      <c r="Y52" s="50" t="n"/>
      <c r="Z52" s="50" t="n"/>
    </row>
    <row r="53" ht="14.25" customHeight="1" s="88">
      <c r="A53" s="50" t="n"/>
      <c r="B53" s="50" t="n"/>
      <c r="C53" s="50" t="n"/>
      <c r="D53" s="44" t="n"/>
      <c r="E53" s="44" t="n"/>
      <c r="F53" s="50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  <c r="Y53" s="50" t="n"/>
      <c r="Z53" s="50" t="n"/>
    </row>
    <row r="54" ht="14.25" customHeight="1" s="88">
      <c r="A54" s="50" t="n"/>
      <c r="B54" s="50" t="n"/>
      <c r="C54" s="50" t="n"/>
      <c r="D54" s="44" t="n"/>
      <c r="E54" s="44" t="n"/>
      <c r="F54" s="50" t="n"/>
      <c r="G54" s="50" t="n"/>
      <c r="H54" s="50" t="n"/>
      <c r="I54" s="50" t="n"/>
      <c r="J54" s="50" t="n"/>
      <c r="K54" s="50" t="n"/>
      <c r="L54" s="50" t="n"/>
      <c r="M54" s="50" t="n"/>
      <c r="N54" s="50" t="n"/>
      <c r="O54" s="50" t="n"/>
      <c r="P54" s="50" t="n"/>
      <c r="Q54" s="50" t="n"/>
      <c r="R54" s="50" t="n"/>
      <c r="S54" s="50" t="n"/>
      <c r="T54" s="50" t="n"/>
      <c r="U54" s="50" t="n"/>
      <c r="V54" s="50" t="n"/>
      <c r="W54" s="50" t="n"/>
      <c r="X54" s="50" t="n"/>
      <c r="Y54" s="50" t="n"/>
      <c r="Z54" s="50" t="n"/>
    </row>
    <row r="55" ht="14.25" customHeight="1" s="88">
      <c r="A55" s="50" t="n"/>
      <c r="B55" s="50" t="n"/>
      <c r="C55" s="50" t="n"/>
      <c r="D55" s="44" t="n"/>
      <c r="E55" s="44" t="n"/>
      <c r="F55" s="50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  <c r="Y55" s="50" t="n"/>
      <c r="Z55" s="50" t="n"/>
    </row>
    <row r="56" ht="14.25" customHeight="1" s="88">
      <c r="A56" s="50" t="n"/>
      <c r="B56" s="50" t="n"/>
      <c r="C56" s="50" t="n"/>
      <c r="D56" s="44" t="n"/>
      <c r="E56" s="44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  <c r="X56" s="50" t="n"/>
      <c r="Y56" s="50" t="n"/>
      <c r="Z56" s="50" t="n"/>
    </row>
    <row r="57" ht="14.25" customHeight="1" s="88">
      <c r="A57" s="50" t="n"/>
      <c r="B57" s="50" t="n"/>
      <c r="C57" s="50" t="n"/>
      <c r="D57" s="44" t="n"/>
      <c r="E57" s="44" t="n"/>
      <c r="F57" s="50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  <c r="Z57" s="50" t="n"/>
    </row>
    <row r="58" ht="14.25" customHeight="1" s="88">
      <c r="A58" s="50" t="n"/>
      <c r="B58" s="50" t="n"/>
      <c r="C58" s="50" t="n"/>
      <c r="D58" s="44" t="n"/>
      <c r="E58" s="44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  <c r="X58" s="50" t="n"/>
      <c r="Y58" s="50" t="n"/>
      <c r="Z58" s="50" t="n"/>
    </row>
    <row r="59" ht="14.25" customHeight="1" s="88">
      <c r="A59" s="50" t="n"/>
      <c r="B59" s="50" t="n"/>
      <c r="C59" s="50" t="n"/>
      <c r="D59" s="44" t="n"/>
      <c r="E59" s="44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</row>
    <row r="60" ht="14.25" customHeight="1" s="88">
      <c r="A60" s="50" t="n"/>
      <c r="B60" s="50" t="n"/>
      <c r="C60" s="50" t="n"/>
      <c r="D60" s="44" t="n"/>
      <c r="E60" s="44" t="n"/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  <c r="V60" s="50" t="n"/>
      <c r="W60" s="50" t="n"/>
      <c r="X60" s="50" t="n"/>
      <c r="Y60" s="50" t="n"/>
      <c r="Z60" s="50" t="n"/>
    </row>
    <row r="61" ht="14.25" customHeight="1" s="88">
      <c r="A61" s="50" t="n"/>
      <c r="B61" s="50" t="n"/>
      <c r="C61" s="50" t="n"/>
      <c r="D61" s="44" t="n"/>
      <c r="E61" s="44" t="n"/>
      <c r="F61" s="50" t="n"/>
      <c r="G61" s="50" t="n"/>
      <c r="H61" s="50" t="n"/>
      <c r="I61" s="50" t="n"/>
      <c r="J61" s="50" t="n"/>
      <c r="K61" s="50" t="n"/>
      <c r="L61" s="50" t="n"/>
      <c r="M61" s="50" t="n"/>
      <c r="N61" s="50" t="n"/>
      <c r="O61" s="50" t="n"/>
      <c r="P61" s="50" t="n"/>
      <c r="Q61" s="50" t="n"/>
      <c r="R61" s="50" t="n"/>
      <c r="S61" s="50" t="n"/>
      <c r="T61" s="50" t="n"/>
      <c r="U61" s="50" t="n"/>
      <c r="V61" s="50" t="n"/>
      <c r="W61" s="50" t="n"/>
      <c r="X61" s="50" t="n"/>
      <c r="Y61" s="50" t="n"/>
      <c r="Z61" s="50" t="n"/>
    </row>
    <row r="62" ht="14.25" customHeight="1" s="88">
      <c r="A62" s="50" t="n"/>
      <c r="B62" s="50" t="n"/>
      <c r="C62" s="50" t="n"/>
      <c r="D62" s="44" t="n"/>
      <c r="E62" s="44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  <c r="V62" s="50" t="n"/>
      <c r="W62" s="50" t="n"/>
      <c r="X62" s="50" t="n"/>
      <c r="Y62" s="50" t="n"/>
      <c r="Z62" s="50" t="n"/>
    </row>
    <row r="63" ht="14.25" customHeight="1" s="88">
      <c r="A63" s="50" t="n"/>
      <c r="B63" s="50" t="n"/>
      <c r="C63" s="50" t="n"/>
      <c r="D63" s="44" t="n"/>
      <c r="E63" s="44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0" t="n"/>
      <c r="V63" s="50" t="n"/>
      <c r="W63" s="50" t="n"/>
      <c r="X63" s="50" t="n"/>
      <c r="Y63" s="50" t="n"/>
      <c r="Z63" s="50" t="n"/>
    </row>
    <row r="64" ht="14.25" customHeight="1" s="88">
      <c r="A64" s="50" t="n"/>
      <c r="B64" s="50" t="n"/>
      <c r="C64" s="50" t="n"/>
      <c r="D64" s="44" t="n"/>
      <c r="E64" s="44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  <c r="P64" s="50" t="n"/>
      <c r="Q64" s="50" t="n"/>
      <c r="R64" s="50" t="n"/>
      <c r="S64" s="50" t="n"/>
      <c r="T64" s="50" t="n"/>
      <c r="U64" s="50" t="n"/>
      <c r="V64" s="50" t="n"/>
      <c r="W64" s="50" t="n"/>
      <c r="X64" s="50" t="n"/>
      <c r="Y64" s="50" t="n"/>
      <c r="Z64" s="50" t="n"/>
    </row>
    <row r="65" ht="14.25" customHeight="1" s="88">
      <c r="A65" s="50" t="n"/>
      <c r="B65" s="50" t="n"/>
      <c r="C65" s="50" t="n"/>
      <c r="D65" s="44" t="n"/>
      <c r="E65" s="44" t="n"/>
      <c r="F65" s="50" t="n"/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  <c r="P65" s="50" t="n"/>
      <c r="Q65" s="50" t="n"/>
      <c r="R65" s="50" t="n"/>
      <c r="S65" s="50" t="n"/>
      <c r="T65" s="50" t="n"/>
      <c r="U65" s="50" t="n"/>
      <c r="V65" s="50" t="n"/>
      <c r="W65" s="50" t="n"/>
      <c r="X65" s="50" t="n"/>
      <c r="Y65" s="50" t="n"/>
      <c r="Z65" s="50" t="n"/>
    </row>
    <row r="66" ht="14.25" customHeight="1" s="88">
      <c r="A66" s="50" t="n"/>
      <c r="B66" s="50" t="n"/>
      <c r="C66" s="50" t="n"/>
      <c r="D66" s="44" t="n"/>
      <c r="E66" s="44" t="n"/>
      <c r="F66" s="50" t="n"/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  <c r="V66" s="50" t="n"/>
      <c r="W66" s="50" t="n"/>
      <c r="X66" s="50" t="n"/>
      <c r="Y66" s="50" t="n"/>
      <c r="Z66" s="50" t="n"/>
    </row>
    <row r="67" ht="14.25" customHeight="1" s="88">
      <c r="A67" s="50" t="n"/>
      <c r="B67" s="50" t="n"/>
      <c r="C67" s="50" t="n"/>
      <c r="D67" s="44" t="n"/>
      <c r="E67" s="44" t="n"/>
      <c r="F67" s="50" t="n"/>
      <c r="G67" s="50" t="n"/>
      <c r="H67" s="50" t="n"/>
      <c r="I67" s="50" t="n"/>
      <c r="J67" s="50" t="n"/>
      <c r="K67" s="50" t="n"/>
      <c r="L67" s="50" t="n"/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  <c r="V67" s="50" t="n"/>
      <c r="W67" s="50" t="n"/>
      <c r="X67" s="50" t="n"/>
      <c r="Y67" s="50" t="n"/>
      <c r="Z67" s="50" t="n"/>
    </row>
    <row r="68" ht="14.25" customHeight="1" s="88">
      <c r="A68" s="50" t="n"/>
      <c r="B68" s="50" t="n"/>
      <c r="C68" s="50" t="n"/>
      <c r="D68" s="44" t="n"/>
      <c r="E68" s="44" t="n"/>
      <c r="F68" s="50" t="n"/>
      <c r="G68" s="50" t="n"/>
      <c r="H68" s="50" t="n"/>
      <c r="I68" s="50" t="n"/>
      <c r="J68" s="50" t="n"/>
      <c r="K68" s="50" t="n"/>
      <c r="L68" s="50" t="n"/>
      <c r="M68" s="50" t="n"/>
      <c r="N68" s="50" t="n"/>
      <c r="O68" s="50" t="n"/>
      <c r="P68" s="50" t="n"/>
      <c r="Q68" s="50" t="n"/>
      <c r="R68" s="50" t="n"/>
      <c r="S68" s="50" t="n"/>
      <c r="T68" s="50" t="n"/>
      <c r="U68" s="50" t="n"/>
      <c r="V68" s="50" t="n"/>
      <c r="W68" s="50" t="n"/>
      <c r="X68" s="50" t="n"/>
      <c r="Y68" s="50" t="n"/>
      <c r="Z68" s="50" t="n"/>
    </row>
    <row r="69" ht="14.25" customHeight="1" s="88">
      <c r="A69" s="50" t="n"/>
      <c r="B69" s="50" t="n"/>
      <c r="C69" s="50" t="n"/>
      <c r="D69" s="44" t="n"/>
      <c r="E69" s="44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  <c r="P69" s="50" t="n"/>
      <c r="Q69" s="50" t="n"/>
      <c r="R69" s="50" t="n"/>
      <c r="S69" s="50" t="n"/>
      <c r="T69" s="50" t="n"/>
      <c r="U69" s="50" t="n"/>
      <c r="V69" s="50" t="n"/>
      <c r="W69" s="50" t="n"/>
      <c r="X69" s="50" t="n"/>
      <c r="Y69" s="50" t="n"/>
      <c r="Z69" s="50" t="n"/>
    </row>
    <row r="70" ht="14.25" customHeight="1" s="88">
      <c r="A70" s="50" t="n"/>
      <c r="B70" s="50" t="n"/>
      <c r="C70" s="50" t="n"/>
      <c r="D70" s="44" t="n"/>
      <c r="E70" s="44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0" t="n"/>
      <c r="S70" s="50" t="n"/>
      <c r="T70" s="50" t="n"/>
      <c r="U70" s="50" t="n"/>
      <c r="V70" s="50" t="n"/>
      <c r="W70" s="50" t="n"/>
      <c r="X70" s="50" t="n"/>
      <c r="Y70" s="50" t="n"/>
      <c r="Z70" s="50" t="n"/>
    </row>
    <row r="71" ht="14.25" customHeight="1" s="88">
      <c r="A71" s="50" t="n"/>
      <c r="B71" s="50" t="n"/>
      <c r="C71" s="50" t="n"/>
      <c r="D71" s="44" t="n"/>
      <c r="E71" s="44" t="n"/>
      <c r="F71" s="50" t="n"/>
      <c r="G71" s="50" t="n"/>
      <c r="H71" s="50" t="n"/>
      <c r="I71" s="50" t="n"/>
      <c r="J71" s="50" t="n"/>
      <c r="K71" s="50" t="n"/>
      <c r="L71" s="50" t="n"/>
      <c r="M71" s="50" t="n"/>
      <c r="N71" s="50" t="n"/>
      <c r="O71" s="50" t="n"/>
      <c r="P71" s="50" t="n"/>
      <c r="Q71" s="50" t="n"/>
      <c r="R71" s="50" t="n"/>
      <c r="S71" s="50" t="n"/>
      <c r="T71" s="50" t="n"/>
      <c r="U71" s="50" t="n"/>
      <c r="V71" s="50" t="n"/>
      <c r="W71" s="50" t="n"/>
      <c r="X71" s="50" t="n"/>
      <c r="Y71" s="50" t="n"/>
      <c r="Z71" s="50" t="n"/>
    </row>
    <row r="72" ht="14.25" customHeight="1" s="88">
      <c r="A72" s="50" t="n"/>
      <c r="B72" s="50" t="n"/>
      <c r="C72" s="50" t="n"/>
      <c r="D72" s="44" t="n"/>
      <c r="E72" s="44" t="n"/>
      <c r="F72" s="50" t="n"/>
      <c r="G72" s="50" t="n"/>
      <c r="H72" s="50" t="n"/>
      <c r="I72" s="50" t="n"/>
      <c r="J72" s="50" t="n"/>
      <c r="K72" s="50" t="n"/>
      <c r="L72" s="50" t="n"/>
      <c r="M72" s="50" t="n"/>
      <c r="N72" s="50" t="n"/>
      <c r="O72" s="50" t="n"/>
      <c r="P72" s="50" t="n"/>
      <c r="Q72" s="50" t="n"/>
      <c r="R72" s="50" t="n"/>
      <c r="S72" s="50" t="n"/>
      <c r="T72" s="50" t="n"/>
      <c r="U72" s="50" t="n"/>
      <c r="V72" s="50" t="n"/>
      <c r="W72" s="50" t="n"/>
      <c r="X72" s="50" t="n"/>
      <c r="Y72" s="50" t="n"/>
      <c r="Z72" s="50" t="n"/>
    </row>
    <row r="73" ht="14.25" customHeight="1" s="88">
      <c r="A73" s="50" t="n"/>
      <c r="B73" s="50" t="n"/>
      <c r="C73" s="50" t="n"/>
      <c r="D73" s="44" t="n"/>
      <c r="E73" s="44" t="n"/>
      <c r="F73" s="50" t="n"/>
      <c r="G73" s="50" t="n"/>
      <c r="H73" s="50" t="n"/>
      <c r="I73" s="50" t="n"/>
      <c r="J73" s="50" t="n"/>
      <c r="K73" s="50" t="n"/>
      <c r="L73" s="50" t="n"/>
      <c r="M73" s="50" t="n"/>
      <c r="N73" s="50" t="n"/>
      <c r="O73" s="50" t="n"/>
      <c r="P73" s="50" t="n"/>
      <c r="Q73" s="50" t="n"/>
      <c r="R73" s="50" t="n"/>
      <c r="S73" s="50" t="n"/>
      <c r="T73" s="50" t="n"/>
      <c r="U73" s="50" t="n"/>
      <c r="V73" s="50" t="n"/>
      <c r="W73" s="50" t="n"/>
      <c r="X73" s="50" t="n"/>
      <c r="Y73" s="50" t="n"/>
      <c r="Z73" s="50" t="n"/>
    </row>
    <row r="74" ht="14.25" customHeight="1" s="88">
      <c r="A74" s="50" t="n"/>
      <c r="B74" s="50" t="n"/>
      <c r="C74" s="50" t="n"/>
      <c r="D74" s="44" t="n"/>
      <c r="E74" s="44" t="n"/>
      <c r="F74" s="50" t="n"/>
      <c r="G74" s="50" t="n"/>
      <c r="H74" s="50" t="n"/>
      <c r="I74" s="50" t="n"/>
      <c r="J74" s="50" t="n"/>
      <c r="K74" s="50" t="n"/>
      <c r="L74" s="50" t="n"/>
      <c r="M74" s="50" t="n"/>
      <c r="N74" s="50" t="n"/>
      <c r="O74" s="50" t="n"/>
      <c r="P74" s="50" t="n"/>
      <c r="Q74" s="50" t="n"/>
      <c r="R74" s="50" t="n"/>
      <c r="S74" s="50" t="n"/>
      <c r="T74" s="50" t="n"/>
      <c r="U74" s="50" t="n"/>
      <c r="V74" s="50" t="n"/>
      <c r="W74" s="50" t="n"/>
      <c r="X74" s="50" t="n"/>
      <c r="Y74" s="50" t="n"/>
      <c r="Z74" s="50" t="n"/>
    </row>
    <row r="75" ht="14.25" customHeight="1" s="88">
      <c r="A75" s="50" t="n"/>
      <c r="B75" s="50" t="n"/>
      <c r="C75" s="50" t="n"/>
      <c r="D75" s="44" t="n"/>
      <c r="E75" s="44" t="n"/>
      <c r="F75" s="50" t="n"/>
      <c r="G75" s="50" t="n"/>
      <c r="H75" s="50" t="n"/>
      <c r="I75" s="50" t="n"/>
      <c r="J75" s="50" t="n"/>
      <c r="K75" s="50" t="n"/>
      <c r="L75" s="50" t="n"/>
      <c r="M75" s="50" t="n"/>
      <c r="N75" s="50" t="n"/>
      <c r="O75" s="50" t="n"/>
      <c r="P75" s="50" t="n"/>
      <c r="Q75" s="50" t="n"/>
      <c r="R75" s="50" t="n"/>
      <c r="S75" s="50" t="n"/>
      <c r="T75" s="50" t="n"/>
      <c r="U75" s="50" t="n"/>
      <c r="V75" s="50" t="n"/>
      <c r="W75" s="50" t="n"/>
      <c r="X75" s="50" t="n"/>
      <c r="Y75" s="50" t="n"/>
      <c r="Z75" s="50" t="n"/>
    </row>
    <row r="76" ht="14.25" customHeight="1" s="88">
      <c r="A76" s="50" t="n"/>
      <c r="B76" s="50" t="n"/>
      <c r="C76" s="50" t="n"/>
      <c r="D76" s="44" t="n"/>
      <c r="E76" s="44" t="n"/>
      <c r="F76" s="50" t="n"/>
      <c r="G76" s="50" t="n"/>
      <c r="H76" s="50" t="n"/>
      <c r="I76" s="50" t="n"/>
      <c r="J76" s="50" t="n"/>
      <c r="K76" s="50" t="n"/>
      <c r="L76" s="50" t="n"/>
      <c r="M76" s="50" t="n"/>
      <c r="N76" s="50" t="n"/>
      <c r="O76" s="50" t="n"/>
      <c r="P76" s="50" t="n"/>
      <c r="Q76" s="50" t="n"/>
      <c r="R76" s="50" t="n"/>
      <c r="S76" s="50" t="n"/>
      <c r="T76" s="50" t="n"/>
      <c r="U76" s="50" t="n"/>
      <c r="V76" s="50" t="n"/>
      <c r="W76" s="50" t="n"/>
      <c r="X76" s="50" t="n"/>
      <c r="Y76" s="50" t="n"/>
      <c r="Z76" s="50" t="n"/>
    </row>
    <row r="77" ht="14.25" customHeight="1" s="88">
      <c r="A77" s="50" t="n"/>
      <c r="B77" s="50" t="n"/>
      <c r="C77" s="50" t="n"/>
      <c r="D77" s="44" t="n"/>
      <c r="E77" s="44" t="n"/>
      <c r="F77" s="50" t="n"/>
      <c r="G77" s="50" t="n"/>
      <c r="H77" s="50" t="n"/>
      <c r="I77" s="50" t="n"/>
      <c r="J77" s="50" t="n"/>
      <c r="K77" s="50" t="n"/>
      <c r="L77" s="50" t="n"/>
      <c r="M77" s="50" t="n"/>
      <c r="N77" s="50" t="n"/>
      <c r="O77" s="50" t="n"/>
      <c r="P77" s="50" t="n"/>
      <c r="Q77" s="50" t="n"/>
      <c r="R77" s="50" t="n"/>
      <c r="S77" s="50" t="n"/>
      <c r="T77" s="50" t="n"/>
      <c r="U77" s="50" t="n"/>
      <c r="V77" s="50" t="n"/>
      <c r="W77" s="50" t="n"/>
      <c r="X77" s="50" t="n"/>
      <c r="Y77" s="50" t="n"/>
      <c r="Z77" s="50" t="n"/>
    </row>
    <row r="78" ht="14.25" customHeight="1" s="88">
      <c r="A78" s="50" t="n"/>
      <c r="B78" s="50" t="n"/>
      <c r="C78" s="50" t="n"/>
      <c r="D78" s="44" t="n"/>
      <c r="E78" s="44" t="n"/>
      <c r="F78" s="50" t="n"/>
      <c r="G78" s="50" t="n"/>
      <c r="H78" s="50" t="n"/>
      <c r="I78" s="50" t="n"/>
      <c r="J78" s="50" t="n"/>
      <c r="K78" s="50" t="n"/>
      <c r="L78" s="50" t="n"/>
      <c r="M78" s="50" t="n"/>
      <c r="N78" s="50" t="n"/>
      <c r="O78" s="50" t="n"/>
      <c r="P78" s="50" t="n"/>
      <c r="Q78" s="50" t="n"/>
      <c r="R78" s="50" t="n"/>
      <c r="S78" s="50" t="n"/>
      <c r="T78" s="50" t="n"/>
      <c r="U78" s="50" t="n"/>
      <c r="V78" s="50" t="n"/>
      <c r="W78" s="50" t="n"/>
      <c r="X78" s="50" t="n"/>
      <c r="Y78" s="50" t="n"/>
      <c r="Z78" s="50" t="n"/>
    </row>
    <row r="79" ht="14.25" customHeight="1" s="88">
      <c r="A79" s="50" t="n"/>
      <c r="B79" s="50" t="n"/>
      <c r="C79" s="50" t="n"/>
      <c r="D79" s="44" t="n"/>
      <c r="E79" s="44" t="n"/>
      <c r="F79" s="50" t="n"/>
      <c r="G79" s="50" t="n"/>
      <c r="H79" s="50" t="n"/>
      <c r="I79" s="50" t="n"/>
      <c r="J79" s="50" t="n"/>
      <c r="K79" s="50" t="n"/>
      <c r="L79" s="50" t="n"/>
      <c r="M79" s="50" t="n"/>
      <c r="N79" s="50" t="n"/>
      <c r="O79" s="50" t="n"/>
      <c r="P79" s="50" t="n"/>
      <c r="Q79" s="50" t="n"/>
      <c r="R79" s="50" t="n"/>
      <c r="S79" s="50" t="n"/>
      <c r="T79" s="50" t="n"/>
      <c r="U79" s="50" t="n"/>
      <c r="V79" s="50" t="n"/>
      <c r="W79" s="50" t="n"/>
      <c r="X79" s="50" t="n"/>
      <c r="Y79" s="50" t="n"/>
      <c r="Z79" s="50" t="n"/>
    </row>
    <row r="80" ht="14.25" customHeight="1" s="88">
      <c r="A80" s="50" t="n"/>
      <c r="B80" s="50" t="n"/>
      <c r="C80" s="50" t="n"/>
      <c r="D80" s="44" t="n"/>
      <c r="E80" s="44" t="n"/>
      <c r="F80" s="50" t="n"/>
      <c r="G80" s="50" t="n"/>
      <c r="H80" s="50" t="n"/>
      <c r="I80" s="50" t="n"/>
      <c r="J80" s="50" t="n"/>
      <c r="K80" s="50" t="n"/>
      <c r="L80" s="50" t="n"/>
      <c r="M80" s="50" t="n"/>
      <c r="N80" s="50" t="n"/>
      <c r="O80" s="50" t="n"/>
      <c r="P80" s="50" t="n"/>
      <c r="Q80" s="50" t="n"/>
      <c r="R80" s="50" t="n"/>
      <c r="S80" s="50" t="n"/>
      <c r="T80" s="50" t="n"/>
      <c r="U80" s="50" t="n"/>
      <c r="V80" s="50" t="n"/>
      <c r="W80" s="50" t="n"/>
      <c r="X80" s="50" t="n"/>
      <c r="Y80" s="50" t="n"/>
      <c r="Z80" s="50" t="n"/>
    </row>
    <row r="81" ht="14.25" customHeight="1" s="88">
      <c r="A81" s="50" t="n"/>
      <c r="B81" s="50" t="n"/>
      <c r="C81" s="50" t="n"/>
      <c r="D81" s="44" t="n"/>
      <c r="E81" s="44" t="n"/>
      <c r="F81" s="50" t="n"/>
      <c r="G81" s="50" t="n"/>
      <c r="H81" s="50" t="n"/>
      <c r="I81" s="50" t="n"/>
      <c r="J81" s="50" t="n"/>
      <c r="K81" s="50" t="n"/>
      <c r="L81" s="50" t="n"/>
      <c r="M81" s="50" t="n"/>
      <c r="N81" s="50" t="n"/>
      <c r="O81" s="50" t="n"/>
      <c r="P81" s="50" t="n"/>
      <c r="Q81" s="50" t="n"/>
      <c r="R81" s="50" t="n"/>
      <c r="S81" s="50" t="n"/>
      <c r="T81" s="50" t="n"/>
      <c r="U81" s="50" t="n"/>
      <c r="V81" s="50" t="n"/>
      <c r="W81" s="50" t="n"/>
      <c r="X81" s="50" t="n"/>
      <c r="Y81" s="50" t="n"/>
      <c r="Z81" s="50" t="n"/>
    </row>
    <row r="82" ht="14.25" customHeight="1" s="88">
      <c r="A82" s="50" t="n"/>
      <c r="B82" s="50" t="n"/>
      <c r="C82" s="50" t="n"/>
      <c r="D82" s="44" t="n"/>
      <c r="E82" s="44" t="n"/>
      <c r="F82" s="50" t="n"/>
      <c r="G82" s="50" t="n"/>
      <c r="H82" s="50" t="n"/>
      <c r="I82" s="50" t="n"/>
      <c r="J82" s="50" t="n"/>
      <c r="K82" s="50" t="n"/>
      <c r="L82" s="50" t="n"/>
      <c r="M82" s="50" t="n"/>
      <c r="N82" s="50" t="n"/>
      <c r="O82" s="50" t="n"/>
      <c r="P82" s="50" t="n"/>
      <c r="Q82" s="50" t="n"/>
      <c r="R82" s="50" t="n"/>
      <c r="S82" s="50" t="n"/>
      <c r="T82" s="50" t="n"/>
      <c r="U82" s="50" t="n"/>
      <c r="V82" s="50" t="n"/>
      <c r="W82" s="50" t="n"/>
      <c r="X82" s="50" t="n"/>
      <c r="Y82" s="50" t="n"/>
      <c r="Z82" s="50" t="n"/>
    </row>
    <row r="83" ht="14.25" customHeight="1" s="88">
      <c r="A83" s="50" t="n"/>
      <c r="B83" s="50" t="n"/>
      <c r="C83" s="50" t="n"/>
      <c r="D83" s="44" t="n"/>
      <c r="E83" s="44" t="n"/>
      <c r="F83" s="50" t="n"/>
      <c r="G83" s="50" t="n"/>
      <c r="H83" s="50" t="n"/>
      <c r="I83" s="50" t="n"/>
      <c r="J83" s="50" t="n"/>
      <c r="K83" s="50" t="n"/>
      <c r="L83" s="50" t="n"/>
      <c r="M83" s="50" t="n"/>
      <c r="N83" s="50" t="n"/>
      <c r="O83" s="50" t="n"/>
      <c r="P83" s="50" t="n"/>
      <c r="Q83" s="50" t="n"/>
      <c r="R83" s="50" t="n"/>
      <c r="S83" s="50" t="n"/>
      <c r="T83" s="50" t="n"/>
      <c r="U83" s="50" t="n"/>
      <c r="V83" s="50" t="n"/>
      <c r="W83" s="50" t="n"/>
      <c r="X83" s="50" t="n"/>
      <c r="Y83" s="50" t="n"/>
      <c r="Z83" s="50" t="n"/>
    </row>
    <row r="84" ht="14.25" customHeight="1" s="88">
      <c r="A84" s="50" t="n"/>
      <c r="B84" s="50" t="n"/>
      <c r="C84" s="50" t="n"/>
      <c r="D84" s="44" t="n"/>
      <c r="E84" s="44" t="n"/>
      <c r="F84" s="50" t="n"/>
      <c r="G84" s="50" t="n"/>
      <c r="H84" s="50" t="n"/>
      <c r="I84" s="50" t="n"/>
      <c r="J84" s="50" t="n"/>
      <c r="K84" s="50" t="n"/>
      <c r="L84" s="50" t="n"/>
      <c r="M84" s="50" t="n"/>
      <c r="N84" s="50" t="n"/>
      <c r="O84" s="50" t="n"/>
      <c r="P84" s="50" t="n"/>
      <c r="Q84" s="50" t="n"/>
      <c r="R84" s="50" t="n"/>
      <c r="S84" s="50" t="n"/>
      <c r="T84" s="50" t="n"/>
      <c r="U84" s="50" t="n"/>
      <c r="V84" s="50" t="n"/>
      <c r="W84" s="50" t="n"/>
      <c r="X84" s="50" t="n"/>
      <c r="Y84" s="50" t="n"/>
      <c r="Z84" s="50" t="n"/>
    </row>
    <row r="85" ht="14.25" customHeight="1" s="88">
      <c r="A85" s="50" t="n"/>
      <c r="B85" s="50" t="n"/>
      <c r="C85" s="50" t="n"/>
      <c r="D85" s="44" t="n"/>
      <c r="E85" s="44" t="n"/>
      <c r="F85" s="50" t="n"/>
      <c r="G85" s="50" t="n"/>
      <c r="H85" s="50" t="n"/>
      <c r="I85" s="50" t="n"/>
      <c r="J85" s="50" t="n"/>
      <c r="K85" s="50" t="n"/>
      <c r="L85" s="50" t="n"/>
      <c r="M85" s="50" t="n"/>
      <c r="N85" s="50" t="n"/>
      <c r="O85" s="50" t="n"/>
      <c r="P85" s="50" t="n"/>
      <c r="Q85" s="50" t="n"/>
      <c r="R85" s="50" t="n"/>
      <c r="S85" s="50" t="n"/>
      <c r="T85" s="50" t="n"/>
      <c r="U85" s="50" t="n"/>
      <c r="V85" s="50" t="n"/>
      <c r="W85" s="50" t="n"/>
      <c r="X85" s="50" t="n"/>
      <c r="Y85" s="50" t="n"/>
      <c r="Z85" s="50" t="n"/>
    </row>
    <row r="86" ht="14.25" customHeight="1" s="88">
      <c r="A86" s="50" t="n"/>
      <c r="B86" s="50" t="n"/>
      <c r="C86" s="50" t="n"/>
      <c r="D86" s="44" t="n"/>
      <c r="E86" s="44" t="n"/>
      <c r="F86" s="50" t="n"/>
      <c r="G86" s="50" t="n"/>
      <c r="H86" s="50" t="n"/>
      <c r="I86" s="50" t="n"/>
      <c r="J86" s="50" t="n"/>
      <c r="K86" s="50" t="n"/>
      <c r="L86" s="50" t="n"/>
      <c r="M86" s="50" t="n"/>
      <c r="N86" s="50" t="n"/>
      <c r="O86" s="50" t="n"/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  <c r="Y86" s="50" t="n"/>
      <c r="Z86" s="50" t="n"/>
    </row>
    <row r="87" ht="14.25" customHeight="1" s="88">
      <c r="A87" s="50" t="n"/>
      <c r="B87" s="50" t="n"/>
      <c r="C87" s="50" t="n"/>
      <c r="D87" s="44" t="n"/>
      <c r="E87" s="44" t="n"/>
      <c r="F87" s="50" t="n"/>
      <c r="G87" s="50" t="n"/>
      <c r="H87" s="50" t="n"/>
      <c r="I87" s="50" t="n"/>
      <c r="J87" s="50" t="n"/>
      <c r="K87" s="50" t="n"/>
      <c r="L87" s="50" t="n"/>
      <c r="M87" s="50" t="n"/>
      <c r="N87" s="50" t="n"/>
      <c r="O87" s="50" t="n"/>
      <c r="P87" s="50" t="n"/>
      <c r="Q87" s="50" t="n"/>
      <c r="R87" s="50" t="n"/>
      <c r="S87" s="50" t="n"/>
      <c r="T87" s="50" t="n"/>
      <c r="U87" s="50" t="n"/>
      <c r="V87" s="50" t="n"/>
      <c r="W87" s="50" t="n"/>
      <c r="X87" s="50" t="n"/>
      <c r="Y87" s="50" t="n"/>
      <c r="Z87" s="50" t="n"/>
    </row>
    <row r="88" ht="14.25" customHeight="1" s="88">
      <c r="A88" s="50" t="n"/>
      <c r="B88" s="50" t="n"/>
      <c r="C88" s="50" t="n"/>
      <c r="D88" s="44" t="n"/>
      <c r="E88" s="44" t="n"/>
      <c r="F88" s="50" t="n"/>
      <c r="G88" s="50" t="n"/>
      <c r="H88" s="50" t="n"/>
      <c r="I88" s="50" t="n"/>
      <c r="J88" s="50" t="n"/>
      <c r="K88" s="50" t="n"/>
      <c r="L88" s="50" t="n"/>
      <c r="M88" s="50" t="n"/>
      <c r="N88" s="50" t="n"/>
      <c r="O88" s="50" t="n"/>
      <c r="P88" s="50" t="n"/>
      <c r="Q88" s="50" t="n"/>
      <c r="R88" s="50" t="n"/>
      <c r="S88" s="50" t="n"/>
      <c r="T88" s="50" t="n"/>
      <c r="U88" s="50" t="n"/>
      <c r="V88" s="50" t="n"/>
      <c r="W88" s="50" t="n"/>
      <c r="X88" s="50" t="n"/>
      <c r="Y88" s="50" t="n"/>
      <c r="Z88" s="50" t="n"/>
    </row>
    <row r="89" ht="14.25" customHeight="1" s="88">
      <c r="A89" s="50" t="n"/>
      <c r="B89" s="50" t="n"/>
      <c r="C89" s="50" t="n"/>
      <c r="D89" s="44" t="n"/>
      <c r="E89" s="44" t="n"/>
      <c r="F89" s="50" t="n"/>
      <c r="G89" s="50" t="n"/>
      <c r="H89" s="50" t="n"/>
      <c r="I89" s="50" t="n"/>
      <c r="J89" s="50" t="n"/>
      <c r="K89" s="50" t="n"/>
      <c r="L89" s="50" t="n"/>
      <c r="M89" s="50" t="n"/>
      <c r="N89" s="50" t="n"/>
      <c r="O89" s="50" t="n"/>
      <c r="P89" s="50" t="n"/>
      <c r="Q89" s="50" t="n"/>
      <c r="R89" s="50" t="n"/>
      <c r="S89" s="50" t="n"/>
      <c r="T89" s="50" t="n"/>
      <c r="U89" s="50" t="n"/>
      <c r="V89" s="50" t="n"/>
      <c r="W89" s="50" t="n"/>
      <c r="X89" s="50" t="n"/>
      <c r="Y89" s="50" t="n"/>
      <c r="Z89" s="50" t="n"/>
    </row>
    <row r="90" ht="14.25" customHeight="1" s="88">
      <c r="A90" s="50" t="n"/>
      <c r="B90" s="50" t="n"/>
      <c r="C90" s="50" t="n"/>
      <c r="D90" s="44" t="n"/>
      <c r="E90" s="44" t="n"/>
      <c r="F90" s="50" t="n"/>
      <c r="G90" s="50" t="n"/>
      <c r="H90" s="50" t="n"/>
      <c r="I90" s="50" t="n"/>
      <c r="J90" s="50" t="n"/>
      <c r="K90" s="50" t="n"/>
      <c r="L90" s="50" t="n"/>
      <c r="M90" s="50" t="n"/>
      <c r="N90" s="50" t="n"/>
      <c r="O90" s="50" t="n"/>
      <c r="P90" s="50" t="n"/>
      <c r="Q90" s="50" t="n"/>
      <c r="R90" s="50" t="n"/>
      <c r="S90" s="50" t="n"/>
      <c r="T90" s="50" t="n"/>
      <c r="U90" s="50" t="n"/>
      <c r="V90" s="50" t="n"/>
      <c r="W90" s="50" t="n"/>
      <c r="X90" s="50" t="n"/>
      <c r="Y90" s="50" t="n"/>
      <c r="Z90" s="50" t="n"/>
    </row>
    <row r="91" ht="14.25" customHeight="1" s="88">
      <c r="A91" s="50" t="n"/>
      <c r="B91" s="50" t="n"/>
      <c r="C91" s="50" t="n"/>
      <c r="D91" s="44" t="n"/>
      <c r="E91" s="44" t="n"/>
      <c r="F91" s="50" t="n"/>
      <c r="G91" s="50" t="n"/>
      <c r="H91" s="50" t="n"/>
      <c r="I91" s="50" t="n"/>
      <c r="J91" s="50" t="n"/>
      <c r="K91" s="50" t="n"/>
      <c r="L91" s="50" t="n"/>
      <c r="M91" s="50" t="n"/>
      <c r="N91" s="50" t="n"/>
      <c r="O91" s="50" t="n"/>
      <c r="P91" s="50" t="n"/>
      <c r="Q91" s="50" t="n"/>
      <c r="R91" s="50" t="n"/>
      <c r="S91" s="50" t="n"/>
      <c r="T91" s="50" t="n"/>
      <c r="U91" s="50" t="n"/>
      <c r="V91" s="50" t="n"/>
      <c r="W91" s="50" t="n"/>
      <c r="X91" s="50" t="n"/>
      <c r="Y91" s="50" t="n"/>
      <c r="Z91" s="50" t="n"/>
    </row>
    <row r="92" ht="14.25" customHeight="1" s="88">
      <c r="A92" s="50" t="n"/>
      <c r="B92" s="50" t="n"/>
      <c r="C92" s="50" t="n"/>
      <c r="D92" s="44" t="n"/>
      <c r="E92" s="44" t="n"/>
      <c r="F92" s="50" t="n"/>
      <c r="G92" s="50" t="n"/>
      <c r="H92" s="50" t="n"/>
      <c r="I92" s="50" t="n"/>
      <c r="J92" s="50" t="n"/>
      <c r="K92" s="50" t="n"/>
      <c r="L92" s="50" t="n"/>
      <c r="M92" s="50" t="n"/>
      <c r="N92" s="50" t="n"/>
      <c r="O92" s="50" t="n"/>
      <c r="P92" s="50" t="n"/>
      <c r="Q92" s="50" t="n"/>
      <c r="R92" s="50" t="n"/>
      <c r="S92" s="50" t="n"/>
      <c r="T92" s="50" t="n"/>
      <c r="U92" s="50" t="n"/>
      <c r="V92" s="50" t="n"/>
      <c r="W92" s="50" t="n"/>
      <c r="X92" s="50" t="n"/>
      <c r="Y92" s="50" t="n"/>
      <c r="Z92" s="50" t="n"/>
    </row>
    <row r="93" ht="14.25" customHeight="1" s="88">
      <c r="A93" s="50" t="n"/>
      <c r="B93" s="50" t="n"/>
      <c r="C93" s="50" t="n"/>
      <c r="D93" s="44" t="n"/>
      <c r="E93" s="44" t="n"/>
      <c r="F93" s="50" t="n"/>
      <c r="G93" s="50" t="n"/>
      <c r="H93" s="50" t="n"/>
      <c r="I93" s="50" t="n"/>
      <c r="J93" s="50" t="n"/>
      <c r="K93" s="50" t="n"/>
      <c r="L93" s="50" t="n"/>
      <c r="M93" s="50" t="n"/>
      <c r="N93" s="50" t="n"/>
      <c r="O93" s="50" t="n"/>
      <c r="P93" s="50" t="n"/>
      <c r="Q93" s="50" t="n"/>
      <c r="R93" s="50" t="n"/>
      <c r="S93" s="50" t="n"/>
      <c r="T93" s="50" t="n"/>
      <c r="U93" s="50" t="n"/>
      <c r="V93" s="50" t="n"/>
      <c r="W93" s="50" t="n"/>
      <c r="X93" s="50" t="n"/>
      <c r="Y93" s="50" t="n"/>
      <c r="Z93" s="50" t="n"/>
    </row>
    <row r="94" ht="14.25" customHeight="1" s="88">
      <c r="A94" s="50" t="n"/>
      <c r="B94" s="50" t="n"/>
      <c r="C94" s="50" t="n"/>
      <c r="D94" s="44" t="n"/>
      <c r="E94" s="44" t="n"/>
      <c r="F94" s="50" t="n"/>
      <c r="G94" s="50" t="n"/>
      <c r="H94" s="50" t="n"/>
      <c r="I94" s="50" t="n"/>
      <c r="J94" s="50" t="n"/>
      <c r="K94" s="50" t="n"/>
      <c r="L94" s="50" t="n"/>
      <c r="M94" s="50" t="n"/>
      <c r="N94" s="50" t="n"/>
      <c r="O94" s="50" t="n"/>
      <c r="P94" s="50" t="n"/>
      <c r="Q94" s="50" t="n"/>
      <c r="R94" s="50" t="n"/>
      <c r="S94" s="50" t="n"/>
      <c r="T94" s="50" t="n"/>
      <c r="U94" s="50" t="n"/>
      <c r="V94" s="50" t="n"/>
      <c r="W94" s="50" t="n"/>
      <c r="X94" s="50" t="n"/>
      <c r="Y94" s="50" t="n"/>
      <c r="Z94" s="50" t="n"/>
    </row>
    <row r="95" ht="14.25" customHeight="1" s="88">
      <c r="A95" s="50" t="n"/>
      <c r="B95" s="50" t="n"/>
      <c r="C95" s="50" t="n"/>
      <c r="D95" s="44" t="n"/>
      <c r="E95" s="44" t="n"/>
      <c r="F95" s="50" t="n"/>
      <c r="G95" s="50" t="n"/>
      <c r="H95" s="50" t="n"/>
      <c r="I95" s="50" t="n"/>
      <c r="J95" s="50" t="n"/>
      <c r="K95" s="50" t="n"/>
      <c r="L95" s="50" t="n"/>
      <c r="M95" s="50" t="n"/>
      <c r="N95" s="50" t="n"/>
      <c r="O95" s="50" t="n"/>
      <c r="P95" s="50" t="n"/>
      <c r="Q95" s="50" t="n"/>
      <c r="R95" s="50" t="n"/>
      <c r="S95" s="50" t="n"/>
      <c r="T95" s="50" t="n"/>
      <c r="U95" s="50" t="n"/>
      <c r="V95" s="50" t="n"/>
      <c r="W95" s="50" t="n"/>
      <c r="X95" s="50" t="n"/>
      <c r="Y95" s="50" t="n"/>
      <c r="Z95" s="50" t="n"/>
    </row>
    <row r="96" ht="14.25" customHeight="1" s="88">
      <c r="A96" s="50" t="n"/>
      <c r="B96" s="50" t="n"/>
      <c r="C96" s="50" t="n"/>
      <c r="D96" s="44" t="n"/>
      <c r="E96" s="44" t="n"/>
      <c r="F96" s="50" t="n"/>
      <c r="G96" s="50" t="n"/>
      <c r="H96" s="50" t="n"/>
      <c r="I96" s="50" t="n"/>
      <c r="J96" s="50" t="n"/>
      <c r="K96" s="50" t="n"/>
      <c r="L96" s="50" t="n"/>
      <c r="M96" s="50" t="n"/>
      <c r="N96" s="50" t="n"/>
      <c r="O96" s="50" t="n"/>
      <c r="P96" s="50" t="n"/>
      <c r="Q96" s="50" t="n"/>
      <c r="R96" s="50" t="n"/>
      <c r="S96" s="50" t="n"/>
      <c r="T96" s="50" t="n"/>
      <c r="U96" s="50" t="n"/>
      <c r="V96" s="50" t="n"/>
      <c r="W96" s="50" t="n"/>
      <c r="X96" s="50" t="n"/>
      <c r="Y96" s="50" t="n"/>
      <c r="Z96" s="50" t="n"/>
    </row>
    <row r="97" ht="14.25" customHeight="1" s="88">
      <c r="A97" s="50" t="n"/>
      <c r="B97" s="50" t="n"/>
      <c r="C97" s="50" t="n"/>
      <c r="D97" s="44" t="n"/>
      <c r="E97" s="44" t="n"/>
      <c r="F97" s="50" t="n"/>
      <c r="G97" s="50" t="n"/>
      <c r="H97" s="50" t="n"/>
      <c r="I97" s="50" t="n"/>
      <c r="J97" s="50" t="n"/>
      <c r="K97" s="50" t="n"/>
      <c r="L97" s="50" t="n"/>
      <c r="M97" s="50" t="n"/>
      <c r="N97" s="50" t="n"/>
      <c r="O97" s="50" t="n"/>
      <c r="P97" s="50" t="n"/>
      <c r="Q97" s="50" t="n"/>
      <c r="R97" s="50" t="n"/>
      <c r="S97" s="50" t="n"/>
      <c r="T97" s="50" t="n"/>
      <c r="U97" s="50" t="n"/>
      <c r="V97" s="50" t="n"/>
      <c r="W97" s="50" t="n"/>
      <c r="X97" s="50" t="n"/>
      <c r="Y97" s="50" t="n"/>
      <c r="Z97" s="50" t="n"/>
    </row>
    <row r="98" ht="14.25" customHeight="1" s="88">
      <c r="A98" s="50" t="n"/>
      <c r="B98" s="50" t="n"/>
      <c r="C98" s="50" t="n"/>
      <c r="D98" s="44" t="n"/>
      <c r="E98" s="44" t="n"/>
      <c r="F98" s="50" t="n"/>
      <c r="G98" s="50" t="n"/>
      <c r="H98" s="50" t="n"/>
      <c r="I98" s="50" t="n"/>
      <c r="J98" s="50" t="n"/>
      <c r="K98" s="50" t="n"/>
      <c r="L98" s="50" t="n"/>
      <c r="M98" s="50" t="n"/>
      <c r="N98" s="50" t="n"/>
      <c r="O98" s="50" t="n"/>
      <c r="P98" s="50" t="n"/>
      <c r="Q98" s="50" t="n"/>
      <c r="R98" s="50" t="n"/>
      <c r="S98" s="50" t="n"/>
      <c r="T98" s="50" t="n"/>
      <c r="U98" s="50" t="n"/>
      <c r="V98" s="50" t="n"/>
      <c r="W98" s="50" t="n"/>
      <c r="X98" s="50" t="n"/>
      <c r="Y98" s="50" t="n"/>
      <c r="Z98" s="50" t="n"/>
    </row>
    <row r="99" ht="14.25" customHeight="1" s="88">
      <c r="A99" s="50" t="n"/>
      <c r="B99" s="50" t="n"/>
      <c r="C99" s="50" t="n"/>
      <c r="D99" s="44" t="n"/>
      <c r="E99" s="44" t="n"/>
      <c r="F99" s="50" t="n"/>
      <c r="G99" s="50" t="n"/>
      <c r="H99" s="50" t="n"/>
      <c r="I99" s="50" t="n"/>
      <c r="J99" s="50" t="n"/>
      <c r="K99" s="50" t="n"/>
      <c r="L99" s="50" t="n"/>
      <c r="M99" s="50" t="n"/>
      <c r="N99" s="50" t="n"/>
      <c r="O99" s="50" t="n"/>
      <c r="P99" s="50" t="n"/>
      <c r="Q99" s="50" t="n"/>
      <c r="R99" s="50" t="n"/>
      <c r="S99" s="50" t="n"/>
      <c r="T99" s="50" t="n"/>
      <c r="U99" s="50" t="n"/>
      <c r="V99" s="50" t="n"/>
      <c r="W99" s="50" t="n"/>
      <c r="X99" s="50" t="n"/>
      <c r="Y99" s="50" t="n"/>
      <c r="Z99" s="50" t="n"/>
    </row>
    <row r="100" ht="14.25" customHeight="1" s="88">
      <c r="A100" s="50" t="n"/>
      <c r="B100" s="50" t="n"/>
      <c r="C100" s="50" t="n"/>
      <c r="D100" s="44" t="n"/>
      <c r="E100" s="44" t="n"/>
      <c r="F100" s="50" t="n"/>
      <c r="G100" s="50" t="n"/>
      <c r="H100" s="50" t="n"/>
      <c r="I100" s="50" t="n"/>
      <c r="J100" s="50" t="n"/>
      <c r="K100" s="50" t="n"/>
      <c r="L100" s="50" t="n"/>
      <c r="M100" s="50" t="n"/>
      <c r="N100" s="50" t="n"/>
      <c r="O100" s="50" t="n"/>
      <c r="P100" s="50" t="n"/>
      <c r="Q100" s="50" t="n"/>
      <c r="R100" s="50" t="n"/>
      <c r="S100" s="50" t="n"/>
      <c r="T100" s="50" t="n"/>
      <c r="U100" s="50" t="n"/>
      <c r="V100" s="50" t="n"/>
      <c r="W100" s="50" t="n"/>
      <c r="X100" s="50" t="n"/>
      <c r="Y100" s="50" t="n"/>
      <c r="Z100" s="50" t="n"/>
    </row>
    <row r="101" ht="14.25" customHeight="1" s="88">
      <c r="A101" s="50" t="n"/>
      <c r="B101" s="50" t="n"/>
      <c r="C101" s="50" t="n"/>
      <c r="D101" s="44" t="n"/>
      <c r="E101" s="44" t="n"/>
      <c r="F101" s="50" t="n"/>
      <c r="G101" s="50" t="n"/>
      <c r="H101" s="50" t="n"/>
      <c r="I101" s="50" t="n"/>
      <c r="J101" s="50" t="n"/>
      <c r="K101" s="50" t="n"/>
      <c r="L101" s="50" t="n"/>
      <c r="M101" s="50" t="n"/>
      <c r="N101" s="50" t="n"/>
      <c r="O101" s="50" t="n"/>
      <c r="P101" s="50" t="n"/>
      <c r="Q101" s="50" t="n"/>
      <c r="R101" s="50" t="n"/>
      <c r="S101" s="50" t="n"/>
      <c r="T101" s="50" t="n"/>
      <c r="U101" s="50" t="n"/>
      <c r="V101" s="50" t="n"/>
      <c r="W101" s="50" t="n"/>
      <c r="X101" s="50" t="n"/>
      <c r="Y101" s="50" t="n"/>
      <c r="Z101" s="50" t="n"/>
    </row>
    <row r="102" ht="14.25" customHeight="1" s="88">
      <c r="A102" s="50" t="n"/>
      <c r="B102" s="50" t="n"/>
      <c r="C102" s="50" t="n"/>
      <c r="D102" s="44" t="n"/>
      <c r="E102" s="44" t="n"/>
      <c r="F102" s="50" t="n"/>
      <c r="G102" s="50" t="n"/>
      <c r="H102" s="50" t="n"/>
      <c r="I102" s="50" t="n"/>
      <c r="J102" s="50" t="n"/>
      <c r="K102" s="50" t="n"/>
      <c r="L102" s="50" t="n"/>
      <c r="M102" s="50" t="n"/>
      <c r="N102" s="50" t="n"/>
      <c r="O102" s="50" t="n"/>
      <c r="P102" s="50" t="n"/>
      <c r="Q102" s="50" t="n"/>
      <c r="R102" s="50" t="n"/>
      <c r="S102" s="50" t="n"/>
      <c r="T102" s="50" t="n"/>
      <c r="U102" s="50" t="n"/>
      <c r="V102" s="50" t="n"/>
      <c r="W102" s="50" t="n"/>
      <c r="X102" s="50" t="n"/>
      <c r="Y102" s="50" t="n"/>
      <c r="Z102" s="50" t="n"/>
    </row>
    <row r="103" ht="14.25" customHeight="1" s="88">
      <c r="A103" s="50" t="n"/>
      <c r="B103" s="50" t="n"/>
      <c r="C103" s="50" t="n"/>
      <c r="D103" s="44" t="n"/>
      <c r="E103" s="44" t="n"/>
      <c r="F103" s="50" t="n"/>
      <c r="G103" s="50" t="n"/>
      <c r="H103" s="50" t="n"/>
      <c r="I103" s="50" t="n"/>
      <c r="J103" s="50" t="n"/>
      <c r="K103" s="50" t="n"/>
      <c r="L103" s="50" t="n"/>
      <c r="M103" s="50" t="n"/>
      <c r="N103" s="50" t="n"/>
      <c r="O103" s="50" t="n"/>
      <c r="P103" s="50" t="n"/>
      <c r="Q103" s="50" t="n"/>
      <c r="R103" s="50" t="n"/>
      <c r="S103" s="50" t="n"/>
      <c r="T103" s="50" t="n"/>
      <c r="U103" s="50" t="n"/>
      <c r="V103" s="50" t="n"/>
      <c r="W103" s="50" t="n"/>
      <c r="X103" s="50" t="n"/>
      <c r="Y103" s="50" t="n"/>
      <c r="Z103" s="50" t="n"/>
    </row>
    <row r="104" ht="14.25" customHeight="1" s="88">
      <c r="A104" s="50" t="n"/>
      <c r="B104" s="50" t="n"/>
      <c r="C104" s="50" t="n"/>
      <c r="D104" s="44" t="n"/>
      <c r="E104" s="44" t="n"/>
      <c r="F104" s="50" t="n"/>
      <c r="G104" s="50" t="n"/>
      <c r="H104" s="50" t="n"/>
      <c r="I104" s="50" t="n"/>
      <c r="J104" s="50" t="n"/>
      <c r="K104" s="50" t="n"/>
      <c r="L104" s="50" t="n"/>
      <c r="M104" s="50" t="n"/>
      <c r="N104" s="50" t="n"/>
      <c r="O104" s="50" t="n"/>
      <c r="P104" s="50" t="n"/>
      <c r="Q104" s="50" t="n"/>
      <c r="R104" s="50" t="n"/>
      <c r="S104" s="50" t="n"/>
      <c r="T104" s="50" t="n"/>
      <c r="U104" s="50" t="n"/>
      <c r="V104" s="50" t="n"/>
      <c r="W104" s="50" t="n"/>
      <c r="X104" s="50" t="n"/>
      <c r="Y104" s="50" t="n"/>
      <c r="Z104" s="50" t="n"/>
    </row>
    <row r="105" ht="14.25" customHeight="1" s="88">
      <c r="A105" s="50" t="n"/>
      <c r="B105" s="50" t="n"/>
      <c r="C105" s="50" t="n"/>
      <c r="D105" s="44" t="n"/>
      <c r="E105" s="44" t="n"/>
      <c r="F105" s="50" t="n"/>
      <c r="G105" s="50" t="n"/>
      <c r="H105" s="50" t="n"/>
      <c r="I105" s="50" t="n"/>
      <c r="J105" s="50" t="n"/>
      <c r="K105" s="50" t="n"/>
      <c r="L105" s="50" t="n"/>
      <c r="M105" s="50" t="n"/>
      <c r="N105" s="50" t="n"/>
      <c r="O105" s="50" t="n"/>
      <c r="P105" s="50" t="n"/>
      <c r="Q105" s="50" t="n"/>
      <c r="R105" s="50" t="n"/>
      <c r="S105" s="50" t="n"/>
      <c r="T105" s="50" t="n"/>
      <c r="U105" s="50" t="n"/>
      <c r="V105" s="50" t="n"/>
      <c r="W105" s="50" t="n"/>
      <c r="X105" s="50" t="n"/>
      <c r="Y105" s="50" t="n"/>
      <c r="Z105" s="50" t="n"/>
    </row>
    <row r="106" ht="14.25" customHeight="1" s="88">
      <c r="A106" s="50" t="n"/>
      <c r="B106" s="50" t="n"/>
      <c r="C106" s="50" t="n"/>
      <c r="D106" s="44" t="n"/>
      <c r="E106" s="44" t="n"/>
      <c r="F106" s="50" t="n"/>
      <c r="G106" s="50" t="n"/>
      <c r="H106" s="50" t="n"/>
      <c r="I106" s="50" t="n"/>
      <c r="J106" s="50" t="n"/>
      <c r="K106" s="50" t="n"/>
      <c r="L106" s="50" t="n"/>
      <c r="M106" s="50" t="n"/>
      <c r="N106" s="50" t="n"/>
      <c r="O106" s="50" t="n"/>
      <c r="P106" s="50" t="n"/>
      <c r="Q106" s="50" t="n"/>
      <c r="R106" s="50" t="n"/>
      <c r="S106" s="50" t="n"/>
      <c r="T106" s="50" t="n"/>
      <c r="U106" s="50" t="n"/>
      <c r="V106" s="50" t="n"/>
      <c r="W106" s="50" t="n"/>
      <c r="X106" s="50" t="n"/>
      <c r="Y106" s="50" t="n"/>
      <c r="Z106" s="50" t="n"/>
    </row>
    <row r="107" ht="14.25" customHeight="1" s="88">
      <c r="A107" s="50" t="n"/>
      <c r="B107" s="50" t="n"/>
      <c r="C107" s="50" t="n"/>
      <c r="D107" s="44" t="n"/>
      <c r="E107" s="44" t="n"/>
      <c r="F107" s="50" t="n"/>
      <c r="G107" s="50" t="n"/>
      <c r="H107" s="50" t="n"/>
      <c r="I107" s="50" t="n"/>
      <c r="J107" s="50" t="n"/>
      <c r="K107" s="50" t="n"/>
      <c r="L107" s="50" t="n"/>
      <c r="M107" s="50" t="n"/>
      <c r="N107" s="50" t="n"/>
      <c r="O107" s="50" t="n"/>
      <c r="P107" s="50" t="n"/>
      <c r="Q107" s="50" t="n"/>
      <c r="R107" s="50" t="n"/>
      <c r="S107" s="50" t="n"/>
      <c r="T107" s="50" t="n"/>
      <c r="U107" s="50" t="n"/>
      <c r="V107" s="50" t="n"/>
      <c r="W107" s="50" t="n"/>
      <c r="X107" s="50" t="n"/>
      <c r="Y107" s="50" t="n"/>
      <c r="Z107" s="50" t="n"/>
    </row>
    <row r="108" ht="14.25" customHeight="1" s="88">
      <c r="A108" s="50" t="n"/>
      <c r="B108" s="50" t="n"/>
      <c r="C108" s="50" t="n"/>
      <c r="D108" s="44" t="n"/>
      <c r="E108" s="44" t="n"/>
      <c r="F108" s="50" t="n"/>
      <c r="G108" s="50" t="n"/>
      <c r="H108" s="50" t="n"/>
      <c r="I108" s="50" t="n"/>
      <c r="J108" s="50" t="n"/>
      <c r="K108" s="50" t="n"/>
      <c r="L108" s="50" t="n"/>
      <c r="M108" s="50" t="n"/>
      <c r="N108" s="50" t="n"/>
      <c r="O108" s="50" t="n"/>
      <c r="P108" s="50" t="n"/>
      <c r="Q108" s="50" t="n"/>
      <c r="R108" s="50" t="n"/>
      <c r="S108" s="50" t="n"/>
      <c r="T108" s="50" t="n"/>
      <c r="U108" s="50" t="n"/>
      <c r="V108" s="50" t="n"/>
      <c r="W108" s="50" t="n"/>
      <c r="X108" s="50" t="n"/>
      <c r="Y108" s="50" t="n"/>
      <c r="Z108" s="50" t="n"/>
    </row>
    <row r="109" ht="14.25" customHeight="1" s="88">
      <c r="A109" s="50" t="n"/>
      <c r="B109" s="50" t="n"/>
      <c r="C109" s="50" t="n"/>
      <c r="D109" s="44" t="n"/>
      <c r="E109" s="44" t="n"/>
      <c r="F109" s="50" t="n"/>
      <c r="G109" s="50" t="n"/>
      <c r="H109" s="50" t="n"/>
      <c r="I109" s="50" t="n"/>
      <c r="J109" s="50" t="n"/>
      <c r="K109" s="50" t="n"/>
      <c r="L109" s="50" t="n"/>
      <c r="M109" s="50" t="n"/>
      <c r="N109" s="50" t="n"/>
      <c r="O109" s="50" t="n"/>
      <c r="P109" s="50" t="n"/>
      <c r="Q109" s="50" t="n"/>
      <c r="R109" s="50" t="n"/>
      <c r="S109" s="50" t="n"/>
      <c r="T109" s="50" t="n"/>
      <c r="U109" s="50" t="n"/>
      <c r="V109" s="50" t="n"/>
      <c r="W109" s="50" t="n"/>
      <c r="X109" s="50" t="n"/>
      <c r="Y109" s="50" t="n"/>
      <c r="Z109" s="50" t="n"/>
    </row>
    <row r="110" ht="14.25" customHeight="1" s="88">
      <c r="A110" s="50" t="n"/>
      <c r="B110" s="50" t="n"/>
      <c r="C110" s="50" t="n"/>
      <c r="D110" s="44" t="n"/>
      <c r="E110" s="44" t="n"/>
      <c r="F110" s="50" t="n"/>
      <c r="G110" s="50" t="n"/>
      <c r="H110" s="50" t="n"/>
      <c r="I110" s="50" t="n"/>
      <c r="J110" s="50" t="n"/>
      <c r="K110" s="50" t="n"/>
      <c r="L110" s="50" t="n"/>
      <c r="M110" s="50" t="n"/>
      <c r="N110" s="50" t="n"/>
      <c r="O110" s="50" t="n"/>
      <c r="P110" s="50" t="n"/>
      <c r="Q110" s="50" t="n"/>
      <c r="R110" s="50" t="n"/>
      <c r="S110" s="50" t="n"/>
      <c r="T110" s="50" t="n"/>
      <c r="U110" s="50" t="n"/>
      <c r="V110" s="50" t="n"/>
      <c r="W110" s="50" t="n"/>
      <c r="X110" s="50" t="n"/>
      <c r="Y110" s="50" t="n"/>
      <c r="Z110" s="50" t="n"/>
    </row>
    <row r="111" ht="14.25" customHeight="1" s="88">
      <c r="A111" s="50" t="n"/>
      <c r="B111" s="50" t="n"/>
      <c r="C111" s="50" t="n"/>
      <c r="D111" s="44" t="n"/>
      <c r="E111" s="44" t="n"/>
      <c r="F111" s="50" t="n"/>
      <c r="G111" s="50" t="n"/>
      <c r="H111" s="50" t="n"/>
      <c r="I111" s="50" t="n"/>
      <c r="J111" s="50" t="n"/>
      <c r="K111" s="50" t="n"/>
      <c r="L111" s="50" t="n"/>
      <c r="M111" s="50" t="n"/>
      <c r="N111" s="50" t="n"/>
      <c r="O111" s="50" t="n"/>
      <c r="P111" s="50" t="n"/>
      <c r="Q111" s="50" t="n"/>
      <c r="R111" s="50" t="n"/>
      <c r="S111" s="50" t="n"/>
      <c r="T111" s="50" t="n"/>
      <c r="U111" s="50" t="n"/>
      <c r="V111" s="50" t="n"/>
      <c r="W111" s="50" t="n"/>
      <c r="X111" s="50" t="n"/>
      <c r="Y111" s="50" t="n"/>
      <c r="Z111" s="50" t="n"/>
    </row>
    <row r="112" ht="14.25" customHeight="1" s="88">
      <c r="A112" s="50" t="n"/>
      <c r="B112" s="50" t="n"/>
      <c r="C112" s="50" t="n"/>
      <c r="D112" s="44" t="n"/>
      <c r="E112" s="44" t="n"/>
      <c r="F112" s="50" t="n"/>
      <c r="G112" s="50" t="n"/>
      <c r="H112" s="50" t="n"/>
      <c r="I112" s="50" t="n"/>
      <c r="J112" s="50" t="n"/>
      <c r="K112" s="50" t="n"/>
      <c r="L112" s="50" t="n"/>
      <c r="M112" s="50" t="n"/>
      <c r="N112" s="50" t="n"/>
      <c r="O112" s="50" t="n"/>
      <c r="P112" s="50" t="n"/>
      <c r="Q112" s="50" t="n"/>
      <c r="R112" s="50" t="n"/>
      <c r="S112" s="50" t="n"/>
      <c r="T112" s="50" t="n"/>
      <c r="U112" s="50" t="n"/>
      <c r="V112" s="50" t="n"/>
      <c r="W112" s="50" t="n"/>
      <c r="X112" s="50" t="n"/>
      <c r="Y112" s="50" t="n"/>
      <c r="Z112" s="50" t="n"/>
    </row>
    <row r="113" ht="14.25" customHeight="1" s="88">
      <c r="A113" s="50" t="n"/>
      <c r="B113" s="50" t="n"/>
      <c r="C113" s="50" t="n"/>
      <c r="D113" s="44" t="n"/>
      <c r="E113" s="44" t="n"/>
      <c r="F113" s="50" t="n"/>
      <c r="G113" s="50" t="n"/>
      <c r="H113" s="50" t="n"/>
      <c r="I113" s="50" t="n"/>
      <c r="J113" s="50" t="n"/>
      <c r="K113" s="50" t="n"/>
      <c r="L113" s="50" t="n"/>
      <c r="M113" s="50" t="n"/>
      <c r="N113" s="50" t="n"/>
      <c r="O113" s="50" t="n"/>
      <c r="P113" s="50" t="n"/>
      <c r="Q113" s="50" t="n"/>
      <c r="R113" s="50" t="n"/>
      <c r="S113" s="50" t="n"/>
      <c r="T113" s="50" t="n"/>
      <c r="U113" s="50" t="n"/>
      <c r="V113" s="50" t="n"/>
      <c r="W113" s="50" t="n"/>
      <c r="X113" s="50" t="n"/>
      <c r="Y113" s="50" t="n"/>
      <c r="Z113" s="50" t="n"/>
    </row>
    <row r="114" ht="14.25" customHeight="1" s="88">
      <c r="A114" s="50" t="n"/>
      <c r="B114" s="50" t="n"/>
      <c r="C114" s="50" t="n"/>
      <c r="D114" s="44" t="n"/>
      <c r="E114" s="44" t="n"/>
      <c r="F114" s="50" t="n"/>
      <c r="G114" s="50" t="n"/>
      <c r="H114" s="50" t="n"/>
      <c r="I114" s="50" t="n"/>
      <c r="J114" s="50" t="n"/>
      <c r="K114" s="50" t="n"/>
      <c r="L114" s="50" t="n"/>
      <c r="M114" s="50" t="n"/>
      <c r="N114" s="50" t="n"/>
      <c r="O114" s="50" t="n"/>
      <c r="P114" s="50" t="n"/>
      <c r="Q114" s="50" t="n"/>
      <c r="R114" s="50" t="n"/>
      <c r="S114" s="50" t="n"/>
      <c r="T114" s="50" t="n"/>
      <c r="U114" s="50" t="n"/>
      <c r="V114" s="50" t="n"/>
      <c r="W114" s="50" t="n"/>
      <c r="X114" s="50" t="n"/>
      <c r="Y114" s="50" t="n"/>
      <c r="Z114" s="50" t="n"/>
    </row>
    <row r="115" ht="14.25" customHeight="1" s="88">
      <c r="A115" s="50" t="n"/>
      <c r="B115" s="50" t="n"/>
      <c r="C115" s="50" t="n"/>
      <c r="D115" s="44" t="n"/>
      <c r="E115" s="44" t="n"/>
      <c r="F115" s="50" t="n"/>
      <c r="G115" s="50" t="n"/>
      <c r="H115" s="50" t="n"/>
      <c r="I115" s="50" t="n"/>
      <c r="J115" s="50" t="n"/>
      <c r="K115" s="50" t="n"/>
      <c r="L115" s="50" t="n"/>
      <c r="M115" s="50" t="n"/>
      <c r="N115" s="50" t="n"/>
      <c r="O115" s="50" t="n"/>
      <c r="P115" s="50" t="n"/>
      <c r="Q115" s="50" t="n"/>
      <c r="R115" s="50" t="n"/>
      <c r="S115" s="50" t="n"/>
      <c r="T115" s="50" t="n"/>
      <c r="U115" s="50" t="n"/>
      <c r="V115" s="50" t="n"/>
      <c r="W115" s="50" t="n"/>
      <c r="X115" s="50" t="n"/>
      <c r="Y115" s="50" t="n"/>
      <c r="Z115" s="50" t="n"/>
    </row>
    <row r="116" ht="14.25" customHeight="1" s="88">
      <c r="A116" s="50" t="n"/>
      <c r="B116" s="50" t="n"/>
      <c r="C116" s="50" t="n"/>
      <c r="D116" s="44" t="n"/>
      <c r="E116" s="44" t="n"/>
      <c r="F116" s="50" t="n"/>
      <c r="G116" s="50" t="n"/>
      <c r="H116" s="50" t="n"/>
      <c r="I116" s="50" t="n"/>
      <c r="J116" s="50" t="n"/>
      <c r="K116" s="50" t="n"/>
      <c r="L116" s="50" t="n"/>
      <c r="M116" s="50" t="n"/>
      <c r="N116" s="50" t="n"/>
      <c r="O116" s="50" t="n"/>
      <c r="P116" s="50" t="n"/>
      <c r="Q116" s="50" t="n"/>
      <c r="R116" s="50" t="n"/>
      <c r="S116" s="50" t="n"/>
      <c r="T116" s="50" t="n"/>
      <c r="U116" s="50" t="n"/>
      <c r="V116" s="50" t="n"/>
      <c r="W116" s="50" t="n"/>
      <c r="X116" s="50" t="n"/>
      <c r="Y116" s="50" t="n"/>
      <c r="Z116" s="50" t="n"/>
    </row>
    <row r="117" ht="14.25" customHeight="1" s="88">
      <c r="A117" s="50" t="n"/>
      <c r="B117" s="50" t="n"/>
      <c r="C117" s="50" t="n"/>
      <c r="D117" s="44" t="n"/>
      <c r="E117" s="44" t="n"/>
      <c r="F117" s="50" t="n"/>
      <c r="G117" s="50" t="n"/>
      <c r="H117" s="50" t="n"/>
      <c r="I117" s="50" t="n"/>
      <c r="J117" s="50" t="n"/>
      <c r="K117" s="50" t="n"/>
      <c r="L117" s="50" t="n"/>
      <c r="M117" s="50" t="n"/>
      <c r="N117" s="50" t="n"/>
      <c r="O117" s="50" t="n"/>
      <c r="P117" s="50" t="n"/>
      <c r="Q117" s="50" t="n"/>
      <c r="R117" s="50" t="n"/>
      <c r="S117" s="50" t="n"/>
      <c r="T117" s="50" t="n"/>
      <c r="U117" s="50" t="n"/>
      <c r="V117" s="50" t="n"/>
      <c r="W117" s="50" t="n"/>
      <c r="X117" s="50" t="n"/>
      <c r="Y117" s="50" t="n"/>
      <c r="Z117" s="50" t="n"/>
    </row>
    <row r="118" ht="14.25" customHeight="1" s="88">
      <c r="A118" s="50" t="n"/>
      <c r="B118" s="50" t="n"/>
      <c r="C118" s="50" t="n"/>
      <c r="D118" s="44" t="n"/>
      <c r="E118" s="44" t="n"/>
      <c r="F118" s="50" t="n"/>
      <c r="G118" s="50" t="n"/>
      <c r="H118" s="50" t="n"/>
      <c r="I118" s="50" t="n"/>
      <c r="J118" s="50" t="n"/>
      <c r="K118" s="50" t="n"/>
      <c r="L118" s="50" t="n"/>
      <c r="M118" s="50" t="n"/>
      <c r="N118" s="50" t="n"/>
      <c r="O118" s="50" t="n"/>
      <c r="P118" s="50" t="n"/>
      <c r="Q118" s="50" t="n"/>
      <c r="R118" s="50" t="n"/>
      <c r="S118" s="50" t="n"/>
      <c r="T118" s="50" t="n"/>
      <c r="U118" s="50" t="n"/>
      <c r="V118" s="50" t="n"/>
      <c r="W118" s="50" t="n"/>
      <c r="X118" s="50" t="n"/>
      <c r="Y118" s="50" t="n"/>
      <c r="Z118" s="50" t="n"/>
    </row>
    <row r="119" ht="14.25" customHeight="1" s="88">
      <c r="A119" s="50" t="n"/>
      <c r="B119" s="50" t="n"/>
      <c r="C119" s="50" t="n"/>
      <c r="D119" s="44" t="n"/>
      <c r="E119" s="44" t="n"/>
      <c r="F119" s="50" t="n"/>
      <c r="G119" s="50" t="n"/>
      <c r="H119" s="50" t="n"/>
      <c r="I119" s="50" t="n"/>
      <c r="J119" s="50" t="n"/>
      <c r="K119" s="50" t="n"/>
      <c r="L119" s="50" t="n"/>
      <c r="M119" s="50" t="n"/>
      <c r="N119" s="50" t="n"/>
      <c r="O119" s="50" t="n"/>
      <c r="P119" s="50" t="n"/>
      <c r="Q119" s="50" t="n"/>
      <c r="R119" s="50" t="n"/>
      <c r="S119" s="50" t="n"/>
      <c r="T119" s="50" t="n"/>
      <c r="U119" s="50" t="n"/>
      <c r="V119" s="50" t="n"/>
      <c r="W119" s="50" t="n"/>
      <c r="X119" s="50" t="n"/>
      <c r="Y119" s="50" t="n"/>
      <c r="Z119" s="50" t="n"/>
    </row>
    <row r="120" ht="14.25" customHeight="1" s="88">
      <c r="A120" s="50" t="n"/>
      <c r="B120" s="50" t="n"/>
      <c r="C120" s="50" t="n"/>
      <c r="D120" s="44" t="n"/>
      <c r="E120" s="44" t="n"/>
      <c r="F120" s="50" t="n"/>
      <c r="G120" s="50" t="n"/>
      <c r="H120" s="50" t="n"/>
      <c r="I120" s="50" t="n"/>
      <c r="J120" s="50" t="n"/>
      <c r="K120" s="50" t="n"/>
      <c r="L120" s="50" t="n"/>
      <c r="M120" s="50" t="n"/>
      <c r="N120" s="50" t="n"/>
      <c r="O120" s="50" t="n"/>
      <c r="P120" s="50" t="n"/>
      <c r="Q120" s="50" t="n"/>
      <c r="R120" s="50" t="n"/>
      <c r="S120" s="50" t="n"/>
      <c r="T120" s="50" t="n"/>
      <c r="U120" s="50" t="n"/>
      <c r="V120" s="50" t="n"/>
      <c r="W120" s="50" t="n"/>
      <c r="X120" s="50" t="n"/>
      <c r="Y120" s="50" t="n"/>
      <c r="Z120" s="50" t="n"/>
    </row>
    <row r="121" ht="14.25" customHeight="1" s="88">
      <c r="A121" s="50" t="n"/>
      <c r="B121" s="50" t="n"/>
      <c r="C121" s="50" t="n"/>
      <c r="D121" s="44" t="n"/>
      <c r="E121" s="44" t="n"/>
      <c r="F121" s="50" t="n"/>
      <c r="G121" s="50" t="n"/>
      <c r="H121" s="50" t="n"/>
      <c r="I121" s="50" t="n"/>
      <c r="J121" s="50" t="n"/>
      <c r="K121" s="50" t="n"/>
      <c r="L121" s="50" t="n"/>
      <c r="M121" s="50" t="n"/>
      <c r="N121" s="50" t="n"/>
      <c r="O121" s="50" t="n"/>
      <c r="P121" s="50" t="n"/>
      <c r="Q121" s="50" t="n"/>
      <c r="R121" s="50" t="n"/>
      <c r="S121" s="50" t="n"/>
      <c r="T121" s="50" t="n"/>
      <c r="U121" s="50" t="n"/>
      <c r="V121" s="50" t="n"/>
      <c r="W121" s="50" t="n"/>
      <c r="X121" s="50" t="n"/>
      <c r="Y121" s="50" t="n"/>
      <c r="Z121" s="50" t="n"/>
    </row>
    <row r="122" ht="14.25" customHeight="1" s="88">
      <c r="A122" s="50" t="n"/>
      <c r="B122" s="50" t="n"/>
      <c r="C122" s="50" t="n"/>
      <c r="D122" s="44" t="n"/>
      <c r="E122" s="44" t="n"/>
      <c r="F122" s="50" t="n"/>
      <c r="G122" s="50" t="n"/>
      <c r="H122" s="50" t="n"/>
      <c r="I122" s="50" t="n"/>
      <c r="J122" s="50" t="n"/>
      <c r="K122" s="50" t="n"/>
      <c r="L122" s="50" t="n"/>
      <c r="M122" s="50" t="n"/>
      <c r="N122" s="50" t="n"/>
      <c r="O122" s="50" t="n"/>
      <c r="P122" s="50" t="n"/>
      <c r="Q122" s="50" t="n"/>
      <c r="R122" s="50" t="n"/>
      <c r="S122" s="50" t="n"/>
      <c r="T122" s="50" t="n"/>
      <c r="U122" s="50" t="n"/>
      <c r="V122" s="50" t="n"/>
      <c r="W122" s="50" t="n"/>
      <c r="X122" s="50" t="n"/>
      <c r="Y122" s="50" t="n"/>
      <c r="Z122" s="50" t="n"/>
    </row>
    <row r="123" ht="14.25" customHeight="1" s="88">
      <c r="A123" s="50" t="n"/>
      <c r="B123" s="50" t="n"/>
      <c r="C123" s="50" t="n"/>
      <c r="D123" s="44" t="n"/>
      <c r="E123" s="44" t="n"/>
      <c r="F123" s="50" t="n"/>
      <c r="G123" s="50" t="n"/>
      <c r="H123" s="50" t="n"/>
      <c r="I123" s="50" t="n"/>
      <c r="J123" s="50" t="n"/>
      <c r="K123" s="50" t="n"/>
      <c r="L123" s="50" t="n"/>
      <c r="M123" s="50" t="n"/>
      <c r="N123" s="50" t="n"/>
      <c r="O123" s="50" t="n"/>
      <c r="P123" s="50" t="n"/>
      <c r="Q123" s="50" t="n"/>
      <c r="R123" s="50" t="n"/>
      <c r="S123" s="50" t="n"/>
      <c r="T123" s="50" t="n"/>
      <c r="U123" s="50" t="n"/>
      <c r="V123" s="50" t="n"/>
      <c r="W123" s="50" t="n"/>
      <c r="X123" s="50" t="n"/>
      <c r="Y123" s="50" t="n"/>
      <c r="Z123" s="50" t="n"/>
    </row>
    <row r="124" ht="14.25" customHeight="1" s="88">
      <c r="A124" s="50" t="n"/>
      <c r="B124" s="50" t="n"/>
      <c r="C124" s="50" t="n"/>
      <c r="D124" s="44" t="n"/>
      <c r="E124" s="44" t="n"/>
      <c r="F124" s="50" t="n"/>
      <c r="G124" s="50" t="n"/>
      <c r="H124" s="50" t="n"/>
      <c r="I124" s="50" t="n"/>
      <c r="J124" s="50" t="n"/>
      <c r="K124" s="50" t="n"/>
      <c r="L124" s="50" t="n"/>
      <c r="M124" s="50" t="n"/>
      <c r="N124" s="50" t="n"/>
      <c r="O124" s="50" t="n"/>
      <c r="P124" s="50" t="n"/>
      <c r="Q124" s="50" t="n"/>
      <c r="R124" s="50" t="n"/>
      <c r="S124" s="50" t="n"/>
      <c r="T124" s="50" t="n"/>
      <c r="U124" s="50" t="n"/>
      <c r="V124" s="50" t="n"/>
      <c r="W124" s="50" t="n"/>
      <c r="X124" s="50" t="n"/>
      <c r="Y124" s="50" t="n"/>
      <c r="Z124" s="50" t="n"/>
    </row>
    <row r="125" ht="14.25" customHeight="1" s="88">
      <c r="A125" s="50" t="n"/>
      <c r="B125" s="50" t="n"/>
      <c r="C125" s="50" t="n"/>
      <c r="D125" s="44" t="n"/>
      <c r="E125" s="44" t="n"/>
      <c r="F125" s="50" t="n"/>
      <c r="G125" s="50" t="n"/>
      <c r="H125" s="50" t="n"/>
      <c r="I125" s="50" t="n"/>
      <c r="J125" s="50" t="n"/>
      <c r="K125" s="50" t="n"/>
      <c r="L125" s="50" t="n"/>
      <c r="M125" s="50" t="n"/>
      <c r="N125" s="50" t="n"/>
      <c r="O125" s="50" t="n"/>
      <c r="P125" s="50" t="n"/>
      <c r="Q125" s="50" t="n"/>
      <c r="R125" s="50" t="n"/>
      <c r="S125" s="50" t="n"/>
      <c r="T125" s="50" t="n"/>
      <c r="U125" s="50" t="n"/>
      <c r="V125" s="50" t="n"/>
      <c r="W125" s="50" t="n"/>
      <c r="X125" s="50" t="n"/>
      <c r="Y125" s="50" t="n"/>
      <c r="Z125" s="50" t="n"/>
    </row>
    <row r="126" ht="14.25" customHeight="1" s="88">
      <c r="A126" s="50" t="n"/>
      <c r="B126" s="50" t="n"/>
      <c r="C126" s="50" t="n"/>
      <c r="D126" s="44" t="n"/>
      <c r="E126" s="44" t="n"/>
      <c r="F126" s="50" t="n"/>
      <c r="G126" s="50" t="n"/>
      <c r="H126" s="50" t="n"/>
      <c r="I126" s="50" t="n"/>
      <c r="J126" s="50" t="n"/>
      <c r="K126" s="50" t="n"/>
      <c r="L126" s="50" t="n"/>
      <c r="M126" s="50" t="n"/>
      <c r="N126" s="50" t="n"/>
      <c r="O126" s="50" t="n"/>
      <c r="P126" s="50" t="n"/>
      <c r="Q126" s="50" t="n"/>
      <c r="R126" s="50" t="n"/>
      <c r="S126" s="50" t="n"/>
      <c r="T126" s="50" t="n"/>
      <c r="U126" s="50" t="n"/>
      <c r="V126" s="50" t="n"/>
      <c r="W126" s="50" t="n"/>
      <c r="X126" s="50" t="n"/>
      <c r="Y126" s="50" t="n"/>
      <c r="Z126" s="50" t="n"/>
    </row>
    <row r="127" ht="14.25" customHeight="1" s="88">
      <c r="A127" s="50" t="n"/>
      <c r="B127" s="50" t="n"/>
      <c r="C127" s="50" t="n"/>
      <c r="D127" s="44" t="n"/>
      <c r="E127" s="44" t="n"/>
      <c r="F127" s="50" t="n"/>
      <c r="G127" s="50" t="n"/>
      <c r="H127" s="50" t="n"/>
      <c r="I127" s="50" t="n"/>
      <c r="J127" s="50" t="n"/>
      <c r="K127" s="50" t="n"/>
      <c r="L127" s="50" t="n"/>
      <c r="M127" s="50" t="n"/>
      <c r="N127" s="50" t="n"/>
      <c r="O127" s="50" t="n"/>
      <c r="P127" s="50" t="n"/>
      <c r="Q127" s="50" t="n"/>
      <c r="R127" s="50" t="n"/>
      <c r="S127" s="50" t="n"/>
      <c r="T127" s="50" t="n"/>
      <c r="U127" s="50" t="n"/>
      <c r="V127" s="50" t="n"/>
      <c r="W127" s="50" t="n"/>
      <c r="X127" s="50" t="n"/>
      <c r="Y127" s="50" t="n"/>
      <c r="Z127" s="50" t="n"/>
    </row>
    <row r="128" ht="14.25" customHeight="1" s="88">
      <c r="A128" s="50" t="n"/>
      <c r="B128" s="50" t="n"/>
      <c r="C128" s="50" t="n"/>
      <c r="D128" s="44" t="n"/>
      <c r="E128" s="44" t="n"/>
      <c r="F128" s="50" t="n"/>
      <c r="G128" s="50" t="n"/>
      <c r="H128" s="50" t="n"/>
      <c r="I128" s="50" t="n"/>
      <c r="J128" s="50" t="n"/>
      <c r="K128" s="50" t="n"/>
      <c r="L128" s="50" t="n"/>
      <c r="M128" s="50" t="n"/>
      <c r="N128" s="50" t="n"/>
      <c r="O128" s="50" t="n"/>
      <c r="P128" s="50" t="n"/>
      <c r="Q128" s="50" t="n"/>
      <c r="R128" s="50" t="n"/>
      <c r="S128" s="50" t="n"/>
      <c r="T128" s="50" t="n"/>
      <c r="U128" s="50" t="n"/>
      <c r="V128" s="50" t="n"/>
      <c r="W128" s="50" t="n"/>
      <c r="X128" s="50" t="n"/>
      <c r="Y128" s="50" t="n"/>
      <c r="Z128" s="50" t="n"/>
    </row>
    <row r="129" ht="14.25" customHeight="1" s="88">
      <c r="A129" s="50" t="n"/>
      <c r="B129" s="50" t="n"/>
      <c r="C129" s="50" t="n"/>
      <c r="D129" s="44" t="n"/>
      <c r="E129" s="44" t="n"/>
      <c r="F129" s="50" t="n"/>
      <c r="G129" s="50" t="n"/>
      <c r="H129" s="50" t="n"/>
      <c r="I129" s="50" t="n"/>
      <c r="J129" s="50" t="n"/>
      <c r="K129" s="50" t="n"/>
      <c r="L129" s="50" t="n"/>
      <c r="M129" s="50" t="n"/>
      <c r="N129" s="50" t="n"/>
      <c r="O129" s="50" t="n"/>
      <c r="P129" s="50" t="n"/>
      <c r="Q129" s="50" t="n"/>
      <c r="R129" s="50" t="n"/>
      <c r="S129" s="50" t="n"/>
      <c r="T129" s="50" t="n"/>
      <c r="U129" s="50" t="n"/>
      <c r="V129" s="50" t="n"/>
      <c r="W129" s="50" t="n"/>
      <c r="X129" s="50" t="n"/>
      <c r="Y129" s="50" t="n"/>
      <c r="Z129" s="50" t="n"/>
    </row>
    <row r="130" ht="14.25" customHeight="1" s="88">
      <c r="A130" s="50" t="n"/>
      <c r="B130" s="50" t="n"/>
      <c r="C130" s="50" t="n"/>
      <c r="D130" s="44" t="n"/>
      <c r="E130" s="44" t="n"/>
      <c r="F130" s="50" t="n"/>
      <c r="G130" s="50" t="n"/>
      <c r="H130" s="50" t="n"/>
      <c r="I130" s="50" t="n"/>
      <c r="J130" s="50" t="n"/>
      <c r="K130" s="50" t="n"/>
      <c r="L130" s="50" t="n"/>
      <c r="M130" s="50" t="n"/>
      <c r="N130" s="50" t="n"/>
      <c r="O130" s="50" t="n"/>
      <c r="P130" s="50" t="n"/>
      <c r="Q130" s="50" t="n"/>
      <c r="R130" s="50" t="n"/>
      <c r="S130" s="50" t="n"/>
      <c r="T130" s="50" t="n"/>
      <c r="U130" s="50" t="n"/>
      <c r="V130" s="50" t="n"/>
      <c r="W130" s="50" t="n"/>
      <c r="X130" s="50" t="n"/>
      <c r="Y130" s="50" t="n"/>
      <c r="Z130" s="50" t="n"/>
    </row>
    <row r="131" ht="14.25" customHeight="1" s="88">
      <c r="A131" s="50" t="n"/>
      <c r="B131" s="50" t="n"/>
      <c r="C131" s="50" t="n"/>
      <c r="D131" s="44" t="n"/>
      <c r="E131" s="44" t="n"/>
      <c r="F131" s="50" t="n"/>
      <c r="G131" s="50" t="n"/>
      <c r="H131" s="50" t="n"/>
      <c r="I131" s="50" t="n"/>
      <c r="J131" s="50" t="n"/>
      <c r="K131" s="50" t="n"/>
      <c r="L131" s="50" t="n"/>
      <c r="M131" s="50" t="n"/>
      <c r="N131" s="50" t="n"/>
      <c r="O131" s="50" t="n"/>
      <c r="P131" s="50" t="n"/>
      <c r="Q131" s="50" t="n"/>
      <c r="R131" s="50" t="n"/>
      <c r="S131" s="50" t="n"/>
      <c r="T131" s="50" t="n"/>
      <c r="U131" s="50" t="n"/>
      <c r="V131" s="50" t="n"/>
      <c r="W131" s="50" t="n"/>
      <c r="X131" s="50" t="n"/>
      <c r="Y131" s="50" t="n"/>
      <c r="Z131" s="50" t="n"/>
    </row>
    <row r="132" ht="14.25" customHeight="1" s="88">
      <c r="A132" s="50" t="n"/>
      <c r="B132" s="50" t="n"/>
      <c r="C132" s="50" t="n"/>
      <c r="D132" s="44" t="n"/>
      <c r="E132" s="44" t="n"/>
      <c r="F132" s="50" t="n"/>
      <c r="G132" s="50" t="n"/>
      <c r="H132" s="50" t="n"/>
      <c r="I132" s="50" t="n"/>
      <c r="J132" s="50" t="n"/>
      <c r="K132" s="50" t="n"/>
      <c r="L132" s="50" t="n"/>
      <c r="M132" s="50" t="n"/>
      <c r="N132" s="50" t="n"/>
      <c r="O132" s="50" t="n"/>
      <c r="P132" s="50" t="n"/>
      <c r="Q132" s="50" t="n"/>
      <c r="R132" s="50" t="n"/>
      <c r="S132" s="50" t="n"/>
      <c r="T132" s="50" t="n"/>
      <c r="U132" s="50" t="n"/>
      <c r="V132" s="50" t="n"/>
      <c r="W132" s="50" t="n"/>
      <c r="X132" s="50" t="n"/>
      <c r="Y132" s="50" t="n"/>
      <c r="Z132" s="50" t="n"/>
    </row>
    <row r="133" ht="14.25" customHeight="1" s="88">
      <c r="A133" s="50" t="n"/>
      <c r="B133" s="50" t="n"/>
      <c r="C133" s="50" t="n"/>
      <c r="D133" s="44" t="n"/>
      <c r="E133" s="44" t="n"/>
      <c r="F133" s="50" t="n"/>
      <c r="G133" s="50" t="n"/>
      <c r="H133" s="50" t="n"/>
      <c r="I133" s="50" t="n"/>
      <c r="J133" s="50" t="n"/>
      <c r="K133" s="50" t="n"/>
      <c r="L133" s="50" t="n"/>
      <c r="M133" s="50" t="n"/>
      <c r="N133" s="50" t="n"/>
      <c r="O133" s="50" t="n"/>
      <c r="P133" s="50" t="n"/>
      <c r="Q133" s="50" t="n"/>
      <c r="R133" s="50" t="n"/>
      <c r="S133" s="50" t="n"/>
      <c r="T133" s="50" t="n"/>
      <c r="U133" s="50" t="n"/>
      <c r="V133" s="50" t="n"/>
      <c r="W133" s="50" t="n"/>
      <c r="X133" s="50" t="n"/>
      <c r="Y133" s="50" t="n"/>
      <c r="Z133" s="50" t="n"/>
    </row>
    <row r="134" ht="14.25" customHeight="1" s="88">
      <c r="A134" s="50" t="n"/>
      <c r="B134" s="50" t="n"/>
      <c r="C134" s="50" t="n"/>
      <c r="D134" s="44" t="n"/>
      <c r="E134" s="44" t="n"/>
      <c r="F134" s="50" t="n"/>
      <c r="G134" s="50" t="n"/>
      <c r="H134" s="50" t="n"/>
      <c r="I134" s="50" t="n"/>
      <c r="J134" s="50" t="n"/>
      <c r="K134" s="50" t="n"/>
      <c r="L134" s="50" t="n"/>
      <c r="M134" s="50" t="n"/>
      <c r="N134" s="50" t="n"/>
      <c r="O134" s="50" t="n"/>
      <c r="P134" s="50" t="n"/>
      <c r="Q134" s="50" t="n"/>
      <c r="R134" s="50" t="n"/>
      <c r="S134" s="50" t="n"/>
      <c r="T134" s="50" t="n"/>
      <c r="U134" s="50" t="n"/>
      <c r="V134" s="50" t="n"/>
      <c r="W134" s="50" t="n"/>
      <c r="X134" s="50" t="n"/>
      <c r="Y134" s="50" t="n"/>
      <c r="Z134" s="50" t="n"/>
    </row>
    <row r="135" ht="14.25" customHeight="1" s="88">
      <c r="A135" s="50" t="n"/>
      <c r="B135" s="50" t="n"/>
      <c r="C135" s="50" t="n"/>
      <c r="D135" s="44" t="n"/>
      <c r="E135" s="44" t="n"/>
      <c r="F135" s="50" t="n"/>
      <c r="G135" s="50" t="n"/>
      <c r="H135" s="50" t="n"/>
      <c r="I135" s="50" t="n"/>
      <c r="J135" s="50" t="n"/>
      <c r="K135" s="50" t="n"/>
      <c r="L135" s="50" t="n"/>
      <c r="M135" s="50" t="n"/>
      <c r="N135" s="50" t="n"/>
      <c r="O135" s="50" t="n"/>
      <c r="P135" s="50" t="n"/>
      <c r="Q135" s="50" t="n"/>
      <c r="R135" s="50" t="n"/>
      <c r="S135" s="50" t="n"/>
      <c r="T135" s="50" t="n"/>
      <c r="U135" s="50" t="n"/>
      <c r="V135" s="50" t="n"/>
      <c r="W135" s="50" t="n"/>
      <c r="X135" s="50" t="n"/>
      <c r="Y135" s="50" t="n"/>
      <c r="Z135" s="50" t="n"/>
    </row>
    <row r="136" ht="14.25" customHeight="1" s="88">
      <c r="A136" s="50" t="n"/>
      <c r="B136" s="50" t="n"/>
      <c r="C136" s="50" t="n"/>
      <c r="D136" s="44" t="n"/>
      <c r="E136" s="44" t="n"/>
      <c r="F136" s="50" t="n"/>
      <c r="G136" s="50" t="n"/>
      <c r="H136" s="50" t="n"/>
      <c r="I136" s="50" t="n"/>
      <c r="J136" s="50" t="n"/>
      <c r="K136" s="50" t="n"/>
      <c r="L136" s="50" t="n"/>
      <c r="M136" s="50" t="n"/>
      <c r="N136" s="50" t="n"/>
      <c r="O136" s="50" t="n"/>
      <c r="P136" s="50" t="n"/>
      <c r="Q136" s="50" t="n"/>
      <c r="R136" s="50" t="n"/>
      <c r="S136" s="50" t="n"/>
      <c r="T136" s="50" t="n"/>
      <c r="U136" s="50" t="n"/>
      <c r="V136" s="50" t="n"/>
      <c r="W136" s="50" t="n"/>
      <c r="X136" s="50" t="n"/>
      <c r="Y136" s="50" t="n"/>
      <c r="Z136" s="50" t="n"/>
    </row>
    <row r="137" ht="14.25" customHeight="1" s="88">
      <c r="A137" s="50" t="n"/>
      <c r="B137" s="50" t="n"/>
      <c r="C137" s="50" t="n"/>
      <c r="D137" s="44" t="n"/>
      <c r="E137" s="44" t="n"/>
      <c r="F137" s="50" t="n"/>
      <c r="G137" s="50" t="n"/>
      <c r="H137" s="50" t="n"/>
      <c r="I137" s="50" t="n"/>
      <c r="J137" s="50" t="n"/>
      <c r="K137" s="50" t="n"/>
      <c r="L137" s="50" t="n"/>
      <c r="M137" s="50" t="n"/>
      <c r="N137" s="50" t="n"/>
      <c r="O137" s="50" t="n"/>
      <c r="P137" s="50" t="n"/>
      <c r="Q137" s="50" t="n"/>
      <c r="R137" s="50" t="n"/>
      <c r="S137" s="50" t="n"/>
      <c r="T137" s="50" t="n"/>
      <c r="U137" s="50" t="n"/>
      <c r="V137" s="50" t="n"/>
      <c r="W137" s="50" t="n"/>
      <c r="X137" s="50" t="n"/>
      <c r="Y137" s="50" t="n"/>
      <c r="Z137" s="50" t="n"/>
    </row>
    <row r="138" ht="14.25" customHeight="1" s="88">
      <c r="A138" s="50" t="n"/>
      <c r="B138" s="50" t="n"/>
      <c r="C138" s="50" t="n"/>
      <c r="D138" s="44" t="n"/>
      <c r="E138" s="44" t="n"/>
      <c r="F138" s="50" t="n"/>
      <c r="G138" s="50" t="n"/>
      <c r="H138" s="50" t="n"/>
      <c r="I138" s="50" t="n"/>
      <c r="J138" s="50" t="n"/>
      <c r="K138" s="50" t="n"/>
      <c r="L138" s="50" t="n"/>
      <c r="M138" s="50" t="n"/>
      <c r="N138" s="50" t="n"/>
      <c r="O138" s="50" t="n"/>
      <c r="P138" s="50" t="n"/>
      <c r="Q138" s="50" t="n"/>
      <c r="R138" s="50" t="n"/>
      <c r="S138" s="50" t="n"/>
      <c r="T138" s="50" t="n"/>
      <c r="U138" s="50" t="n"/>
      <c r="V138" s="50" t="n"/>
      <c r="W138" s="50" t="n"/>
      <c r="X138" s="50" t="n"/>
      <c r="Y138" s="50" t="n"/>
      <c r="Z138" s="50" t="n"/>
    </row>
    <row r="139" ht="14.25" customHeight="1" s="88">
      <c r="A139" s="50" t="n"/>
      <c r="B139" s="50" t="n"/>
      <c r="C139" s="50" t="n"/>
      <c r="D139" s="44" t="n"/>
      <c r="E139" s="44" t="n"/>
      <c r="F139" s="50" t="n"/>
      <c r="G139" s="50" t="n"/>
      <c r="H139" s="50" t="n"/>
      <c r="I139" s="50" t="n"/>
      <c r="J139" s="50" t="n"/>
      <c r="K139" s="50" t="n"/>
      <c r="L139" s="50" t="n"/>
      <c r="M139" s="50" t="n"/>
      <c r="N139" s="50" t="n"/>
      <c r="O139" s="50" t="n"/>
      <c r="P139" s="50" t="n"/>
      <c r="Q139" s="50" t="n"/>
      <c r="R139" s="50" t="n"/>
      <c r="S139" s="50" t="n"/>
      <c r="T139" s="50" t="n"/>
      <c r="U139" s="50" t="n"/>
      <c r="V139" s="50" t="n"/>
      <c r="W139" s="50" t="n"/>
      <c r="X139" s="50" t="n"/>
      <c r="Y139" s="50" t="n"/>
      <c r="Z139" s="50" t="n"/>
    </row>
    <row r="140" ht="14.25" customHeight="1" s="88">
      <c r="A140" s="50" t="n"/>
      <c r="B140" s="50" t="n"/>
      <c r="C140" s="50" t="n"/>
      <c r="D140" s="44" t="n"/>
      <c r="E140" s="44" t="n"/>
      <c r="F140" s="50" t="n"/>
      <c r="G140" s="50" t="n"/>
      <c r="H140" s="50" t="n"/>
      <c r="I140" s="50" t="n"/>
      <c r="J140" s="50" t="n"/>
      <c r="K140" s="50" t="n"/>
      <c r="L140" s="50" t="n"/>
      <c r="M140" s="50" t="n"/>
      <c r="N140" s="50" t="n"/>
      <c r="O140" s="50" t="n"/>
      <c r="P140" s="50" t="n"/>
      <c r="Q140" s="50" t="n"/>
      <c r="R140" s="50" t="n"/>
      <c r="S140" s="50" t="n"/>
      <c r="T140" s="50" t="n"/>
      <c r="U140" s="50" t="n"/>
      <c r="V140" s="50" t="n"/>
      <c r="W140" s="50" t="n"/>
      <c r="X140" s="50" t="n"/>
      <c r="Y140" s="50" t="n"/>
      <c r="Z140" s="50" t="n"/>
    </row>
    <row r="141" ht="14.25" customHeight="1" s="88">
      <c r="A141" s="50" t="n"/>
      <c r="B141" s="50" t="n"/>
      <c r="C141" s="50" t="n"/>
      <c r="D141" s="44" t="n"/>
      <c r="E141" s="44" t="n"/>
      <c r="F141" s="50" t="n"/>
      <c r="G141" s="50" t="n"/>
      <c r="H141" s="50" t="n"/>
      <c r="I141" s="50" t="n"/>
      <c r="J141" s="50" t="n"/>
      <c r="K141" s="50" t="n"/>
      <c r="L141" s="50" t="n"/>
      <c r="M141" s="50" t="n"/>
      <c r="N141" s="50" t="n"/>
      <c r="O141" s="50" t="n"/>
      <c r="P141" s="50" t="n"/>
      <c r="Q141" s="50" t="n"/>
      <c r="R141" s="50" t="n"/>
      <c r="S141" s="50" t="n"/>
      <c r="T141" s="50" t="n"/>
      <c r="U141" s="50" t="n"/>
      <c r="V141" s="50" t="n"/>
      <c r="W141" s="50" t="n"/>
      <c r="X141" s="50" t="n"/>
      <c r="Y141" s="50" t="n"/>
      <c r="Z141" s="50" t="n"/>
    </row>
    <row r="142" ht="14.25" customHeight="1" s="88">
      <c r="A142" s="50" t="n"/>
      <c r="B142" s="50" t="n"/>
      <c r="C142" s="50" t="n"/>
      <c r="D142" s="44" t="n"/>
      <c r="E142" s="44" t="n"/>
      <c r="F142" s="50" t="n"/>
      <c r="G142" s="50" t="n"/>
      <c r="H142" s="50" t="n"/>
      <c r="I142" s="50" t="n"/>
      <c r="J142" s="50" t="n"/>
      <c r="K142" s="50" t="n"/>
      <c r="L142" s="50" t="n"/>
      <c r="M142" s="50" t="n"/>
      <c r="N142" s="50" t="n"/>
      <c r="O142" s="50" t="n"/>
      <c r="P142" s="50" t="n"/>
      <c r="Q142" s="50" t="n"/>
      <c r="R142" s="50" t="n"/>
      <c r="S142" s="50" t="n"/>
      <c r="T142" s="50" t="n"/>
      <c r="U142" s="50" t="n"/>
      <c r="V142" s="50" t="n"/>
      <c r="W142" s="50" t="n"/>
      <c r="X142" s="50" t="n"/>
      <c r="Y142" s="50" t="n"/>
      <c r="Z142" s="50" t="n"/>
    </row>
    <row r="143" ht="14.25" customHeight="1" s="88">
      <c r="A143" s="50" t="n"/>
      <c r="B143" s="50" t="n"/>
      <c r="C143" s="50" t="n"/>
      <c r="D143" s="44" t="n"/>
      <c r="E143" s="44" t="n"/>
      <c r="F143" s="50" t="n"/>
      <c r="G143" s="50" t="n"/>
      <c r="H143" s="50" t="n"/>
      <c r="I143" s="50" t="n"/>
      <c r="J143" s="50" t="n"/>
      <c r="K143" s="50" t="n"/>
      <c r="L143" s="50" t="n"/>
      <c r="M143" s="50" t="n"/>
      <c r="N143" s="50" t="n"/>
      <c r="O143" s="50" t="n"/>
      <c r="P143" s="50" t="n"/>
      <c r="Q143" s="50" t="n"/>
      <c r="R143" s="50" t="n"/>
      <c r="S143" s="50" t="n"/>
      <c r="T143" s="50" t="n"/>
      <c r="U143" s="50" t="n"/>
      <c r="V143" s="50" t="n"/>
      <c r="W143" s="50" t="n"/>
      <c r="X143" s="50" t="n"/>
      <c r="Y143" s="50" t="n"/>
      <c r="Z143" s="50" t="n"/>
    </row>
    <row r="144" ht="14.25" customHeight="1" s="88">
      <c r="A144" s="50" t="n"/>
      <c r="B144" s="50" t="n"/>
      <c r="C144" s="50" t="n"/>
      <c r="D144" s="44" t="n"/>
      <c r="E144" s="44" t="n"/>
      <c r="F144" s="50" t="n"/>
      <c r="G144" s="50" t="n"/>
      <c r="H144" s="50" t="n"/>
      <c r="I144" s="50" t="n"/>
      <c r="J144" s="50" t="n"/>
      <c r="K144" s="50" t="n"/>
      <c r="L144" s="50" t="n"/>
      <c r="M144" s="50" t="n"/>
      <c r="N144" s="50" t="n"/>
      <c r="O144" s="50" t="n"/>
      <c r="P144" s="50" t="n"/>
      <c r="Q144" s="50" t="n"/>
      <c r="R144" s="50" t="n"/>
      <c r="S144" s="50" t="n"/>
      <c r="T144" s="50" t="n"/>
      <c r="U144" s="50" t="n"/>
      <c r="V144" s="50" t="n"/>
      <c r="W144" s="50" t="n"/>
      <c r="X144" s="50" t="n"/>
      <c r="Y144" s="50" t="n"/>
      <c r="Z144" s="50" t="n"/>
    </row>
    <row r="145" ht="14.25" customHeight="1" s="88">
      <c r="A145" s="50" t="n"/>
      <c r="B145" s="50" t="n"/>
      <c r="C145" s="50" t="n"/>
      <c r="D145" s="44" t="n"/>
      <c r="E145" s="44" t="n"/>
      <c r="F145" s="50" t="n"/>
      <c r="G145" s="50" t="n"/>
      <c r="H145" s="50" t="n"/>
      <c r="I145" s="50" t="n"/>
      <c r="J145" s="50" t="n"/>
      <c r="K145" s="50" t="n"/>
      <c r="L145" s="50" t="n"/>
      <c r="M145" s="50" t="n"/>
      <c r="N145" s="50" t="n"/>
      <c r="O145" s="50" t="n"/>
      <c r="P145" s="50" t="n"/>
      <c r="Q145" s="50" t="n"/>
      <c r="R145" s="50" t="n"/>
      <c r="S145" s="50" t="n"/>
      <c r="T145" s="50" t="n"/>
      <c r="U145" s="50" t="n"/>
      <c r="V145" s="50" t="n"/>
      <c r="W145" s="50" t="n"/>
      <c r="X145" s="50" t="n"/>
      <c r="Y145" s="50" t="n"/>
      <c r="Z145" s="50" t="n"/>
    </row>
    <row r="146" ht="14.25" customHeight="1" s="88">
      <c r="A146" s="50" t="n"/>
      <c r="B146" s="50" t="n"/>
      <c r="C146" s="50" t="n"/>
      <c r="D146" s="44" t="n"/>
      <c r="E146" s="44" t="n"/>
      <c r="F146" s="50" t="n"/>
      <c r="G146" s="50" t="n"/>
      <c r="H146" s="50" t="n"/>
      <c r="I146" s="50" t="n"/>
      <c r="J146" s="50" t="n"/>
      <c r="K146" s="50" t="n"/>
      <c r="L146" s="50" t="n"/>
      <c r="M146" s="50" t="n"/>
      <c r="N146" s="50" t="n"/>
      <c r="O146" s="50" t="n"/>
      <c r="P146" s="50" t="n"/>
      <c r="Q146" s="50" t="n"/>
      <c r="R146" s="50" t="n"/>
      <c r="S146" s="50" t="n"/>
      <c r="T146" s="50" t="n"/>
      <c r="U146" s="50" t="n"/>
      <c r="V146" s="50" t="n"/>
      <c r="W146" s="50" t="n"/>
      <c r="X146" s="50" t="n"/>
      <c r="Y146" s="50" t="n"/>
      <c r="Z146" s="50" t="n"/>
    </row>
    <row r="147" ht="14.25" customHeight="1" s="88">
      <c r="A147" s="50" t="n"/>
      <c r="B147" s="50" t="n"/>
      <c r="C147" s="50" t="n"/>
      <c r="D147" s="44" t="n"/>
      <c r="E147" s="44" t="n"/>
      <c r="F147" s="50" t="n"/>
      <c r="G147" s="50" t="n"/>
      <c r="H147" s="50" t="n"/>
      <c r="I147" s="50" t="n"/>
      <c r="J147" s="50" t="n"/>
      <c r="K147" s="50" t="n"/>
      <c r="L147" s="50" t="n"/>
      <c r="M147" s="50" t="n"/>
      <c r="N147" s="50" t="n"/>
      <c r="O147" s="50" t="n"/>
      <c r="P147" s="50" t="n"/>
      <c r="Q147" s="50" t="n"/>
      <c r="R147" s="50" t="n"/>
      <c r="S147" s="50" t="n"/>
      <c r="T147" s="50" t="n"/>
      <c r="U147" s="50" t="n"/>
      <c r="V147" s="50" t="n"/>
      <c r="W147" s="50" t="n"/>
      <c r="X147" s="50" t="n"/>
      <c r="Y147" s="50" t="n"/>
      <c r="Z147" s="50" t="n"/>
    </row>
    <row r="148" ht="14.25" customHeight="1" s="88">
      <c r="A148" s="50" t="n"/>
      <c r="B148" s="50" t="n"/>
      <c r="C148" s="50" t="n"/>
      <c r="D148" s="44" t="n"/>
      <c r="E148" s="44" t="n"/>
      <c r="F148" s="50" t="n"/>
      <c r="G148" s="50" t="n"/>
      <c r="H148" s="50" t="n"/>
      <c r="I148" s="50" t="n"/>
      <c r="J148" s="50" t="n"/>
      <c r="K148" s="50" t="n"/>
      <c r="L148" s="50" t="n"/>
      <c r="M148" s="50" t="n"/>
      <c r="N148" s="50" t="n"/>
      <c r="O148" s="50" t="n"/>
      <c r="P148" s="50" t="n"/>
      <c r="Q148" s="50" t="n"/>
      <c r="R148" s="50" t="n"/>
      <c r="S148" s="50" t="n"/>
      <c r="T148" s="50" t="n"/>
      <c r="U148" s="50" t="n"/>
      <c r="V148" s="50" t="n"/>
      <c r="W148" s="50" t="n"/>
      <c r="X148" s="50" t="n"/>
      <c r="Y148" s="50" t="n"/>
      <c r="Z148" s="50" t="n"/>
    </row>
    <row r="149" ht="14.25" customHeight="1" s="88">
      <c r="A149" s="50" t="n"/>
      <c r="B149" s="50" t="n"/>
      <c r="C149" s="50" t="n"/>
      <c r="D149" s="44" t="n"/>
      <c r="E149" s="44" t="n"/>
      <c r="F149" s="50" t="n"/>
      <c r="G149" s="50" t="n"/>
      <c r="H149" s="50" t="n"/>
      <c r="I149" s="50" t="n"/>
      <c r="J149" s="50" t="n"/>
      <c r="K149" s="50" t="n"/>
      <c r="L149" s="50" t="n"/>
      <c r="M149" s="50" t="n"/>
      <c r="N149" s="50" t="n"/>
      <c r="O149" s="50" t="n"/>
      <c r="P149" s="50" t="n"/>
      <c r="Q149" s="50" t="n"/>
      <c r="R149" s="50" t="n"/>
      <c r="S149" s="50" t="n"/>
      <c r="T149" s="50" t="n"/>
      <c r="U149" s="50" t="n"/>
      <c r="V149" s="50" t="n"/>
      <c r="W149" s="50" t="n"/>
      <c r="X149" s="50" t="n"/>
      <c r="Y149" s="50" t="n"/>
      <c r="Z149" s="50" t="n"/>
    </row>
    <row r="150" ht="14.25" customHeight="1" s="88">
      <c r="A150" s="50" t="n"/>
      <c r="B150" s="50" t="n"/>
      <c r="C150" s="50" t="n"/>
      <c r="D150" s="44" t="n"/>
      <c r="E150" s="44" t="n"/>
      <c r="F150" s="50" t="n"/>
      <c r="G150" s="50" t="n"/>
      <c r="H150" s="50" t="n"/>
      <c r="I150" s="50" t="n"/>
      <c r="J150" s="50" t="n"/>
      <c r="K150" s="50" t="n"/>
      <c r="L150" s="50" t="n"/>
      <c r="M150" s="50" t="n"/>
      <c r="N150" s="50" t="n"/>
      <c r="O150" s="50" t="n"/>
      <c r="P150" s="50" t="n"/>
      <c r="Q150" s="50" t="n"/>
      <c r="R150" s="50" t="n"/>
      <c r="S150" s="50" t="n"/>
      <c r="T150" s="50" t="n"/>
      <c r="U150" s="50" t="n"/>
      <c r="V150" s="50" t="n"/>
      <c r="W150" s="50" t="n"/>
      <c r="X150" s="50" t="n"/>
      <c r="Y150" s="50" t="n"/>
      <c r="Z150" s="50" t="n"/>
    </row>
    <row r="151" ht="14.25" customHeight="1" s="88">
      <c r="A151" s="50" t="n"/>
      <c r="B151" s="50" t="n"/>
      <c r="C151" s="50" t="n"/>
      <c r="D151" s="44" t="n"/>
      <c r="E151" s="44" t="n"/>
      <c r="F151" s="50" t="n"/>
      <c r="G151" s="50" t="n"/>
      <c r="H151" s="50" t="n"/>
      <c r="I151" s="50" t="n"/>
      <c r="J151" s="50" t="n"/>
      <c r="K151" s="50" t="n"/>
      <c r="L151" s="50" t="n"/>
      <c r="M151" s="50" t="n"/>
      <c r="N151" s="50" t="n"/>
      <c r="O151" s="50" t="n"/>
      <c r="P151" s="50" t="n"/>
      <c r="Q151" s="50" t="n"/>
      <c r="R151" s="50" t="n"/>
      <c r="S151" s="50" t="n"/>
      <c r="T151" s="50" t="n"/>
      <c r="U151" s="50" t="n"/>
      <c r="V151" s="50" t="n"/>
      <c r="W151" s="50" t="n"/>
      <c r="X151" s="50" t="n"/>
      <c r="Y151" s="50" t="n"/>
      <c r="Z151" s="50" t="n"/>
    </row>
    <row r="152" ht="14.25" customHeight="1" s="88">
      <c r="A152" s="50" t="n"/>
      <c r="B152" s="50" t="n"/>
      <c r="C152" s="50" t="n"/>
      <c r="D152" s="44" t="n"/>
      <c r="E152" s="44" t="n"/>
      <c r="F152" s="50" t="n"/>
      <c r="G152" s="50" t="n"/>
      <c r="H152" s="50" t="n"/>
      <c r="I152" s="50" t="n"/>
      <c r="J152" s="50" t="n"/>
      <c r="K152" s="50" t="n"/>
      <c r="L152" s="50" t="n"/>
      <c r="M152" s="50" t="n"/>
      <c r="N152" s="50" t="n"/>
      <c r="O152" s="50" t="n"/>
      <c r="P152" s="50" t="n"/>
      <c r="Q152" s="50" t="n"/>
      <c r="R152" s="50" t="n"/>
      <c r="S152" s="50" t="n"/>
      <c r="T152" s="50" t="n"/>
      <c r="U152" s="50" t="n"/>
      <c r="V152" s="50" t="n"/>
      <c r="W152" s="50" t="n"/>
      <c r="X152" s="50" t="n"/>
      <c r="Y152" s="50" t="n"/>
      <c r="Z152" s="50" t="n"/>
    </row>
    <row r="153" ht="14.25" customHeight="1" s="88">
      <c r="A153" s="50" t="n"/>
      <c r="B153" s="50" t="n"/>
      <c r="C153" s="50" t="n"/>
      <c r="D153" s="44" t="n"/>
      <c r="E153" s="44" t="n"/>
      <c r="F153" s="50" t="n"/>
      <c r="G153" s="50" t="n"/>
      <c r="H153" s="50" t="n"/>
      <c r="I153" s="50" t="n"/>
      <c r="J153" s="50" t="n"/>
      <c r="K153" s="50" t="n"/>
      <c r="L153" s="50" t="n"/>
      <c r="M153" s="50" t="n"/>
      <c r="N153" s="50" t="n"/>
      <c r="O153" s="50" t="n"/>
      <c r="P153" s="50" t="n"/>
      <c r="Q153" s="50" t="n"/>
      <c r="R153" s="50" t="n"/>
      <c r="S153" s="50" t="n"/>
      <c r="T153" s="50" t="n"/>
      <c r="U153" s="50" t="n"/>
      <c r="V153" s="50" t="n"/>
      <c r="W153" s="50" t="n"/>
      <c r="X153" s="50" t="n"/>
      <c r="Y153" s="50" t="n"/>
      <c r="Z153" s="50" t="n"/>
    </row>
    <row r="154" ht="14.25" customHeight="1" s="88">
      <c r="A154" s="50" t="n"/>
      <c r="B154" s="50" t="n"/>
      <c r="C154" s="50" t="n"/>
      <c r="D154" s="44" t="n"/>
      <c r="E154" s="44" t="n"/>
      <c r="F154" s="50" t="n"/>
      <c r="G154" s="50" t="n"/>
      <c r="H154" s="50" t="n"/>
      <c r="I154" s="50" t="n"/>
      <c r="J154" s="50" t="n"/>
      <c r="K154" s="50" t="n"/>
      <c r="L154" s="50" t="n"/>
      <c r="M154" s="50" t="n"/>
      <c r="N154" s="50" t="n"/>
      <c r="O154" s="50" t="n"/>
      <c r="P154" s="50" t="n"/>
      <c r="Q154" s="50" t="n"/>
      <c r="R154" s="50" t="n"/>
      <c r="S154" s="50" t="n"/>
      <c r="T154" s="50" t="n"/>
      <c r="U154" s="50" t="n"/>
      <c r="V154" s="50" t="n"/>
      <c r="W154" s="50" t="n"/>
      <c r="X154" s="50" t="n"/>
      <c r="Y154" s="50" t="n"/>
      <c r="Z154" s="50" t="n"/>
    </row>
    <row r="155" ht="14.25" customHeight="1" s="88">
      <c r="A155" s="50" t="n"/>
      <c r="B155" s="50" t="n"/>
      <c r="C155" s="50" t="n"/>
      <c r="D155" s="44" t="n"/>
      <c r="E155" s="44" t="n"/>
      <c r="F155" s="50" t="n"/>
      <c r="G155" s="50" t="n"/>
      <c r="H155" s="50" t="n"/>
      <c r="I155" s="50" t="n"/>
      <c r="J155" s="50" t="n"/>
      <c r="K155" s="50" t="n"/>
      <c r="L155" s="50" t="n"/>
      <c r="M155" s="50" t="n"/>
      <c r="N155" s="50" t="n"/>
      <c r="O155" s="50" t="n"/>
      <c r="P155" s="50" t="n"/>
      <c r="Q155" s="50" t="n"/>
      <c r="R155" s="50" t="n"/>
      <c r="S155" s="50" t="n"/>
      <c r="T155" s="50" t="n"/>
      <c r="U155" s="50" t="n"/>
      <c r="V155" s="50" t="n"/>
      <c r="W155" s="50" t="n"/>
      <c r="X155" s="50" t="n"/>
      <c r="Y155" s="50" t="n"/>
      <c r="Z155" s="50" t="n"/>
    </row>
    <row r="156" ht="14.25" customHeight="1" s="88">
      <c r="A156" s="50" t="n"/>
      <c r="B156" s="50" t="n"/>
      <c r="C156" s="50" t="n"/>
      <c r="D156" s="44" t="n"/>
      <c r="E156" s="44" t="n"/>
      <c r="F156" s="50" t="n"/>
      <c r="G156" s="50" t="n"/>
      <c r="H156" s="50" t="n"/>
      <c r="I156" s="50" t="n"/>
      <c r="J156" s="50" t="n"/>
      <c r="K156" s="50" t="n"/>
      <c r="L156" s="50" t="n"/>
      <c r="M156" s="50" t="n"/>
      <c r="N156" s="50" t="n"/>
      <c r="O156" s="50" t="n"/>
      <c r="P156" s="50" t="n"/>
      <c r="Q156" s="50" t="n"/>
      <c r="R156" s="50" t="n"/>
      <c r="S156" s="50" t="n"/>
      <c r="T156" s="50" t="n"/>
      <c r="U156" s="50" t="n"/>
      <c r="V156" s="50" t="n"/>
      <c r="W156" s="50" t="n"/>
      <c r="X156" s="50" t="n"/>
      <c r="Y156" s="50" t="n"/>
      <c r="Z156" s="50" t="n"/>
    </row>
    <row r="157" ht="14.25" customHeight="1" s="88">
      <c r="A157" s="50" t="n"/>
      <c r="B157" s="50" t="n"/>
      <c r="C157" s="50" t="n"/>
      <c r="D157" s="44" t="n"/>
      <c r="E157" s="44" t="n"/>
      <c r="F157" s="50" t="n"/>
      <c r="G157" s="50" t="n"/>
      <c r="H157" s="50" t="n"/>
      <c r="I157" s="50" t="n"/>
      <c r="J157" s="50" t="n"/>
      <c r="K157" s="50" t="n"/>
      <c r="L157" s="50" t="n"/>
      <c r="M157" s="50" t="n"/>
      <c r="N157" s="50" t="n"/>
      <c r="O157" s="50" t="n"/>
      <c r="P157" s="50" t="n"/>
      <c r="Q157" s="50" t="n"/>
      <c r="R157" s="50" t="n"/>
      <c r="S157" s="50" t="n"/>
      <c r="T157" s="50" t="n"/>
      <c r="U157" s="50" t="n"/>
      <c r="V157" s="50" t="n"/>
      <c r="W157" s="50" t="n"/>
      <c r="X157" s="50" t="n"/>
      <c r="Y157" s="50" t="n"/>
      <c r="Z157" s="50" t="n"/>
    </row>
    <row r="158" ht="14.25" customHeight="1" s="88">
      <c r="A158" s="50" t="n"/>
      <c r="B158" s="50" t="n"/>
      <c r="C158" s="50" t="n"/>
      <c r="D158" s="44" t="n"/>
      <c r="E158" s="44" t="n"/>
      <c r="F158" s="50" t="n"/>
      <c r="G158" s="50" t="n"/>
      <c r="H158" s="50" t="n"/>
      <c r="I158" s="50" t="n"/>
      <c r="J158" s="50" t="n"/>
      <c r="K158" s="50" t="n"/>
      <c r="L158" s="50" t="n"/>
      <c r="M158" s="50" t="n"/>
      <c r="N158" s="50" t="n"/>
      <c r="O158" s="50" t="n"/>
      <c r="P158" s="50" t="n"/>
      <c r="Q158" s="50" t="n"/>
      <c r="R158" s="50" t="n"/>
      <c r="S158" s="50" t="n"/>
      <c r="T158" s="50" t="n"/>
      <c r="U158" s="50" t="n"/>
      <c r="V158" s="50" t="n"/>
      <c r="W158" s="50" t="n"/>
      <c r="X158" s="50" t="n"/>
      <c r="Y158" s="50" t="n"/>
      <c r="Z158" s="50" t="n"/>
    </row>
    <row r="159" ht="14.25" customHeight="1" s="88">
      <c r="A159" s="50" t="n"/>
      <c r="B159" s="50" t="n"/>
      <c r="C159" s="50" t="n"/>
      <c r="D159" s="44" t="n"/>
      <c r="E159" s="44" t="n"/>
      <c r="F159" s="50" t="n"/>
      <c r="G159" s="50" t="n"/>
      <c r="H159" s="50" t="n"/>
      <c r="I159" s="50" t="n"/>
      <c r="J159" s="50" t="n"/>
      <c r="K159" s="50" t="n"/>
      <c r="L159" s="50" t="n"/>
      <c r="M159" s="50" t="n"/>
      <c r="N159" s="50" t="n"/>
      <c r="O159" s="50" t="n"/>
      <c r="P159" s="50" t="n"/>
      <c r="Q159" s="50" t="n"/>
      <c r="R159" s="50" t="n"/>
      <c r="S159" s="50" t="n"/>
      <c r="T159" s="50" t="n"/>
      <c r="U159" s="50" t="n"/>
      <c r="V159" s="50" t="n"/>
      <c r="W159" s="50" t="n"/>
      <c r="X159" s="50" t="n"/>
      <c r="Y159" s="50" t="n"/>
      <c r="Z159" s="50" t="n"/>
    </row>
    <row r="160" ht="14.25" customHeight="1" s="88">
      <c r="A160" s="50" t="n"/>
      <c r="B160" s="50" t="n"/>
      <c r="C160" s="50" t="n"/>
      <c r="D160" s="44" t="n"/>
      <c r="E160" s="44" t="n"/>
      <c r="F160" s="50" t="n"/>
      <c r="G160" s="50" t="n"/>
      <c r="H160" s="50" t="n"/>
      <c r="I160" s="50" t="n"/>
      <c r="J160" s="50" t="n"/>
      <c r="K160" s="50" t="n"/>
      <c r="L160" s="50" t="n"/>
      <c r="M160" s="50" t="n"/>
      <c r="N160" s="50" t="n"/>
      <c r="O160" s="50" t="n"/>
      <c r="P160" s="50" t="n"/>
      <c r="Q160" s="50" t="n"/>
      <c r="R160" s="50" t="n"/>
      <c r="S160" s="50" t="n"/>
      <c r="T160" s="50" t="n"/>
      <c r="U160" s="50" t="n"/>
      <c r="V160" s="50" t="n"/>
      <c r="W160" s="50" t="n"/>
      <c r="X160" s="50" t="n"/>
      <c r="Y160" s="50" t="n"/>
      <c r="Z160" s="50" t="n"/>
    </row>
    <row r="161" ht="14.25" customHeight="1" s="88">
      <c r="A161" s="50" t="n"/>
      <c r="B161" s="50" t="n"/>
      <c r="C161" s="50" t="n"/>
      <c r="D161" s="44" t="n"/>
      <c r="E161" s="44" t="n"/>
      <c r="F161" s="50" t="n"/>
      <c r="G161" s="50" t="n"/>
      <c r="H161" s="50" t="n"/>
      <c r="I161" s="50" t="n"/>
      <c r="J161" s="50" t="n"/>
      <c r="K161" s="50" t="n"/>
      <c r="L161" s="50" t="n"/>
      <c r="M161" s="50" t="n"/>
      <c r="N161" s="50" t="n"/>
      <c r="O161" s="50" t="n"/>
      <c r="P161" s="50" t="n"/>
      <c r="Q161" s="50" t="n"/>
      <c r="R161" s="50" t="n"/>
      <c r="S161" s="50" t="n"/>
      <c r="T161" s="50" t="n"/>
      <c r="U161" s="50" t="n"/>
      <c r="V161" s="50" t="n"/>
      <c r="W161" s="50" t="n"/>
      <c r="X161" s="50" t="n"/>
      <c r="Y161" s="50" t="n"/>
      <c r="Z161" s="50" t="n"/>
    </row>
    <row r="162" ht="14.25" customHeight="1" s="88">
      <c r="A162" s="50" t="n"/>
      <c r="B162" s="50" t="n"/>
      <c r="C162" s="50" t="n"/>
      <c r="D162" s="44" t="n"/>
      <c r="E162" s="44" t="n"/>
      <c r="F162" s="50" t="n"/>
      <c r="G162" s="50" t="n"/>
      <c r="H162" s="50" t="n"/>
      <c r="I162" s="50" t="n"/>
      <c r="J162" s="50" t="n"/>
      <c r="K162" s="50" t="n"/>
      <c r="L162" s="50" t="n"/>
      <c r="M162" s="50" t="n"/>
      <c r="N162" s="50" t="n"/>
      <c r="O162" s="50" t="n"/>
      <c r="P162" s="50" t="n"/>
      <c r="Q162" s="50" t="n"/>
      <c r="R162" s="50" t="n"/>
      <c r="S162" s="50" t="n"/>
      <c r="T162" s="50" t="n"/>
      <c r="U162" s="50" t="n"/>
      <c r="V162" s="50" t="n"/>
      <c r="W162" s="50" t="n"/>
      <c r="X162" s="50" t="n"/>
      <c r="Y162" s="50" t="n"/>
      <c r="Z162" s="50" t="n"/>
    </row>
    <row r="163" ht="14.25" customHeight="1" s="88">
      <c r="A163" s="50" t="n"/>
      <c r="B163" s="50" t="n"/>
      <c r="C163" s="50" t="n"/>
      <c r="D163" s="44" t="n"/>
      <c r="E163" s="44" t="n"/>
      <c r="F163" s="50" t="n"/>
      <c r="G163" s="50" t="n"/>
      <c r="H163" s="50" t="n"/>
      <c r="I163" s="50" t="n"/>
      <c r="J163" s="50" t="n"/>
      <c r="K163" s="50" t="n"/>
      <c r="L163" s="50" t="n"/>
      <c r="M163" s="50" t="n"/>
      <c r="N163" s="50" t="n"/>
      <c r="O163" s="50" t="n"/>
      <c r="P163" s="50" t="n"/>
      <c r="Q163" s="50" t="n"/>
      <c r="R163" s="50" t="n"/>
      <c r="S163" s="50" t="n"/>
      <c r="T163" s="50" t="n"/>
      <c r="U163" s="50" t="n"/>
      <c r="V163" s="50" t="n"/>
      <c r="W163" s="50" t="n"/>
      <c r="X163" s="50" t="n"/>
      <c r="Y163" s="50" t="n"/>
      <c r="Z163" s="50" t="n"/>
    </row>
    <row r="164" ht="14.25" customHeight="1" s="88">
      <c r="A164" s="50" t="n"/>
      <c r="B164" s="50" t="n"/>
      <c r="C164" s="50" t="n"/>
      <c r="D164" s="44" t="n"/>
      <c r="E164" s="44" t="n"/>
      <c r="F164" s="50" t="n"/>
      <c r="G164" s="50" t="n"/>
      <c r="H164" s="50" t="n"/>
      <c r="I164" s="50" t="n"/>
      <c r="J164" s="50" t="n"/>
      <c r="K164" s="50" t="n"/>
      <c r="L164" s="50" t="n"/>
      <c r="M164" s="50" t="n"/>
      <c r="N164" s="50" t="n"/>
      <c r="O164" s="50" t="n"/>
      <c r="P164" s="50" t="n"/>
      <c r="Q164" s="50" t="n"/>
      <c r="R164" s="50" t="n"/>
      <c r="S164" s="50" t="n"/>
      <c r="T164" s="50" t="n"/>
      <c r="U164" s="50" t="n"/>
      <c r="V164" s="50" t="n"/>
      <c r="W164" s="50" t="n"/>
      <c r="X164" s="50" t="n"/>
      <c r="Y164" s="50" t="n"/>
      <c r="Z164" s="50" t="n"/>
    </row>
    <row r="165" ht="14.25" customHeight="1" s="88">
      <c r="A165" s="50" t="n"/>
      <c r="B165" s="50" t="n"/>
      <c r="C165" s="50" t="n"/>
      <c r="D165" s="44" t="n"/>
      <c r="E165" s="44" t="n"/>
      <c r="F165" s="50" t="n"/>
      <c r="G165" s="50" t="n"/>
      <c r="H165" s="50" t="n"/>
      <c r="I165" s="50" t="n"/>
      <c r="J165" s="50" t="n"/>
      <c r="K165" s="50" t="n"/>
      <c r="L165" s="50" t="n"/>
      <c r="M165" s="50" t="n"/>
      <c r="N165" s="50" t="n"/>
      <c r="O165" s="50" t="n"/>
      <c r="P165" s="50" t="n"/>
      <c r="Q165" s="50" t="n"/>
      <c r="R165" s="50" t="n"/>
      <c r="S165" s="50" t="n"/>
      <c r="T165" s="50" t="n"/>
      <c r="U165" s="50" t="n"/>
      <c r="V165" s="50" t="n"/>
      <c r="W165" s="50" t="n"/>
      <c r="X165" s="50" t="n"/>
      <c r="Y165" s="50" t="n"/>
      <c r="Z165" s="50" t="n"/>
    </row>
    <row r="166" ht="14.25" customHeight="1" s="88">
      <c r="A166" s="50" t="n"/>
      <c r="B166" s="50" t="n"/>
      <c r="C166" s="50" t="n"/>
      <c r="D166" s="44" t="n"/>
      <c r="E166" s="44" t="n"/>
      <c r="F166" s="50" t="n"/>
      <c r="G166" s="50" t="n"/>
      <c r="H166" s="50" t="n"/>
      <c r="I166" s="50" t="n"/>
      <c r="J166" s="50" t="n"/>
      <c r="K166" s="50" t="n"/>
      <c r="L166" s="50" t="n"/>
      <c r="M166" s="50" t="n"/>
      <c r="N166" s="50" t="n"/>
      <c r="O166" s="50" t="n"/>
      <c r="P166" s="50" t="n"/>
      <c r="Q166" s="50" t="n"/>
      <c r="R166" s="50" t="n"/>
      <c r="S166" s="50" t="n"/>
      <c r="T166" s="50" t="n"/>
      <c r="U166" s="50" t="n"/>
      <c r="V166" s="50" t="n"/>
      <c r="W166" s="50" t="n"/>
      <c r="X166" s="50" t="n"/>
      <c r="Y166" s="50" t="n"/>
      <c r="Z166" s="50" t="n"/>
    </row>
    <row r="167" ht="14.25" customHeight="1" s="88">
      <c r="A167" s="50" t="n"/>
      <c r="B167" s="50" t="n"/>
      <c r="C167" s="50" t="n"/>
      <c r="D167" s="44" t="n"/>
      <c r="E167" s="44" t="n"/>
      <c r="F167" s="50" t="n"/>
      <c r="G167" s="50" t="n"/>
      <c r="H167" s="50" t="n"/>
      <c r="I167" s="50" t="n"/>
      <c r="J167" s="50" t="n"/>
      <c r="K167" s="50" t="n"/>
      <c r="L167" s="50" t="n"/>
      <c r="M167" s="50" t="n"/>
      <c r="N167" s="50" t="n"/>
      <c r="O167" s="50" t="n"/>
      <c r="P167" s="50" t="n"/>
      <c r="Q167" s="50" t="n"/>
      <c r="R167" s="50" t="n"/>
      <c r="S167" s="50" t="n"/>
      <c r="T167" s="50" t="n"/>
      <c r="U167" s="50" t="n"/>
      <c r="V167" s="50" t="n"/>
      <c r="W167" s="50" t="n"/>
      <c r="X167" s="50" t="n"/>
      <c r="Y167" s="50" t="n"/>
      <c r="Z167" s="50" t="n"/>
    </row>
    <row r="168" ht="14.25" customHeight="1" s="88">
      <c r="A168" s="50" t="n"/>
      <c r="B168" s="50" t="n"/>
      <c r="C168" s="50" t="n"/>
      <c r="D168" s="44" t="n"/>
      <c r="E168" s="44" t="n"/>
      <c r="F168" s="50" t="n"/>
      <c r="G168" s="50" t="n"/>
      <c r="H168" s="50" t="n"/>
      <c r="I168" s="50" t="n"/>
      <c r="J168" s="50" t="n"/>
      <c r="K168" s="50" t="n"/>
      <c r="L168" s="50" t="n"/>
      <c r="M168" s="50" t="n"/>
      <c r="N168" s="50" t="n"/>
      <c r="O168" s="50" t="n"/>
      <c r="P168" s="50" t="n"/>
      <c r="Q168" s="50" t="n"/>
      <c r="R168" s="50" t="n"/>
      <c r="S168" s="50" t="n"/>
      <c r="T168" s="50" t="n"/>
      <c r="U168" s="50" t="n"/>
      <c r="V168" s="50" t="n"/>
      <c r="W168" s="50" t="n"/>
      <c r="X168" s="50" t="n"/>
      <c r="Y168" s="50" t="n"/>
      <c r="Z168" s="50" t="n"/>
    </row>
    <row r="169" ht="14.25" customHeight="1" s="88">
      <c r="A169" s="50" t="n"/>
      <c r="B169" s="50" t="n"/>
      <c r="C169" s="50" t="n"/>
      <c r="D169" s="44" t="n"/>
      <c r="E169" s="44" t="n"/>
      <c r="F169" s="50" t="n"/>
      <c r="G169" s="50" t="n"/>
      <c r="H169" s="50" t="n"/>
      <c r="I169" s="50" t="n"/>
      <c r="J169" s="50" t="n"/>
      <c r="K169" s="50" t="n"/>
      <c r="L169" s="50" t="n"/>
      <c r="M169" s="50" t="n"/>
      <c r="N169" s="50" t="n"/>
      <c r="O169" s="50" t="n"/>
      <c r="P169" s="50" t="n"/>
      <c r="Q169" s="50" t="n"/>
      <c r="R169" s="50" t="n"/>
      <c r="S169" s="50" t="n"/>
      <c r="T169" s="50" t="n"/>
      <c r="U169" s="50" t="n"/>
      <c r="V169" s="50" t="n"/>
      <c r="W169" s="50" t="n"/>
      <c r="X169" s="50" t="n"/>
      <c r="Y169" s="50" t="n"/>
      <c r="Z169" s="50" t="n"/>
    </row>
    <row r="170" ht="14.25" customHeight="1" s="88">
      <c r="A170" s="50" t="n"/>
      <c r="B170" s="50" t="n"/>
      <c r="C170" s="50" t="n"/>
      <c r="D170" s="44" t="n"/>
      <c r="E170" s="44" t="n"/>
      <c r="F170" s="50" t="n"/>
      <c r="G170" s="50" t="n"/>
      <c r="H170" s="50" t="n"/>
      <c r="I170" s="50" t="n"/>
      <c r="J170" s="50" t="n"/>
      <c r="K170" s="50" t="n"/>
      <c r="L170" s="50" t="n"/>
      <c r="M170" s="50" t="n"/>
      <c r="N170" s="50" t="n"/>
      <c r="O170" s="50" t="n"/>
      <c r="P170" s="50" t="n"/>
      <c r="Q170" s="50" t="n"/>
      <c r="R170" s="50" t="n"/>
      <c r="S170" s="50" t="n"/>
      <c r="T170" s="50" t="n"/>
      <c r="U170" s="50" t="n"/>
      <c r="V170" s="50" t="n"/>
      <c r="W170" s="50" t="n"/>
      <c r="X170" s="50" t="n"/>
      <c r="Y170" s="50" t="n"/>
      <c r="Z170" s="50" t="n"/>
    </row>
    <row r="171" ht="14.25" customHeight="1" s="88">
      <c r="A171" s="50" t="n"/>
      <c r="B171" s="50" t="n"/>
      <c r="C171" s="50" t="n"/>
      <c r="D171" s="44" t="n"/>
      <c r="E171" s="44" t="n"/>
      <c r="F171" s="50" t="n"/>
      <c r="G171" s="50" t="n"/>
      <c r="H171" s="50" t="n"/>
      <c r="I171" s="50" t="n"/>
      <c r="J171" s="50" t="n"/>
      <c r="K171" s="50" t="n"/>
      <c r="L171" s="50" t="n"/>
      <c r="M171" s="50" t="n"/>
      <c r="N171" s="50" t="n"/>
      <c r="O171" s="50" t="n"/>
      <c r="P171" s="50" t="n"/>
      <c r="Q171" s="50" t="n"/>
      <c r="R171" s="50" t="n"/>
      <c r="S171" s="50" t="n"/>
      <c r="T171" s="50" t="n"/>
      <c r="U171" s="50" t="n"/>
      <c r="V171" s="50" t="n"/>
      <c r="W171" s="50" t="n"/>
      <c r="X171" s="50" t="n"/>
      <c r="Y171" s="50" t="n"/>
      <c r="Z171" s="50" t="n"/>
    </row>
    <row r="172" ht="14.25" customHeight="1" s="88">
      <c r="A172" s="50" t="n"/>
      <c r="B172" s="50" t="n"/>
      <c r="C172" s="50" t="n"/>
      <c r="D172" s="44" t="n"/>
      <c r="E172" s="44" t="n"/>
      <c r="F172" s="50" t="n"/>
      <c r="G172" s="50" t="n"/>
      <c r="H172" s="50" t="n"/>
      <c r="I172" s="50" t="n"/>
      <c r="J172" s="50" t="n"/>
      <c r="K172" s="50" t="n"/>
      <c r="L172" s="50" t="n"/>
      <c r="M172" s="50" t="n"/>
      <c r="N172" s="50" t="n"/>
      <c r="O172" s="50" t="n"/>
      <c r="P172" s="50" t="n"/>
      <c r="Q172" s="50" t="n"/>
      <c r="R172" s="50" t="n"/>
      <c r="S172" s="50" t="n"/>
      <c r="T172" s="50" t="n"/>
      <c r="U172" s="50" t="n"/>
      <c r="V172" s="50" t="n"/>
      <c r="W172" s="50" t="n"/>
      <c r="X172" s="50" t="n"/>
      <c r="Y172" s="50" t="n"/>
      <c r="Z172" s="50" t="n"/>
    </row>
    <row r="173" ht="14.25" customHeight="1" s="88">
      <c r="A173" s="50" t="n"/>
      <c r="B173" s="50" t="n"/>
      <c r="C173" s="50" t="n"/>
      <c r="D173" s="44" t="n"/>
      <c r="E173" s="44" t="n"/>
      <c r="F173" s="50" t="n"/>
      <c r="G173" s="50" t="n"/>
      <c r="H173" s="50" t="n"/>
      <c r="I173" s="50" t="n"/>
      <c r="J173" s="50" t="n"/>
      <c r="K173" s="50" t="n"/>
      <c r="L173" s="50" t="n"/>
      <c r="M173" s="50" t="n"/>
      <c r="N173" s="50" t="n"/>
      <c r="O173" s="50" t="n"/>
      <c r="P173" s="50" t="n"/>
      <c r="Q173" s="50" t="n"/>
      <c r="R173" s="50" t="n"/>
      <c r="S173" s="50" t="n"/>
      <c r="T173" s="50" t="n"/>
      <c r="U173" s="50" t="n"/>
      <c r="V173" s="50" t="n"/>
      <c r="W173" s="50" t="n"/>
      <c r="X173" s="50" t="n"/>
      <c r="Y173" s="50" t="n"/>
      <c r="Z173" s="50" t="n"/>
    </row>
    <row r="174" ht="14.25" customHeight="1" s="88">
      <c r="A174" s="50" t="n"/>
      <c r="B174" s="50" t="n"/>
      <c r="C174" s="50" t="n"/>
      <c r="D174" s="44" t="n"/>
      <c r="E174" s="44" t="n"/>
      <c r="F174" s="50" t="n"/>
      <c r="G174" s="50" t="n"/>
      <c r="H174" s="50" t="n"/>
      <c r="I174" s="50" t="n"/>
      <c r="J174" s="50" t="n"/>
      <c r="K174" s="50" t="n"/>
      <c r="L174" s="50" t="n"/>
      <c r="M174" s="50" t="n"/>
      <c r="N174" s="50" t="n"/>
      <c r="O174" s="50" t="n"/>
      <c r="P174" s="50" t="n"/>
      <c r="Q174" s="50" t="n"/>
      <c r="R174" s="50" t="n"/>
      <c r="S174" s="50" t="n"/>
      <c r="T174" s="50" t="n"/>
      <c r="U174" s="50" t="n"/>
      <c r="V174" s="50" t="n"/>
      <c r="W174" s="50" t="n"/>
      <c r="X174" s="50" t="n"/>
      <c r="Y174" s="50" t="n"/>
      <c r="Z174" s="50" t="n"/>
    </row>
    <row r="175" ht="14.25" customHeight="1" s="88">
      <c r="A175" s="50" t="n"/>
      <c r="B175" s="50" t="n"/>
      <c r="C175" s="50" t="n"/>
      <c r="D175" s="44" t="n"/>
      <c r="E175" s="44" t="n"/>
      <c r="F175" s="50" t="n"/>
      <c r="G175" s="50" t="n"/>
      <c r="H175" s="50" t="n"/>
      <c r="I175" s="50" t="n"/>
      <c r="J175" s="50" t="n"/>
      <c r="K175" s="50" t="n"/>
      <c r="L175" s="50" t="n"/>
      <c r="M175" s="50" t="n"/>
      <c r="N175" s="50" t="n"/>
      <c r="O175" s="50" t="n"/>
      <c r="P175" s="50" t="n"/>
      <c r="Q175" s="50" t="n"/>
      <c r="R175" s="50" t="n"/>
      <c r="S175" s="50" t="n"/>
      <c r="T175" s="50" t="n"/>
      <c r="U175" s="50" t="n"/>
      <c r="V175" s="50" t="n"/>
      <c r="W175" s="50" t="n"/>
      <c r="X175" s="50" t="n"/>
      <c r="Y175" s="50" t="n"/>
      <c r="Z175" s="50" t="n"/>
    </row>
    <row r="176" ht="14.25" customHeight="1" s="88">
      <c r="A176" s="50" t="n"/>
      <c r="B176" s="50" t="n"/>
      <c r="C176" s="50" t="n"/>
      <c r="D176" s="44" t="n"/>
      <c r="E176" s="44" t="n"/>
      <c r="F176" s="50" t="n"/>
      <c r="G176" s="50" t="n"/>
      <c r="H176" s="50" t="n"/>
      <c r="I176" s="50" t="n"/>
      <c r="J176" s="50" t="n"/>
      <c r="K176" s="50" t="n"/>
      <c r="L176" s="50" t="n"/>
      <c r="M176" s="50" t="n"/>
      <c r="N176" s="50" t="n"/>
      <c r="O176" s="50" t="n"/>
      <c r="P176" s="50" t="n"/>
      <c r="Q176" s="50" t="n"/>
      <c r="R176" s="50" t="n"/>
      <c r="S176" s="50" t="n"/>
      <c r="T176" s="50" t="n"/>
      <c r="U176" s="50" t="n"/>
      <c r="V176" s="50" t="n"/>
      <c r="W176" s="50" t="n"/>
      <c r="X176" s="50" t="n"/>
      <c r="Y176" s="50" t="n"/>
      <c r="Z176" s="50" t="n"/>
    </row>
    <row r="177" ht="14.25" customHeight="1" s="88">
      <c r="A177" s="50" t="n"/>
      <c r="B177" s="50" t="n"/>
      <c r="C177" s="50" t="n"/>
      <c r="D177" s="44" t="n"/>
      <c r="E177" s="44" t="n"/>
      <c r="F177" s="50" t="n"/>
      <c r="G177" s="50" t="n"/>
      <c r="H177" s="50" t="n"/>
      <c r="I177" s="50" t="n"/>
      <c r="J177" s="50" t="n"/>
      <c r="K177" s="50" t="n"/>
      <c r="L177" s="50" t="n"/>
      <c r="M177" s="50" t="n"/>
      <c r="N177" s="50" t="n"/>
      <c r="O177" s="50" t="n"/>
      <c r="P177" s="50" t="n"/>
      <c r="Q177" s="50" t="n"/>
      <c r="R177" s="50" t="n"/>
      <c r="S177" s="50" t="n"/>
      <c r="T177" s="50" t="n"/>
      <c r="U177" s="50" t="n"/>
      <c r="V177" s="50" t="n"/>
      <c r="W177" s="50" t="n"/>
      <c r="X177" s="50" t="n"/>
      <c r="Y177" s="50" t="n"/>
      <c r="Z177" s="50" t="n"/>
    </row>
    <row r="178" ht="14.25" customHeight="1" s="88">
      <c r="A178" s="50" t="n"/>
      <c r="B178" s="50" t="n"/>
      <c r="C178" s="50" t="n"/>
      <c r="D178" s="44" t="n"/>
      <c r="E178" s="44" t="n"/>
      <c r="F178" s="50" t="n"/>
      <c r="G178" s="50" t="n"/>
      <c r="H178" s="50" t="n"/>
      <c r="I178" s="50" t="n"/>
      <c r="J178" s="50" t="n"/>
      <c r="K178" s="50" t="n"/>
      <c r="L178" s="50" t="n"/>
      <c r="M178" s="50" t="n"/>
      <c r="N178" s="50" t="n"/>
      <c r="O178" s="50" t="n"/>
      <c r="P178" s="50" t="n"/>
      <c r="Q178" s="50" t="n"/>
      <c r="R178" s="50" t="n"/>
      <c r="S178" s="50" t="n"/>
      <c r="T178" s="50" t="n"/>
      <c r="U178" s="50" t="n"/>
      <c r="V178" s="50" t="n"/>
      <c r="W178" s="50" t="n"/>
      <c r="X178" s="50" t="n"/>
      <c r="Y178" s="50" t="n"/>
      <c r="Z178" s="50" t="n"/>
    </row>
    <row r="179" ht="14.25" customHeight="1" s="88">
      <c r="A179" s="50" t="n"/>
      <c r="B179" s="50" t="n"/>
      <c r="C179" s="50" t="n"/>
      <c r="D179" s="44" t="n"/>
      <c r="E179" s="44" t="n"/>
      <c r="F179" s="50" t="n"/>
      <c r="G179" s="50" t="n"/>
      <c r="H179" s="50" t="n"/>
      <c r="I179" s="50" t="n"/>
      <c r="J179" s="50" t="n"/>
      <c r="K179" s="50" t="n"/>
      <c r="L179" s="50" t="n"/>
      <c r="M179" s="50" t="n"/>
      <c r="N179" s="50" t="n"/>
      <c r="O179" s="50" t="n"/>
      <c r="P179" s="50" t="n"/>
      <c r="Q179" s="50" t="n"/>
      <c r="R179" s="50" t="n"/>
      <c r="S179" s="50" t="n"/>
      <c r="T179" s="50" t="n"/>
      <c r="U179" s="50" t="n"/>
      <c r="V179" s="50" t="n"/>
      <c r="W179" s="50" t="n"/>
      <c r="X179" s="50" t="n"/>
      <c r="Y179" s="50" t="n"/>
      <c r="Z179" s="50" t="n"/>
    </row>
    <row r="180" ht="14.25" customHeight="1" s="88">
      <c r="A180" s="50" t="n"/>
      <c r="B180" s="50" t="n"/>
      <c r="C180" s="50" t="n"/>
      <c r="D180" s="44" t="n"/>
      <c r="E180" s="44" t="n"/>
      <c r="F180" s="50" t="n"/>
      <c r="G180" s="50" t="n"/>
      <c r="H180" s="50" t="n"/>
      <c r="I180" s="50" t="n"/>
      <c r="J180" s="50" t="n"/>
      <c r="K180" s="50" t="n"/>
      <c r="L180" s="50" t="n"/>
      <c r="M180" s="50" t="n"/>
      <c r="N180" s="50" t="n"/>
      <c r="O180" s="50" t="n"/>
      <c r="P180" s="50" t="n"/>
      <c r="Q180" s="50" t="n"/>
      <c r="R180" s="50" t="n"/>
      <c r="S180" s="50" t="n"/>
      <c r="T180" s="50" t="n"/>
      <c r="U180" s="50" t="n"/>
      <c r="V180" s="50" t="n"/>
      <c r="W180" s="50" t="n"/>
      <c r="X180" s="50" t="n"/>
      <c r="Y180" s="50" t="n"/>
      <c r="Z180" s="50" t="n"/>
    </row>
    <row r="181" ht="14.25" customHeight="1" s="88">
      <c r="A181" s="50" t="n"/>
      <c r="B181" s="50" t="n"/>
      <c r="C181" s="50" t="n"/>
      <c r="D181" s="44" t="n"/>
      <c r="E181" s="44" t="n"/>
      <c r="F181" s="50" t="n"/>
      <c r="G181" s="50" t="n"/>
      <c r="H181" s="50" t="n"/>
      <c r="I181" s="50" t="n"/>
      <c r="J181" s="50" t="n"/>
      <c r="K181" s="50" t="n"/>
      <c r="L181" s="50" t="n"/>
      <c r="M181" s="50" t="n"/>
      <c r="N181" s="50" t="n"/>
      <c r="O181" s="50" t="n"/>
      <c r="P181" s="50" t="n"/>
      <c r="Q181" s="50" t="n"/>
      <c r="R181" s="50" t="n"/>
      <c r="S181" s="50" t="n"/>
      <c r="T181" s="50" t="n"/>
      <c r="U181" s="50" t="n"/>
      <c r="V181" s="50" t="n"/>
      <c r="W181" s="50" t="n"/>
      <c r="X181" s="50" t="n"/>
      <c r="Y181" s="50" t="n"/>
      <c r="Z181" s="50" t="n"/>
    </row>
    <row r="182" ht="14.25" customHeight="1" s="88">
      <c r="A182" s="50" t="n"/>
      <c r="B182" s="50" t="n"/>
      <c r="C182" s="50" t="n"/>
      <c r="D182" s="44" t="n"/>
      <c r="E182" s="44" t="n"/>
      <c r="F182" s="50" t="n"/>
      <c r="G182" s="50" t="n"/>
      <c r="H182" s="50" t="n"/>
      <c r="I182" s="50" t="n"/>
      <c r="J182" s="50" t="n"/>
      <c r="K182" s="50" t="n"/>
      <c r="L182" s="50" t="n"/>
      <c r="M182" s="50" t="n"/>
      <c r="N182" s="50" t="n"/>
      <c r="O182" s="50" t="n"/>
      <c r="P182" s="50" t="n"/>
      <c r="Q182" s="50" t="n"/>
      <c r="R182" s="50" t="n"/>
      <c r="S182" s="50" t="n"/>
      <c r="T182" s="50" t="n"/>
      <c r="U182" s="50" t="n"/>
      <c r="V182" s="50" t="n"/>
      <c r="W182" s="50" t="n"/>
      <c r="X182" s="50" t="n"/>
      <c r="Y182" s="50" t="n"/>
      <c r="Z182" s="50" t="n"/>
    </row>
    <row r="183" ht="14.25" customHeight="1" s="88">
      <c r="A183" s="50" t="n"/>
      <c r="B183" s="50" t="n"/>
      <c r="C183" s="50" t="n"/>
      <c r="D183" s="44" t="n"/>
      <c r="E183" s="44" t="n"/>
      <c r="F183" s="50" t="n"/>
      <c r="G183" s="50" t="n"/>
      <c r="H183" s="50" t="n"/>
      <c r="I183" s="50" t="n"/>
      <c r="J183" s="50" t="n"/>
      <c r="K183" s="50" t="n"/>
      <c r="L183" s="50" t="n"/>
      <c r="M183" s="50" t="n"/>
      <c r="N183" s="50" t="n"/>
      <c r="O183" s="50" t="n"/>
      <c r="P183" s="50" t="n"/>
      <c r="Q183" s="50" t="n"/>
      <c r="R183" s="50" t="n"/>
      <c r="S183" s="50" t="n"/>
      <c r="T183" s="50" t="n"/>
      <c r="U183" s="50" t="n"/>
      <c r="V183" s="50" t="n"/>
      <c r="W183" s="50" t="n"/>
      <c r="X183" s="50" t="n"/>
      <c r="Y183" s="50" t="n"/>
      <c r="Z183" s="50" t="n"/>
    </row>
    <row r="184" ht="14.25" customHeight="1" s="88">
      <c r="A184" s="50" t="n"/>
      <c r="B184" s="50" t="n"/>
      <c r="C184" s="50" t="n"/>
      <c r="D184" s="44" t="n"/>
      <c r="E184" s="44" t="n"/>
      <c r="F184" s="50" t="n"/>
      <c r="G184" s="50" t="n"/>
      <c r="H184" s="50" t="n"/>
      <c r="I184" s="50" t="n"/>
      <c r="J184" s="50" t="n"/>
      <c r="K184" s="50" t="n"/>
      <c r="L184" s="50" t="n"/>
      <c r="M184" s="50" t="n"/>
      <c r="N184" s="50" t="n"/>
      <c r="O184" s="50" t="n"/>
      <c r="P184" s="50" t="n"/>
      <c r="Q184" s="50" t="n"/>
      <c r="R184" s="50" t="n"/>
      <c r="S184" s="50" t="n"/>
      <c r="T184" s="50" t="n"/>
      <c r="U184" s="50" t="n"/>
      <c r="V184" s="50" t="n"/>
      <c r="W184" s="50" t="n"/>
      <c r="X184" s="50" t="n"/>
      <c r="Y184" s="50" t="n"/>
      <c r="Z184" s="50" t="n"/>
    </row>
    <row r="185" ht="14.25" customHeight="1" s="88">
      <c r="A185" s="50" t="n"/>
      <c r="B185" s="50" t="n"/>
      <c r="C185" s="50" t="n"/>
      <c r="D185" s="44" t="n"/>
      <c r="E185" s="44" t="n"/>
      <c r="F185" s="50" t="n"/>
      <c r="G185" s="50" t="n"/>
      <c r="H185" s="50" t="n"/>
      <c r="I185" s="50" t="n"/>
      <c r="J185" s="50" t="n"/>
      <c r="K185" s="50" t="n"/>
      <c r="L185" s="50" t="n"/>
      <c r="M185" s="50" t="n"/>
      <c r="N185" s="50" t="n"/>
      <c r="O185" s="50" t="n"/>
      <c r="P185" s="50" t="n"/>
      <c r="Q185" s="50" t="n"/>
      <c r="R185" s="50" t="n"/>
      <c r="S185" s="50" t="n"/>
      <c r="T185" s="50" t="n"/>
      <c r="U185" s="50" t="n"/>
      <c r="V185" s="50" t="n"/>
      <c r="W185" s="50" t="n"/>
      <c r="X185" s="50" t="n"/>
      <c r="Y185" s="50" t="n"/>
      <c r="Z185" s="50" t="n"/>
    </row>
    <row r="186" ht="14.25" customHeight="1" s="88">
      <c r="A186" s="50" t="n"/>
      <c r="B186" s="50" t="n"/>
      <c r="C186" s="50" t="n"/>
      <c r="D186" s="44" t="n"/>
      <c r="E186" s="44" t="n"/>
      <c r="F186" s="50" t="n"/>
      <c r="G186" s="50" t="n"/>
      <c r="H186" s="50" t="n"/>
      <c r="I186" s="50" t="n"/>
      <c r="J186" s="50" t="n"/>
      <c r="K186" s="50" t="n"/>
      <c r="L186" s="50" t="n"/>
      <c r="M186" s="50" t="n"/>
      <c r="N186" s="50" t="n"/>
      <c r="O186" s="50" t="n"/>
      <c r="P186" s="50" t="n"/>
      <c r="Q186" s="50" t="n"/>
      <c r="R186" s="50" t="n"/>
      <c r="S186" s="50" t="n"/>
      <c r="T186" s="50" t="n"/>
      <c r="U186" s="50" t="n"/>
      <c r="V186" s="50" t="n"/>
      <c r="W186" s="50" t="n"/>
      <c r="X186" s="50" t="n"/>
      <c r="Y186" s="50" t="n"/>
      <c r="Z186" s="50" t="n"/>
    </row>
    <row r="187" ht="14.25" customHeight="1" s="88">
      <c r="A187" s="50" t="n"/>
      <c r="B187" s="50" t="n"/>
      <c r="C187" s="50" t="n"/>
      <c r="D187" s="44" t="n"/>
      <c r="E187" s="44" t="n"/>
      <c r="F187" s="50" t="n"/>
      <c r="G187" s="50" t="n"/>
      <c r="H187" s="50" t="n"/>
      <c r="I187" s="50" t="n"/>
      <c r="J187" s="50" t="n"/>
      <c r="K187" s="50" t="n"/>
      <c r="L187" s="50" t="n"/>
      <c r="M187" s="50" t="n"/>
      <c r="N187" s="50" t="n"/>
      <c r="O187" s="50" t="n"/>
      <c r="P187" s="50" t="n"/>
      <c r="Q187" s="50" t="n"/>
      <c r="R187" s="50" t="n"/>
      <c r="S187" s="50" t="n"/>
      <c r="T187" s="50" t="n"/>
      <c r="U187" s="50" t="n"/>
      <c r="V187" s="50" t="n"/>
      <c r="W187" s="50" t="n"/>
      <c r="X187" s="50" t="n"/>
      <c r="Y187" s="50" t="n"/>
      <c r="Z187" s="50" t="n"/>
    </row>
    <row r="188" ht="14.25" customHeight="1" s="88">
      <c r="A188" s="50" t="n"/>
      <c r="B188" s="50" t="n"/>
      <c r="C188" s="50" t="n"/>
      <c r="D188" s="44" t="n"/>
      <c r="E188" s="44" t="n"/>
      <c r="F188" s="50" t="n"/>
      <c r="G188" s="50" t="n"/>
      <c r="H188" s="50" t="n"/>
      <c r="I188" s="50" t="n"/>
      <c r="J188" s="50" t="n"/>
      <c r="K188" s="50" t="n"/>
      <c r="L188" s="50" t="n"/>
      <c r="M188" s="50" t="n"/>
      <c r="N188" s="50" t="n"/>
      <c r="O188" s="50" t="n"/>
      <c r="P188" s="50" t="n"/>
      <c r="Q188" s="50" t="n"/>
      <c r="R188" s="50" t="n"/>
      <c r="S188" s="50" t="n"/>
      <c r="T188" s="50" t="n"/>
      <c r="U188" s="50" t="n"/>
      <c r="V188" s="50" t="n"/>
      <c r="W188" s="50" t="n"/>
      <c r="X188" s="50" t="n"/>
      <c r="Y188" s="50" t="n"/>
      <c r="Z188" s="50" t="n"/>
    </row>
    <row r="189" ht="14.25" customHeight="1" s="88">
      <c r="A189" s="50" t="n"/>
      <c r="B189" s="50" t="n"/>
      <c r="C189" s="50" t="n"/>
      <c r="D189" s="44" t="n"/>
      <c r="E189" s="44" t="n"/>
      <c r="F189" s="50" t="n"/>
      <c r="G189" s="50" t="n"/>
      <c r="H189" s="50" t="n"/>
      <c r="I189" s="50" t="n"/>
      <c r="J189" s="50" t="n"/>
      <c r="K189" s="50" t="n"/>
      <c r="L189" s="50" t="n"/>
      <c r="M189" s="50" t="n"/>
      <c r="N189" s="50" t="n"/>
      <c r="O189" s="50" t="n"/>
      <c r="P189" s="50" t="n"/>
      <c r="Q189" s="50" t="n"/>
      <c r="R189" s="50" t="n"/>
      <c r="S189" s="50" t="n"/>
      <c r="T189" s="50" t="n"/>
      <c r="U189" s="50" t="n"/>
      <c r="V189" s="50" t="n"/>
      <c r="W189" s="50" t="n"/>
      <c r="X189" s="50" t="n"/>
      <c r="Y189" s="50" t="n"/>
      <c r="Z189" s="50" t="n"/>
    </row>
    <row r="190" ht="14.25" customHeight="1" s="88">
      <c r="A190" s="50" t="n"/>
      <c r="B190" s="50" t="n"/>
      <c r="C190" s="50" t="n"/>
      <c r="D190" s="44" t="n"/>
      <c r="E190" s="44" t="n"/>
      <c r="F190" s="50" t="n"/>
      <c r="G190" s="50" t="n"/>
      <c r="H190" s="50" t="n"/>
      <c r="I190" s="50" t="n"/>
      <c r="J190" s="50" t="n"/>
      <c r="K190" s="50" t="n"/>
      <c r="L190" s="50" t="n"/>
      <c r="M190" s="50" t="n"/>
      <c r="N190" s="50" t="n"/>
      <c r="O190" s="50" t="n"/>
      <c r="P190" s="50" t="n"/>
      <c r="Q190" s="50" t="n"/>
      <c r="R190" s="50" t="n"/>
      <c r="S190" s="50" t="n"/>
      <c r="T190" s="50" t="n"/>
      <c r="U190" s="50" t="n"/>
      <c r="V190" s="50" t="n"/>
      <c r="W190" s="50" t="n"/>
      <c r="X190" s="50" t="n"/>
      <c r="Y190" s="50" t="n"/>
      <c r="Z190" s="50" t="n"/>
    </row>
    <row r="191" ht="14.25" customHeight="1" s="88">
      <c r="A191" s="50" t="n"/>
      <c r="B191" s="50" t="n"/>
      <c r="C191" s="50" t="n"/>
      <c r="D191" s="44" t="n"/>
      <c r="E191" s="44" t="n"/>
      <c r="F191" s="50" t="n"/>
      <c r="G191" s="50" t="n"/>
      <c r="H191" s="50" t="n"/>
      <c r="I191" s="50" t="n"/>
      <c r="J191" s="50" t="n"/>
      <c r="K191" s="50" t="n"/>
      <c r="L191" s="50" t="n"/>
      <c r="M191" s="50" t="n"/>
      <c r="N191" s="50" t="n"/>
      <c r="O191" s="50" t="n"/>
      <c r="P191" s="50" t="n"/>
      <c r="Q191" s="50" t="n"/>
      <c r="R191" s="50" t="n"/>
      <c r="S191" s="50" t="n"/>
      <c r="T191" s="50" t="n"/>
      <c r="U191" s="50" t="n"/>
      <c r="V191" s="50" t="n"/>
      <c r="W191" s="50" t="n"/>
      <c r="X191" s="50" t="n"/>
      <c r="Y191" s="50" t="n"/>
      <c r="Z191" s="50" t="n"/>
    </row>
    <row r="192" ht="14.25" customHeight="1" s="88">
      <c r="A192" s="50" t="n"/>
      <c r="B192" s="50" t="n"/>
      <c r="C192" s="50" t="n"/>
      <c r="D192" s="44" t="n"/>
      <c r="E192" s="44" t="n"/>
      <c r="F192" s="50" t="n"/>
      <c r="G192" s="50" t="n"/>
      <c r="H192" s="50" t="n"/>
      <c r="I192" s="50" t="n"/>
      <c r="J192" s="50" t="n"/>
      <c r="K192" s="50" t="n"/>
      <c r="L192" s="50" t="n"/>
      <c r="M192" s="50" t="n"/>
      <c r="N192" s="50" t="n"/>
      <c r="O192" s="50" t="n"/>
      <c r="P192" s="50" t="n"/>
      <c r="Q192" s="50" t="n"/>
      <c r="R192" s="50" t="n"/>
      <c r="S192" s="50" t="n"/>
      <c r="T192" s="50" t="n"/>
      <c r="U192" s="50" t="n"/>
      <c r="V192" s="50" t="n"/>
      <c r="W192" s="50" t="n"/>
      <c r="X192" s="50" t="n"/>
      <c r="Y192" s="50" t="n"/>
      <c r="Z192" s="50" t="n"/>
    </row>
    <row r="193" ht="14.25" customHeight="1" s="88">
      <c r="A193" s="50" t="n"/>
      <c r="B193" s="50" t="n"/>
      <c r="C193" s="50" t="n"/>
      <c r="D193" s="44" t="n"/>
      <c r="E193" s="44" t="n"/>
      <c r="F193" s="50" t="n"/>
      <c r="G193" s="50" t="n"/>
      <c r="H193" s="50" t="n"/>
      <c r="I193" s="50" t="n"/>
      <c r="J193" s="50" t="n"/>
      <c r="K193" s="50" t="n"/>
      <c r="L193" s="50" t="n"/>
      <c r="M193" s="50" t="n"/>
      <c r="N193" s="50" t="n"/>
      <c r="O193" s="50" t="n"/>
      <c r="P193" s="50" t="n"/>
      <c r="Q193" s="50" t="n"/>
      <c r="R193" s="50" t="n"/>
      <c r="S193" s="50" t="n"/>
      <c r="T193" s="50" t="n"/>
      <c r="U193" s="50" t="n"/>
      <c r="V193" s="50" t="n"/>
      <c r="W193" s="50" t="n"/>
      <c r="X193" s="50" t="n"/>
      <c r="Y193" s="50" t="n"/>
      <c r="Z193" s="50" t="n"/>
    </row>
    <row r="194" ht="14.25" customHeight="1" s="88">
      <c r="A194" s="50" t="n"/>
      <c r="B194" s="50" t="n"/>
      <c r="C194" s="50" t="n"/>
      <c r="D194" s="44" t="n"/>
      <c r="E194" s="44" t="n"/>
      <c r="F194" s="50" t="n"/>
      <c r="G194" s="50" t="n"/>
      <c r="H194" s="50" t="n"/>
      <c r="I194" s="50" t="n"/>
      <c r="J194" s="50" t="n"/>
      <c r="K194" s="50" t="n"/>
      <c r="L194" s="50" t="n"/>
      <c r="M194" s="50" t="n"/>
      <c r="N194" s="50" t="n"/>
      <c r="O194" s="50" t="n"/>
      <c r="P194" s="50" t="n"/>
      <c r="Q194" s="50" t="n"/>
      <c r="R194" s="50" t="n"/>
      <c r="S194" s="50" t="n"/>
      <c r="T194" s="50" t="n"/>
      <c r="U194" s="50" t="n"/>
      <c r="V194" s="50" t="n"/>
      <c r="W194" s="50" t="n"/>
      <c r="X194" s="50" t="n"/>
      <c r="Y194" s="50" t="n"/>
      <c r="Z194" s="50" t="n"/>
    </row>
    <row r="195" ht="15.75" customHeight="1" s="88"/>
    <row r="196" ht="15.75" customHeight="1" s="88"/>
    <row r="197" ht="15.75" customHeight="1" s="88"/>
    <row r="198" ht="15.75" customHeight="1" s="88"/>
    <row r="199" ht="15.75" customHeight="1" s="88"/>
    <row r="200" ht="15.75" customHeight="1" s="88"/>
    <row r="201" ht="15.75" customHeight="1" s="88"/>
    <row r="202" ht="15.75" customHeight="1" s="88"/>
    <row r="203" ht="15.75" customHeight="1" s="88"/>
    <row r="204" ht="15.75" customHeight="1" s="88"/>
    <row r="205" ht="15.75" customHeight="1" s="88"/>
    <row r="206" ht="15.75" customHeight="1" s="88"/>
    <row r="207" ht="15.75" customHeight="1" s="88"/>
    <row r="208" ht="15.75" customHeight="1" s="88"/>
    <row r="209" ht="15.75" customHeight="1" s="88"/>
    <row r="210" ht="15.75" customHeight="1" s="88"/>
    <row r="211" ht="15.75" customHeight="1" s="88"/>
    <row r="212" ht="15.75" customHeight="1" s="88"/>
    <row r="213" ht="15.75" customHeight="1" s="88"/>
    <row r="214" ht="15.75" customHeight="1" s="88"/>
    <row r="215" ht="15.75" customHeight="1" s="88"/>
    <row r="216" ht="15.75" customHeight="1" s="88"/>
    <row r="217" ht="15.75" customHeight="1" s="88"/>
    <row r="218" ht="15.75" customHeight="1" s="88"/>
    <row r="219" ht="15.75" customHeight="1" s="88"/>
    <row r="220" ht="15.75" customHeight="1" s="88"/>
    <row r="221" ht="15.75" customHeight="1" s="88"/>
    <row r="222" ht="15.75" customHeight="1" s="88"/>
    <row r="223" ht="15.75" customHeight="1" s="88"/>
    <row r="224" ht="15.75" customHeight="1" s="88"/>
    <row r="225" ht="15.75" customHeight="1" s="88"/>
    <row r="226" ht="15.75" customHeight="1" s="88"/>
    <row r="227" ht="15.75" customHeight="1" s="88"/>
    <row r="228" ht="15.75" customHeight="1" s="88"/>
    <row r="229" ht="15.75" customHeight="1" s="88"/>
    <row r="230" ht="15.75" customHeight="1" s="88"/>
    <row r="231" ht="15.75" customHeight="1" s="88"/>
    <row r="232" ht="15.75" customHeight="1" s="88"/>
    <row r="233" ht="15.75" customHeight="1" s="88"/>
    <row r="234" ht="15.75" customHeight="1" s="88"/>
    <row r="235" ht="15.75" customHeight="1" s="88"/>
    <row r="236" ht="15.75" customHeight="1" s="88"/>
    <row r="237" ht="15.75" customHeight="1" s="88"/>
    <row r="238" ht="15.75" customHeight="1" s="88"/>
    <row r="239" ht="15.75" customHeight="1" s="88"/>
    <row r="240" ht="15.75" customHeight="1" s="88"/>
    <row r="241" ht="15.75" customHeight="1" s="88"/>
    <row r="242" ht="15.75" customHeight="1" s="88"/>
    <row r="243" ht="15.75" customHeight="1" s="88"/>
    <row r="244" ht="15.75" customHeight="1" s="88"/>
    <row r="245" ht="15.75" customHeight="1" s="88"/>
    <row r="246" ht="15.75" customHeight="1" s="88"/>
    <row r="247" ht="15.75" customHeight="1" s="88"/>
    <row r="248" ht="15.75" customHeight="1" s="88"/>
    <row r="249" ht="15.75" customHeight="1" s="88"/>
    <row r="250" ht="15.75" customHeight="1" s="88"/>
    <row r="251" ht="15.75" customHeight="1" s="88"/>
    <row r="252" ht="15.75" customHeight="1" s="88"/>
    <row r="253" ht="15.75" customHeight="1" s="88"/>
    <row r="254" ht="15.75" customHeight="1" s="88"/>
    <row r="255" ht="15.75" customHeight="1" s="88"/>
    <row r="256" ht="15.75" customHeight="1" s="88"/>
    <row r="257" ht="15.75" customHeight="1" s="88"/>
    <row r="258" ht="15.75" customHeight="1" s="88"/>
    <row r="259" ht="15.75" customHeight="1" s="88"/>
    <row r="260" ht="15.75" customHeight="1" s="88"/>
    <row r="261" ht="15.75" customHeight="1" s="88"/>
    <row r="262" ht="15.75" customHeight="1" s="88"/>
    <row r="263" ht="15.75" customHeight="1" s="88"/>
    <row r="264" ht="15.75" customHeight="1" s="88"/>
    <row r="265" ht="15.75" customHeight="1" s="88"/>
    <row r="266" ht="15.75" customHeight="1" s="88"/>
    <row r="267" ht="15.75" customHeight="1" s="88"/>
    <row r="268" ht="15.75" customHeight="1" s="88"/>
    <row r="269" ht="15.75" customHeight="1" s="88"/>
    <row r="270" ht="15.75" customHeight="1" s="88"/>
    <row r="271" ht="15.75" customHeight="1" s="88"/>
    <row r="272" ht="15.75" customHeight="1" s="88"/>
    <row r="273" ht="15.75" customHeight="1" s="88"/>
    <row r="274" ht="15.75" customHeight="1" s="88"/>
    <row r="275" ht="15.75" customHeight="1" s="88"/>
    <row r="276" ht="15.75" customHeight="1" s="88"/>
    <row r="277" ht="15.75" customHeight="1" s="88"/>
    <row r="278" ht="15.75" customHeight="1" s="88"/>
    <row r="279" ht="15.75" customHeight="1" s="88"/>
    <row r="280" ht="15.75" customHeight="1" s="88"/>
    <row r="281" ht="15.75" customHeight="1" s="88"/>
    <row r="282" ht="15.75" customHeight="1" s="88"/>
    <row r="283" ht="15.75" customHeight="1" s="88"/>
    <row r="284" ht="15.75" customHeight="1" s="88"/>
    <row r="285" ht="15.75" customHeight="1" s="88"/>
    <row r="286" ht="15.75" customHeight="1" s="88"/>
    <row r="287" ht="15.75" customHeight="1" s="88"/>
    <row r="288" ht="15.75" customHeight="1" s="88"/>
    <row r="289" ht="15.75" customHeight="1" s="88"/>
    <row r="290" ht="15.75" customHeight="1" s="88"/>
    <row r="291" ht="15.75" customHeight="1" s="88"/>
    <row r="292" ht="15.75" customHeight="1" s="88"/>
    <row r="293" ht="15.75" customHeight="1" s="88"/>
    <row r="294" ht="15.75" customHeight="1" s="88"/>
    <row r="295" ht="15.75" customHeight="1" s="88"/>
    <row r="296" ht="15.75" customHeight="1" s="88"/>
    <row r="297" ht="15.75" customHeight="1" s="88"/>
    <row r="298" ht="15.75" customHeight="1" s="88"/>
    <row r="299" ht="15.75" customHeight="1" s="88"/>
    <row r="300" ht="15.75" customHeight="1" s="88"/>
    <row r="301" ht="15.75" customHeight="1" s="88"/>
    <row r="302" ht="15.75" customHeight="1" s="88"/>
    <row r="303" ht="15.75" customHeight="1" s="88"/>
    <row r="304" ht="15.75" customHeight="1" s="88"/>
    <row r="305" ht="15.75" customHeight="1" s="88"/>
    <row r="306" ht="15.75" customHeight="1" s="88"/>
    <row r="307" ht="15.75" customHeight="1" s="88"/>
    <row r="308" ht="15.75" customHeight="1" s="88"/>
    <row r="309" ht="15.75" customHeight="1" s="88"/>
    <row r="310" ht="15.75" customHeight="1" s="88"/>
    <row r="311" ht="15.75" customHeight="1" s="88"/>
    <row r="312" ht="15.75" customHeight="1" s="88"/>
    <row r="313" ht="15.75" customHeight="1" s="88"/>
    <row r="314" ht="15.75" customHeight="1" s="88"/>
    <row r="315" ht="15.75" customHeight="1" s="88"/>
    <row r="316" ht="15.75" customHeight="1" s="88"/>
    <row r="317" ht="15.75" customHeight="1" s="88"/>
    <row r="318" ht="15.75" customHeight="1" s="88"/>
    <row r="319" ht="15.75" customHeight="1" s="88"/>
    <row r="320" ht="15.75" customHeight="1" s="88"/>
    <row r="321" ht="15.75" customHeight="1" s="88"/>
    <row r="322" ht="15.75" customHeight="1" s="88"/>
    <row r="323" ht="15.75" customHeight="1" s="88"/>
    <row r="324" ht="15.75" customHeight="1" s="88"/>
    <row r="325" ht="15.75" customHeight="1" s="88"/>
    <row r="326" ht="15.75" customHeight="1" s="88"/>
    <row r="327" ht="15.75" customHeight="1" s="88"/>
    <row r="328" ht="15.75" customHeight="1" s="88"/>
    <row r="329" ht="15.75" customHeight="1" s="88"/>
    <row r="330" ht="15.75" customHeight="1" s="88"/>
    <row r="331" ht="15.75" customHeight="1" s="88"/>
    <row r="332" ht="15.75" customHeight="1" s="88"/>
    <row r="333" ht="15.75" customHeight="1" s="88"/>
    <row r="334" ht="15.75" customHeight="1" s="88"/>
    <row r="335" ht="15.75" customHeight="1" s="88"/>
    <row r="336" ht="15.75" customHeight="1" s="88"/>
    <row r="337" ht="15.75" customHeight="1" s="88"/>
    <row r="338" ht="15.75" customHeight="1" s="88"/>
    <row r="339" ht="15.75" customHeight="1" s="88"/>
    <row r="340" ht="15.75" customHeight="1" s="88"/>
    <row r="341" ht="15.75" customHeight="1" s="88"/>
    <row r="342" ht="15.75" customHeight="1" s="88"/>
    <row r="343" ht="15.75" customHeight="1" s="88"/>
    <row r="344" ht="15.75" customHeight="1" s="88"/>
    <row r="345" ht="15.75" customHeight="1" s="88"/>
    <row r="346" ht="15.75" customHeight="1" s="88"/>
    <row r="347" ht="15.75" customHeight="1" s="88"/>
    <row r="348" ht="15.75" customHeight="1" s="88"/>
    <row r="349" ht="15.75" customHeight="1" s="88"/>
    <row r="350" ht="15.75" customHeight="1" s="88"/>
    <row r="351" ht="15.75" customHeight="1" s="88"/>
    <row r="352" ht="15.75" customHeight="1" s="88"/>
    <row r="353" ht="15.75" customHeight="1" s="88"/>
    <row r="354" ht="15.75" customHeight="1" s="88"/>
    <row r="355" ht="15.75" customHeight="1" s="88"/>
    <row r="356" ht="15.75" customHeight="1" s="88"/>
    <row r="357" ht="15.75" customHeight="1" s="88"/>
    <row r="358" ht="15.75" customHeight="1" s="88"/>
    <row r="359" ht="15.75" customHeight="1" s="88"/>
    <row r="360" ht="15.75" customHeight="1" s="88"/>
    <row r="361" ht="15.75" customHeight="1" s="88"/>
    <row r="362" ht="15.75" customHeight="1" s="88"/>
    <row r="363" ht="15.75" customHeight="1" s="88"/>
    <row r="364" ht="15.75" customHeight="1" s="88"/>
    <row r="365" ht="15.75" customHeight="1" s="88"/>
    <row r="366" ht="15.75" customHeight="1" s="88"/>
    <row r="367" ht="15.75" customHeight="1" s="88"/>
    <row r="368" ht="15.75" customHeight="1" s="88"/>
    <row r="369" ht="15.75" customHeight="1" s="88"/>
    <row r="370" ht="15.75" customHeight="1" s="88"/>
    <row r="371" ht="15.75" customHeight="1" s="88"/>
    <row r="372" ht="15.75" customHeight="1" s="88"/>
    <row r="373" ht="15.75" customHeight="1" s="88"/>
    <row r="374" ht="15.75" customHeight="1" s="88"/>
    <row r="375" ht="15.75" customHeight="1" s="88"/>
    <row r="376" ht="15.75" customHeight="1" s="88"/>
    <row r="377" ht="15.75" customHeight="1" s="88"/>
    <row r="378" ht="15.75" customHeight="1" s="88"/>
    <row r="379" ht="15.75" customHeight="1" s="88"/>
    <row r="380" ht="15.75" customHeight="1" s="88"/>
    <row r="381" ht="15.75" customHeight="1" s="88"/>
    <row r="382" ht="15.75" customHeight="1" s="88"/>
    <row r="383" ht="15.75" customHeight="1" s="88"/>
    <row r="384" ht="15.75" customHeight="1" s="88"/>
    <row r="385" ht="15.75" customHeight="1" s="88"/>
    <row r="386" ht="15.75" customHeight="1" s="88"/>
    <row r="387" ht="15.75" customHeight="1" s="88"/>
    <row r="388" ht="15.75" customHeight="1" s="88"/>
    <row r="389" ht="15.75" customHeight="1" s="88"/>
    <row r="390" ht="15.75" customHeight="1" s="88"/>
    <row r="391" ht="15.75" customHeight="1" s="88"/>
    <row r="392" ht="15.75" customHeight="1" s="88"/>
    <row r="393" ht="15.75" customHeight="1" s="88"/>
    <row r="394" ht="15.75" customHeight="1" s="88"/>
    <row r="395" ht="15.75" customHeight="1" s="88"/>
    <row r="396" ht="15.75" customHeight="1" s="88"/>
    <row r="397" ht="15.75" customHeight="1" s="88"/>
    <row r="398" ht="15.75" customHeight="1" s="88"/>
    <row r="399" ht="15.75" customHeight="1" s="88"/>
    <row r="400" ht="15.75" customHeight="1" s="88"/>
    <row r="401" ht="15.75" customHeight="1" s="88"/>
    <row r="402" ht="15.75" customHeight="1" s="88"/>
    <row r="403" ht="15.75" customHeight="1" s="88"/>
    <row r="404" ht="15.75" customHeight="1" s="88"/>
    <row r="405" ht="15.75" customHeight="1" s="88"/>
    <row r="406" ht="15.75" customHeight="1" s="88"/>
    <row r="407" ht="15.75" customHeight="1" s="88"/>
    <row r="408" ht="15.75" customHeight="1" s="88"/>
    <row r="409" ht="15.75" customHeight="1" s="88"/>
    <row r="410" ht="15.75" customHeight="1" s="88"/>
    <row r="411" ht="15.75" customHeight="1" s="88"/>
    <row r="412" ht="15.75" customHeight="1" s="88"/>
    <row r="413" ht="15.75" customHeight="1" s="88"/>
    <row r="414" ht="15.75" customHeight="1" s="88"/>
    <row r="415" ht="15.75" customHeight="1" s="88"/>
    <row r="416" ht="15.75" customHeight="1" s="88"/>
    <row r="417" ht="15.75" customHeight="1" s="88"/>
    <row r="418" ht="15.75" customHeight="1" s="88"/>
    <row r="419" ht="15.75" customHeight="1" s="88"/>
    <row r="420" ht="15.75" customHeight="1" s="88"/>
    <row r="421" ht="15.75" customHeight="1" s="88"/>
    <row r="422" ht="15.75" customHeight="1" s="88"/>
    <row r="423" ht="15.75" customHeight="1" s="88"/>
    <row r="424" ht="15.75" customHeight="1" s="88"/>
    <row r="425" ht="15.75" customHeight="1" s="88"/>
    <row r="426" ht="15.75" customHeight="1" s="88"/>
    <row r="427" ht="15.75" customHeight="1" s="88"/>
    <row r="428" ht="15.75" customHeight="1" s="88"/>
    <row r="429" ht="15.75" customHeight="1" s="88"/>
    <row r="430" ht="15.75" customHeight="1" s="88"/>
    <row r="431" ht="15.75" customHeight="1" s="88"/>
    <row r="432" ht="15.75" customHeight="1" s="88"/>
    <row r="433" ht="15.75" customHeight="1" s="88"/>
    <row r="434" ht="15.75" customHeight="1" s="88"/>
    <row r="435" ht="15.75" customHeight="1" s="88"/>
    <row r="436" ht="15.75" customHeight="1" s="88"/>
    <row r="437" ht="15.75" customHeight="1" s="88"/>
    <row r="438" ht="15.75" customHeight="1" s="88"/>
    <row r="439" ht="15.75" customHeight="1" s="88"/>
    <row r="440" ht="15.75" customHeight="1" s="88"/>
    <row r="441" ht="15.75" customHeight="1" s="88"/>
    <row r="442" ht="15.75" customHeight="1" s="88"/>
    <row r="443" ht="15.75" customHeight="1" s="88"/>
    <row r="444" ht="15.75" customHeight="1" s="88"/>
    <row r="445" ht="15.75" customHeight="1" s="88"/>
    <row r="446" ht="15.75" customHeight="1" s="88"/>
    <row r="447" ht="15.75" customHeight="1" s="88"/>
    <row r="448" ht="15.75" customHeight="1" s="88"/>
    <row r="449" ht="15.75" customHeight="1" s="88"/>
    <row r="450" ht="15.75" customHeight="1" s="88"/>
    <row r="451" ht="15.75" customHeight="1" s="88"/>
    <row r="452" ht="15.75" customHeight="1" s="88"/>
    <row r="453" ht="15.75" customHeight="1" s="88"/>
    <row r="454" ht="15.75" customHeight="1" s="88"/>
    <row r="455" ht="15.75" customHeight="1" s="88"/>
    <row r="456" ht="15.75" customHeight="1" s="88"/>
    <row r="457" ht="15.75" customHeight="1" s="88"/>
    <row r="458" ht="15.75" customHeight="1" s="88"/>
    <row r="459" ht="15.75" customHeight="1" s="88"/>
    <row r="460" ht="15.75" customHeight="1" s="88"/>
    <row r="461" ht="15.75" customHeight="1" s="88"/>
    <row r="462" ht="15.75" customHeight="1" s="88"/>
    <row r="463" ht="15.75" customHeight="1" s="88"/>
    <row r="464" ht="15.75" customHeight="1" s="88"/>
    <row r="465" ht="15.75" customHeight="1" s="88"/>
    <row r="466" ht="15.75" customHeight="1" s="88"/>
    <row r="467" ht="15.75" customHeight="1" s="88"/>
    <row r="468" ht="15.75" customHeight="1" s="88"/>
    <row r="469" ht="15.75" customHeight="1" s="88"/>
    <row r="470" ht="15.75" customHeight="1" s="88"/>
    <row r="471" ht="15.75" customHeight="1" s="88"/>
    <row r="472" ht="15.75" customHeight="1" s="88"/>
    <row r="473" ht="15.75" customHeight="1" s="88"/>
    <row r="474" ht="15.75" customHeight="1" s="88"/>
    <row r="475" ht="15.75" customHeight="1" s="88"/>
    <row r="476" ht="15.75" customHeight="1" s="88"/>
    <row r="477" ht="15.75" customHeight="1" s="88"/>
    <row r="478" ht="15.75" customHeight="1" s="88"/>
    <row r="479" ht="15.75" customHeight="1" s="88"/>
    <row r="480" ht="15.75" customHeight="1" s="88"/>
    <row r="481" ht="15.75" customHeight="1" s="88"/>
    <row r="482" ht="15.75" customHeight="1" s="88"/>
    <row r="483" ht="15.75" customHeight="1" s="88"/>
    <row r="484" ht="15.75" customHeight="1" s="88"/>
    <row r="485" ht="15.75" customHeight="1" s="88"/>
    <row r="486" ht="15.75" customHeight="1" s="88"/>
    <row r="487" ht="15.75" customHeight="1" s="88"/>
    <row r="488" ht="15.75" customHeight="1" s="88"/>
    <row r="489" ht="15.75" customHeight="1" s="88"/>
    <row r="490" ht="15.75" customHeight="1" s="88"/>
    <row r="491" ht="15.75" customHeight="1" s="88"/>
    <row r="492" ht="15.75" customHeight="1" s="88"/>
    <row r="493" ht="15.75" customHeight="1" s="88"/>
    <row r="494" ht="15.75" customHeight="1" s="88"/>
    <row r="495" ht="15.75" customHeight="1" s="88"/>
    <row r="496" ht="15.75" customHeight="1" s="88"/>
    <row r="497" ht="15.75" customHeight="1" s="88"/>
    <row r="498" ht="15.75" customHeight="1" s="88"/>
    <row r="499" ht="15.75" customHeight="1" s="88"/>
    <row r="500" ht="15.75" customHeight="1" s="88"/>
    <row r="501" ht="15.75" customHeight="1" s="88"/>
    <row r="502" ht="15.75" customHeight="1" s="88"/>
    <row r="503" ht="15.75" customHeight="1" s="88"/>
    <row r="504" ht="15.75" customHeight="1" s="88"/>
    <row r="505" ht="15.75" customHeight="1" s="88"/>
    <row r="506" ht="15.75" customHeight="1" s="88"/>
    <row r="507" ht="15.75" customHeight="1" s="88"/>
    <row r="508" ht="15.75" customHeight="1" s="88"/>
    <row r="509" ht="15.75" customHeight="1" s="88"/>
    <row r="510" ht="15.75" customHeight="1" s="88"/>
    <row r="511" ht="15.75" customHeight="1" s="88"/>
    <row r="512" ht="15.75" customHeight="1" s="88"/>
    <row r="513" ht="15.75" customHeight="1" s="88"/>
    <row r="514" ht="15.75" customHeight="1" s="88"/>
    <row r="515" ht="15.75" customHeight="1" s="88"/>
    <row r="516" ht="15.75" customHeight="1" s="88"/>
    <row r="517" ht="15.75" customHeight="1" s="88"/>
    <row r="518" ht="15.75" customHeight="1" s="88"/>
    <row r="519" ht="15.75" customHeight="1" s="88"/>
    <row r="520" ht="15.75" customHeight="1" s="88"/>
    <row r="521" ht="15.75" customHeight="1" s="88"/>
    <row r="522" ht="15.75" customHeight="1" s="88"/>
    <row r="523" ht="15.75" customHeight="1" s="88"/>
    <row r="524" ht="15.75" customHeight="1" s="88"/>
    <row r="525" ht="15.75" customHeight="1" s="88"/>
    <row r="526" ht="15.75" customHeight="1" s="88"/>
    <row r="527" ht="15.75" customHeight="1" s="88"/>
    <row r="528" ht="15.75" customHeight="1" s="88"/>
    <row r="529" ht="15.75" customHeight="1" s="88"/>
    <row r="530" ht="15.75" customHeight="1" s="88"/>
    <row r="531" ht="15.75" customHeight="1" s="88"/>
    <row r="532" ht="15.75" customHeight="1" s="88"/>
    <row r="533" ht="15.75" customHeight="1" s="88"/>
    <row r="534" ht="15.75" customHeight="1" s="88"/>
    <row r="535" ht="15.75" customHeight="1" s="88"/>
    <row r="536" ht="15.75" customHeight="1" s="88"/>
    <row r="537" ht="15.75" customHeight="1" s="88"/>
    <row r="538" ht="15.75" customHeight="1" s="88"/>
    <row r="539" ht="15.75" customHeight="1" s="88"/>
    <row r="540" ht="15.75" customHeight="1" s="88"/>
    <row r="541" ht="15.75" customHeight="1" s="88"/>
    <row r="542" ht="15.75" customHeight="1" s="88"/>
    <row r="543" ht="15.75" customHeight="1" s="88"/>
    <row r="544" ht="15.75" customHeight="1" s="88"/>
    <row r="545" ht="15.75" customHeight="1" s="88"/>
    <row r="546" ht="15.75" customHeight="1" s="88"/>
    <row r="547" ht="15.75" customHeight="1" s="88"/>
    <row r="548" ht="15.75" customHeight="1" s="88"/>
    <row r="549" ht="15.75" customHeight="1" s="88"/>
    <row r="550" ht="15.75" customHeight="1" s="88"/>
    <row r="551" ht="15.75" customHeight="1" s="88"/>
    <row r="552" ht="15.75" customHeight="1" s="88"/>
    <row r="553" ht="15.75" customHeight="1" s="88"/>
    <row r="554" ht="15.75" customHeight="1" s="88"/>
    <row r="555" ht="15.75" customHeight="1" s="88"/>
    <row r="556" ht="15.75" customHeight="1" s="88"/>
    <row r="557" ht="15.75" customHeight="1" s="88"/>
    <row r="558" ht="15.75" customHeight="1" s="88"/>
    <row r="559" ht="15.75" customHeight="1" s="88"/>
    <row r="560" ht="15.75" customHeight="1" s="88"/>
    <row r="561" ht="15.75" customHeight="1" s="88"/>
    <row r="562" ht="15.75" customHeight="1" s="88"/>
    <row r="563" ht="15.75" customHeight="1" s="88"/>
    <row r="564" ht="15.75" customHeight="1" s="88"/>
    <row r="565" ht="15.75" customHeight="1" s="88"/>
    <row r="566" ht="15.75" customHeight="1" s="88"/>
    <row r="567" ht="15.75" customHeight="1" s="88"/>
    <row r="568" ht="15.75" customHeight="1" s="88"/>
    <row r="569" ht="15.75" customHeight="1" s="88"/>
    <row r="570" ht="15.75" customHeight="1" s="88"/>
    <row r="571" ht="15.75" customHeight="1" s="88"/>
    <row r="572" ht="15.75" customHeight="1" s="88"/>
    <row r="573" ht="15.75" customHeight="1" s="88"/>
    <row r="574" ht="15.75" customHeight="1" s="88"/>
    <row r="575" ht="15.75" customHeight="1" s="88"/>
    <row r="576" ht="15.75" customHeight="1" s="88"/>
    <row r="577" ht="15.75" customHeight="1" s="88"/>
    <row r="578" ht="15.75" customHeight="1" s="88"/>
    <row r="579" ht="15.75" customHeight="1" s="88"/>
    <row r="580" ht="15.75" customHeight="1" s="88"/>
    <row r="581" ht="15.75" customHeight="1" s="88"/>
    <row r="582" ht="15.75" customHeight="1" s="88"/>
    <row r="583" ht="15.75" customHeight="1" s="88"/>
    <row r="584" ht="15.75" customHeight="1" s="88"/>
    <row r="585" ht="15.75" customHeight="1" s="88"/>
    <row r="586" ht="15.75" customHeight="1" s="88"/>
    <row r="587" ht="15.75" customHeight="1" s="88"/>
    <row r="588" ht="15.75" customHeight="1" s="88"/>
    <row r="589" ht="15.75" customHeight="1" s="88"/>
    <row r="590" ht="15.75" customHeight="1" s="88"/>
    <row r="591" ht="15.75" customHeight="1" s="88"/>
    <row r="592" ht="15.75" customHeight="1" s="88"/>
    <row r="593" ht="15.75" customHeight="1" s="88"/>
    <row r="594" ht="15.75" customHeight="1" s="88"/>
    <row r="595" ht="15.75" customHeight="1" s="88"/>
    <row r="596" ht="15.75" customHeight="1" s="88"/>
    <row r="597" ht="15.75" customHeight="1" s="88"/>
    <row r="598" ht="15.75" customHeight="1" s="88"/>
    <row r="599" ht="15.75" customHeight="1" s="88"/>
    <row r="600" ht="15.75" customHeight="1" s="88"/>
    <row r="601" ht="15.75" customHeight="1" s="88"/>
    <row r="602" ht="15.75" customHeight="1" s="88"/>
    <row r="603" ht="15.75" customHeight="1" s="88"/>
    <row r="604" ht="15.75" customHeight="1" s="88"/>
    <row r="605" ht="15.75" customHeight="1" s="88"/>
    <row r="606" ht="15.75" customHeight="1" s="88"/>
    <row r="607" ht="15.75" customHeight="1" s="88"/>
    <row r="608" ht="15.75" customHeight="1" s="88"/>
    <row r="609" ht="15.75" customHeight="1" s="88"/>
    <row r="610" ht="15.75" customHeight="1" s="88"/>
    <row r="611" ht="15.75" customHeight="1" s="88"/>
    <row r="612" ht="15.75" customHeight="1" s="88"/>
    <row r="613" ht="15.75" customHeight="1" s="88"/>
    <row r="614" ht="15.75" customHeight="1" s="88"/>
    <row r="615" ht="15.75" customHeight="1" s="88"/>
    <row r="616" ht="15.75" customHeight="1" s="88"/>
    <row r="617" ht="15.75" customHeight="1" s="88"/>
    <row r="618" ht="15.75" customHeight="1" s="88"/>
    <row r="619" ht="15.75" customHeight="1" s="88"/>
    <row r="620" ht="15.75" customHeight="1" s="88"/>
    <row r="621" ht="15.75" customHeight="1" s="88"/>
    <row r="622" ht="15.75" customHeight="1" s="88"/>
    <row r="623" ht="15.75" customHeight="1" s="88"/>
    <row r="624" ht="15.75" customHeight="1" s="88"/>
    <row r="625" ht="15.75" customHeight="1" s="88"/>
    <row r="626" ht="15.75" customHeight="1" s="88"/>
    <row r="627" ht="15.75" customHeight="1" s="88"/>
    <row r="628" ht="15.75" customHeight="1" s="88"/>
    <row r="629" ht="15.75" customHeight="1" s="88"/>
    <row r="630" ht="15.75" customHeight="1" s="88"/>
    <row r="631" ht="15.75" customHeight="1" s="88"/>
    <row r="632" ht="15.75" customHeight="1" s="88"/>
    <row r="633" ht="15.75" customHeight="1" s="88"/>
    <row r="634" ht="15.75" customHeight="1" s="88"/>
    <row r="635" ht="15.75" customHeight="1" s="88"/>
    <row r="636" ht="15.75" customHeight="1" s="88"/>
    <row r="637" ht="15.75" customHeight="1" s="88"/>
    <row r="638" ht="15.75" customHeight="1" s="88"/>
    <row r="639" ht="15.75" customHeight="1" s="88"/>
    <row r="640" ht="15.75" customHeight="1" s="88"/>
    <row r="641" ht="15.75" customHeight="1" s="88"/>
    <row r="642" ht="15.75" customHeight="1" s="88"/>
    <row r="643" ht="15.75" customHeight="1" s="88"/>
    <row r="644" ht="15.75" customHeight="1" s="88"/>
    <row r="645" ht="15.75" customHeight="1" s="88"/>
    <row r="646" ht="15.75" customHeight="1" s="88"/>
    <row r="647" ht="15.75" customHeight="1" s="88"/>
    <row r="648" ht="15.75" customHeight="1" s="88"/>
    <row r="649" ht="15.75" customHeight="1" s="88"/>
    <row r="650" ht="15.75" customHeight="1" s="88"/>
    <row r="651" ht="15.75" customHeight="1" s="88"/>
    <row r="652" ht="15.75" customHeight="1" s="88"/>
    <row r="653" ht="15.75" customHeight="1" s="88"/>
    <row r="654" ht="15.75" customHeight="1" s="88"/>
    <row r="655" ht="15.75" customHeight="1" s="88"/>
    <row r="656" ht="15.75" customHeight="1" s="88"/>
    <row r="657" ht="15.75" customHeight="1" s="88"/>
    <row r="658" ht="15.75" customHeight="1" s="88"/>
    <row r="659" ht="15.75" customHeight="1" s="88"/>
    <row r="660" ht="15.75" customHeight="1" s="88"/>
    <row r="661" ht="15.75" customHeight="1" s="88"/>
    <row r="662" ht="15.75" customHeight="1" s="88"/>
    <row r="663" ht="15.75" customHeight="1" s="88"/>
    <row r="664" ht="15.75" customHeight="1" s="88"/>
    <row r="665" ht="15.75" customHeight="1" s="88"/>
    <row r="666" ht="15.75" customHeight="1" s="88"/>
    <row r="667" ht="15.75" customHeight="1" s="88"/>
    <row r="668" ht="15.75" customHeight="1" s="88"/>
    <row r="669" ht="15.75" customHeight="1" s="88"/>
    <row r="670" ht="15.75" customHeight="1" s="88"/>
    <row r="671" ht="15.75" customHeight="1" s="88"/>
    <row r="672" ht="15.75" customHeight="1" s="88"/>
    <row r="673" ht="15.75" customHeight="1" s="88"/>
    <row r="674" ht="15.75" customHeight="1" s="88"/>
    <row r="675" ht="15.75" customHeight="1" s="88"/>
    <row r="676" ht="15.75" customHeight="1" s="88"/>
    <row r="677" ht="15.75" customHeight="1" s="88"/>
    <row r="678" ht="15.75" customHeight="1" s="88"/>
    <row r="679" ht="15.75" customHeight="1" s="88"/>
    <row r="680" ht="15.75" customHeight="1" s="88"/>
    <row r="681" ht="15.75" customHeight="1" s="88"/>
    <row r="682" ht="15.75" customHeight="1" s="88"/>
    <row r="683" ht="15.75" customHeight="1" s="88"/>
    <row r="684" ht="15.75" customHeight="1" s="88"/>
    <row r="685" ht="15.75" customHeight="1" s="88"/>
    <row r="686" ht="15.75" customHeight="1" s="88"/>
    <row r="687" ht="15.75" customHeight="1" s="88"/>
    <row r="688" ht="15.75" customHeight="1" s="88"/>
    <row r="689" ht="15.75" customHeight="1" s="88"/>
    <row r="690" ht="15.75" customHeight="1" s="88"/>
    <row r="691" ht="15.75" customHeight="1" s="88"/>
    <row r="692" ht="15.75" customHeight="1" s="88"/>
    <row r="693" ht="15.75" customHeight="1" s="88"/>
    <row r="694" ht="15.75" customHeight="1" s="88"/>
    <row r="695" ht="15.75" customHeight="1" s="88"/>
    <row r="696" ht="15.75" customHeight="1" s="88"/>
    <row r="697" ht="15.75" customHeight="1" s="88"/>
    <row r="698" ht="15.75" customHeight="1" s="88"/>
    <row r="699" ht="15.75" customHeight="1" s="88"/>
    <row r="700" ht="15.75" customHeight="1" s="88"/>
    <row r="701" ht="15.75" customHeight="1" s="88"/>
    <row r="702" ht="15.75" customHeight="1" s="88"/>
    <row r="703" ht="15.75" customHeight="1" s="88"/>
    <row r="704" ht="15.75" customHeight="1" s="88"/>
    <row r="705" ht="15.75" customHeight="1" s="88"/>
    <row r="706" ht="15.75" customHeight="1" s="88"/>
    <row r="707" ht="15.75" customHeight="1" s="88"/>
    <row r="708" ht="15.75" customHeight="1" s="88"/>
    <row r="709" ht="15.75" customHeight="1" s="88"/>
    <row r="710" ht="15.75" customHeight="1" s="88"/>
    <row r="711" ht="15.75" customHeight="1" s="88"/>
    <row r="712" ht="15.75" customHeight="1" s="88"/>
    <row r="713" ht="15.75" customHeight="1" s="88"/>
    <row r="714" ht="15.75" customHeight="1" s="88"/>
    <row r="715" ht="15.75" customHeight="1" s="88"/>
    <row r="716" ht="15.75" customHeight="1" s="88"/>
    <row r="717" ht="15.75" customHeight="1" s="88"/>
    <row r="718" ht="15.75" customHeight="1" s="88"/>
    <row r="719" ht="15.75" customHeight="1" s="88"/>
    <row r="720" ht="15.75" customHeight="1" s="88"/>
    <row r="721" ht="15.75" customHeight="1" s="88"/>
    <row r="722" ht="15.75" customHeight="1" s="88"/>
    <row r="723" ht="15.75" customHeight="1" s="88"/>
    <row r="724" ht="15.75" customHeight="1" s="88"/>
    <row r="725" ht="15.75" customHeight="1" s="88"/>
    <row r="726" ht="15.75" customHeight="1" s="88"/>
    <row r="727" ht="15.75" customHeight="1" s="88"/>
    <row r="728" ht="15.75" customHeight="1" s="88"/>
    <row r="729" ht="15.75" customHeight="1" s="88"/>
    <row r="730" ht="15.75" customHeight="1" s="88"/>
    <row r="731" ht="15.75" customHeight="1" s="88"/>
    <row r="732" ht="15.75" customHeight="1" s="88"/>
    <row r="733" ht="15.75" customHeight="1" s="88"/>
    <row r="734" ht="15.75" customHeight="1" s="88"/>
    <row r="735" ht="15.75" customHeight="1" s="88"/>
    <row r="736" ht="15.75" customHeight="1" s="88"/>
    <row r="737" ht="15.75" customHeight="1" s="88"/>
    <row r="738" ht="15.75" customHeight="1" s="88"/>
    <row r="739" ht="15.75" customHeight="1" s="88"/>
    <row r="740" ht="15.75" customHeight="1" s="88"/>
    <row r="741" ht="15.75" customHeight="1" s="88"/>
    <row r="742" ht="15.75" customHeight="1" s="88"/>
    <row r="743" ht="15.75" customHeight="1" s="88"/>
    <row r="744" ht="15.75" customHeight="1" s="88"/>
    <row r="745" ht="15.75" customHeight="1" s="88"/>
    <row r="746" ht="15.75" customHeight="1" s="88"/>
    <row r="747" ht="15.75" customHeight="1" s="88"/>
    <row r="748" ht="15.75" customHeight="1" s="88"/>
    <row r="749" ht="15.75" customHeight="1" s="88"/>
    <row r="750" ht="15.75" customHeight="1" s="88"/>
    <row r="751" ht="15.75" customHeight="1" s="88"/>
    <row r="752" ht="15.75" customHeight="1" s="88"/>
    <row r="753" ht="15.75" customHeight="1" s="88"/>
    <row r="754" ht="15.75" customHeight="1" s="88"/>
    <row r="755" ht="15.75" customHeight="1" s="88"/>
    <row r="756" ht="15.75" customHeight="1" s="88"/>
    <row r="757" ht="15.75" customHeight="1" s="88"/>
    <row r="758" ht="15.75" customHeight="1" s="88"/>
    <row r="759" ht="15.75" customHeight="1" s="88"/>
    <row r="760" ht="15.75" customHeight="1" s="88"/>
    <row r="761" ht="15.75" customHeight="1" s="88"/>
    <row r="762" ht="15.75" customHeight="1" s="88"/>
    <row r="763" ht="15.75" customHeight="1" s="88"/>
    <row r="764" ht="15.75" customHeight="1" s="88"/>
    <row r="765" ht="15.75" customHeight="1" s="88"/>
    <row r="766" ht="15.75" customHeight="1" s="88"/>
    <row r="767" ht="15.75" customHeight="1" s="88"/>
    <row r="768" ht="15.75" customHeight="1" s="88"/>
    <row r="769" ht="15.75" customHeight="1" s="88"/>
    <row r="770" ht="15.75" customHeight="1" s="88"/>
    <row r="771" ht="15.75" customHeight="1" s="88"/>
    <row r="772" ht="15.75" customHeight="1" s="88"/>
    <row r="773" ht="15.75" customHeight="1" s="88"/>
    <row r="774" ht="15.75" customHeight="1" s="88"/>
    <row r="775" ht="15.75" customHeight="1" s="88"/>
    <row r="776" ht="15.75" customHeight="1" s="88"/>
    <row r="777" ht="15.75" customHeight="1" s="88"/>
    <row r="778" ht="15.75" customHeight="1" s="88"/>
    <row r="779" ht="15.75" customHeight="1" s="88"/>
    <row r="780" ht="15.75" customHeight="1" s="88"/>
    <row r="781" ht="15.75" customHeight="1" s="88"/>
    <row r="782" ht="15.75" customHeight="1" s="88"/>
    <row r="783" ht="15.75" customHeight="1" s="88"/>
    <row r="784" ht="15.75" customHeight="1" s="88"/>
    <row r="785" ht="15.75" customHeight="1" s="88"/>
    <row r="786" ht="15.75" customHeight="1" s="88"/>
    <row r="787" ht="15.75" customHeight="1" s="88"/>
    <row r="788" ht="15.75" customHeight="1" s="88"/>
    <row r="789" ht="15.75" customHeight="1" s="88"/>
    <row r="790" ht="15.75" customHeight="1" s="88"/>
    <row r="791" ht="15.75" customHeight="1" s="88"/>
    <row r="792" ht="15.75" customHeight="1" s="88"/>
    <row r="793" ht="15.75" customHeight="1" s="88"/>
    <row r="794" ht="15.75" customHeight="1" s="88"/>
    <row r="795" ht="15.75" customHeight="1" s="88"/>
    <row r="796" ht="15.75" customHeight="1" s="88"/>
    <row r="797" ht="15.75" customHeight="1" s="88"/>
    <row r="798" ht="15.75" customHeight="1" s="88"/>
    <row r="799" ht="15.75" customHeight="1" s="88"/>
    <row r="800" ht="15.75" customHeight="1" s="88"/>
    <row r="801" ht="15.75" customHeight="1" s="88"/>
    <row r="802" ht="15.75" customHeight="1" s="88"/>
    <row r="803" ht="15.75" customHeight="1" s="88"/>
    <row r="804" ht="15.75" customHeight="1" s="88"/>
    <row r="805" ht="15.75" customHeight="1" s="88"/>
    <row r="806" ht="15.75" customHeight="1" s="88"/>
    <row r="807" ht="15.75" customHeight="1" s="88"/>
    <row r="808" ht="15.75" customHeight="1" s="88"/>
    <row r="809" ht="15.75" customHeight="1" s="88"/>
    <row r="810" ht="15.75" customHeight="1" s="88"/>
    <row r="811" ht="15.75" customHeight="1" s="88"/>
    <row r="812" ht="15.75" customHeight="1" s="88"/>
    <row r="813" ht="15.75" customHeight="1" s="88"/>
    <row r="814" ht="15.75" customHeight="1" s="88"/>
  </sheetData>
  <autoFilter ref="E1:E32"/>
  <mergeCells count="1">
    <mergeCell ref="A1:E1"/>
  </mergeCells>
  <conditionalFormatting sqref="E3:E32">
    <cfRule type="cellIs" priority="1" operator="equal" dxfId="2">
      <formula>"Y"</formula>
    </cfRule>
  </conditionalFormatting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83"/>
  <sheetViews>
    <sheetView topLeftCell="A27" workbookViewId="0">
      <selection activeCell="B39" sqref="B39"/>
    </sheetView>
  </sheetViews>
  <sheetFormatPr baseColWidth="8" defaultColWidth="12.59765625" defaultRowHeight="15" customHeight="1"/>
  <cols>
    <col width="5.69921875" customWidth="1" style="88" min="1" max="1"/>
    <col width="14.19921875" customWidth="1" style="88" min="2" max="2"/>
    <col width="27.8984375" customWidth="1" style="88" min="3" max="3"/>
    <col width="13.3984375" customWidth="1" style="88" min="4" max="4"/>
    <col width="13.19921875" customWidth="1" style="88" min="5" max="17"/>
    <col width="6.3984375" customWidth="1" style="88" min="18" max="18"/>
    <col width="8" customWidth="1" style="88" min="19" max="30"/>
  </cols>
  <sheetData>
    <row r="1" ht="19.5" customHeight="1" s="88">
      <c r="A1" s="15">
        <f>'CO-PO Mapping'!A1:P1</f>
        <v/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3" t="n"/>
      <c r="Q1" s="123" t="n"/>
      <c r="R1" s="124" t="n"/>
      <c r="S1" s="44" t="n"/>
      <c r="T1" s="44" t="n"/>
      <c r="U1" s="44" t="n"/>
      <c r="V1" s="44" t="n"/>
      <c r="W1" s="44" t="n"/>
      <c r="X1" s="44" t="n"/>
      <c r="Y1" s="44" t="n"/>
      <c r="Z1" s="44" t="n"/>
      <c r="AA1" s="44" t="n"/>
      <c r="AB1" s="44" t="n"/>
      <c r="AC1" s="44" t="n"/>
      <c r="AD1" s="44" t="n"/>
    </row>
    <row r="2" ht="19.5" customHeight="1" s="88">
      <c r="A2" s="15" t="inlineStr">
        <is>
          <t>MID TERM II EXAM MARK RECORD</t>
        </is>
      </c>
      <c r="B2" s="123" t="n"/>
      <c r="C2" s="123" t="n"/>
      <c r="D2" s="123" t="n"/>
      <c r="E2" s="123" t="n"/>
      <c r="F2" s="123" t="n"/>
      <c r="G2" s="123" t="n"/>
      <c r="H2" s="123" t="n"/>
      <c r="I2" s="123" t="n"/>
      <c r="J2" s="123" t="n"/>
      <c r="K2" s="123" t="n"/>
      <c r="L2" s="123" t="n"/>
      <c r="M2" s="123" t="n"/>
      <c r="N2" s="123" t="n"/>
      <c r="O2" s="123" t="n"/>
      <c r="P2" s="123" t="n"/>
      <c r="Q2" s="123" t="n"/>
      <c r="R2" s="12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</row>
    <row r="3" ht="19.5" customHeight="1" s="88">
      <c r="A3" s="15">
        <f>'CO-PO Mapping'!A3:P3</f>
        <v/>
      </c>
      <c r="B3" s="123" t="n"/>
      <c r="C3" s="123" t="n"/>
      <c r="D3" s="123" t="n"/>
      <c r="E3" s="123" t="n"/>
      <c r="F3" s="123" t="n"/>
      <c r="G3" s="123" t="n"/>
      <c r="H3" s="123" t="n"/>
      <c r="I3" s="123" t="n"/>
      <c r="J3" s="123" t="n"/>
      <c r="K3" s="123" t="n"/>
      <c r="L3" s="123" t="n"/>
      <c r="M3" s="123" t="n"/>
      <c r="N3" s="123" t="n"/>
      <c r="O3" s="123" t="n"/>
      <c r="P3" s="123" t="n"/>
      <c r="Q3" s="123" t="n"/>
      <c r="R3" s="124" t="n"/>
      <c r="S3" s="44" t="n"/>
      <c r="T3" s="44" t="n"/>
      <c r="U3" s="44" t="n"/>
      <c r="V3" s="44" t="n"/>
      <c r="W3" s="44" t="n"/>
      <c r="X3" s="44" t="n"/>
      <c r="Y3" s="44" t="n"/>
      <c r="Z3" s="44" t="n"/>
      <c r="AA3" s="44" t="n"/>
      <c r="AB3" s="44" t="n"/>
      <c r="AC3" s="44" t="n"/>
      <c r="AD3" s="44" t="n"/>
    </row>
    <row r="4" ht="19.5" customHeight="1" s="88">
      <c r="A4" s="103" t="inlineStr">
        <is>
          <t>S.NO.</t>
        </is>
      </c>
      <c r="B4" s="98" t="inlineStr">
        <is>
          <t>RTU ROLL
NUMBER</t>
        </is>
      </c>
      <c r="C4" s="15" t="inlineStr">
        <is>
          <t>NAME OF STUDENT</t>
        </is>
      </c>
      <c r="D4" s="15" t="n"/>
      <c r="E4" s="123" t="n"/>
      <c r="F4" s="123" t="n"/>
      <c r="G4" s="123" t="n"/>
      <c r="H4" s="123" t="n"/>
      <c r="I4" s="123" t="n"/>
      <c r="J4" s="123" t="n"/>
      <c r="K4" s="123" t="n"/>
      <c r="L4" s="123" t="n"/>
      <c r="M4" s="123" t="n"/>
      <c r="N4" s="124" t="n"/>
      <c r="O4" s="101" t="n"/>
      <c r="P4" s="123" t="n"/>
      <c r="Q4" s="123" t="n"/>
      <c r="R4" s="103" t="inlineStr">
        <is>
          <t>MT2</t>
        </is>
      </c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</row>
    <row r="5" ht="19.5" customHeight="1" s="88">
      <c r="A5" s="134" t="n"/>
      <c r="B5" s="134" t="n"/>
      <c r="C5" s="15" t="inlineStr">
        <is>
          <t>CO MAPPED</t>
        </is>
      </c>
      <c r="D5" s="18" t="inlineStr">
        <is>
          <t>CO1</t>
        </is>
      </c>
      <c r="E5" s="18" t="inlineStr">
        <is>
          <t>CO2</t>
        </is>
      </c>
      <c r="F5" s="18" t="inlineStr">
        <is>
          <t>CO3</t>
        </is>
      </c>
      <c r="G5" s="98" t="inlineStr">
        <is>
          <t xml:space="preserve">Target 50% students attain 70% marks (1) </t>
        </is>
      </c>
      <c r="H5" s="98" t="inlineStr">
        <is>
          <t>Target 50% students attain 80% marks (2)</t>
        </is>
      </c>
      <c r="I5" s="98" t="inlineStr">
        <is>
          <t>Target 50% students attain 90% marks (3)</t>
        </is>
      </c>
      <c r="J5" s="18" t="inlineStr">
        <is>
          <t>CO4</t>
        </is>
      </c>
      <c r="K5" s="98" t="inlineStr">
        <is>
          <t xml:space="preserve">Target 50% students attain 70% marks (1) </t>
        </is>
      </c>
      <c r="L5" s="98" t="inlineStr">
        <is>
          <t>Target 50% students attain 80% marks (2)</t>
        </is>
      </c>
      <c r="M5" s="98" t="inlineStr">
        <is>
          <t>Target 50% students attain 90% marks (3)</t>
        </is>
      </c>
      <c r="N5" s="18" t="inlineStr">
        <is>
          <t>CO5</t>
        </is>
      </c>
      <c r="O5" s="98" t="inlineStr">
        <is>
          <t xml:space="preserve">Target 50% students attain 70% marks (1) </t>
        </is>
      </c>
      <c r="P5" s="98" t="inlineStr">
        <is>
          <t>Target 50% students attain 80% marks (2)</t>
        </is>
      </c>
      <c r="Q5" s="98" t="inlineStr">
        <is>
          <t>Target 50% students attain 90% marks (3)</t>
        </is>
      </c>
      <c r="R5" s="134" t="n"/>
      <c r="S5" s="44" t="n"/>
      <c r="T5" s="44" t="n"/>
      <c r="U5" s="44" t="n"/>
      <c r="V5" s="44" t="n"/>
      <c r="W5" s="44" t="n"/>
      <c r="X5" s="44" t="n"/>
      <c r="Y5" s="44" t="n"/>
      <c r="Z5" s="44" t="n"/>
      <c r="AA5" s="44" t="n"/>
      <c r="AB5" s="44" t="n"/>
      <c r="AC5" s="44" t="n"/>
      <c r="AD5" s="44" t="n"/>
    </row>
    <row r="6" ht="52.5" customHeight="1" s="88">
      <c r="A6" s="134" t="n"/>
      <c r="B6" s="134" t="n"/>
      <c r="C6" s="52" t="inlineStr">
        <is>
          <t>MAX MARKS</t>
        </is>
      </c>
      <c r="D6" s="45" t="n"/>
      <c r="E6" s="45" t="n"/>
      <c r="F6" s="45" t="n">
        <v>14</v>
      </c>
      <c r="G6" s="134" t="n"/>
      <c r="H6" s="134" t="n"/>
      <c r="I6" s="134" t="n"/>
      <c r="J6" s="45" t="n">
        <v>28</v>
      </c>
      <c r="K6" s="134" t="n"/>
      <c r="L6" s="134" t="n"/>
      <c r="M6" s="134" t="n"/>
      <c r="N6" s="45" t="n">
        <v>28</v>
      </c>
      <c r="O6" s="134" t="n"/>
      <c r="P6" s="134" t="n"/>
      <c r="Q6" s="134" t="n"/>
      <c r="R6" s="18">
        <f>SUM(F6:N6)</f>
        <v/>
      </c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</row>
    <row r="7" ht="19.5" customHeight="1" s="88">
      <c r="A7" s="47">
        <f>'Sessional + End Term Assessment'!A8</f>
        <v/>
      </c>
      <c r="B7" s="79">
        <f>'Sessional + End Term Assessment'!B8</f>
        <v/>
      </c>
      <c r="C7" s="79">
        <f>'Sessional + End Term Assessment'!C8</f>
        <v/>
      </c>
      <c r="D7" s="53" t="n"/>
      <c r="E7" s="53" t="n"/>
      <c r="F7" s="78" t="n">
        <v>13</v>
      </c>
      <c r="G7" s="49">
        <f>IF(F7&gt;=($F$6*0.5),1,0)</f>
        <v/>
      </c>
      <c r="H7" s="49">
        <f>IF(F7&gt;=($F$6*0.6),1,0)</f>
        <v/>
      </c>
      <c r="I7" s="49">
        <f>IF(F7&gt;=($F$6*0.7),1,0)</f>
        <v/>
      </c>
      <c r="J7" s="78" t="n">
        <v>24</v>
      </c>
      <c r="K7" s="49">
        <f>IF(J7&gt;=($J$6*0.7),1,0)</f>
        <v/>
      </c>
      <c r="L7" s="49">
        <f>IF(J7&gt;=($J$6*0.8),1,0)</f>
        <v/>
      </c>
      <c r="M7" s="49">
        <f>IF(J7&gt;=($J$6*0.9),1,0)</f>
        <v/>
      </c>
      <c r="N7" s="78" t="n">
        <v>24</v>
      </c>
      <c r="O7" s="49">
        <f>IF(N7&gt;=($N$6*0.7),1,0)</f>
        <v/>
      </c>
      <c r="P7" s="49">
        <f>IF(N7&gt;=($N$6*0.8),1,0)</f>
        <v/>
      </c>
      <c r="Q7" s="49">
        <f>IF(N7&gt;=($N$6*0.9),1,0)</f>
        <v/>
      </c>
      <c r="R7" s="78" t="n">
        <v>61</v>
      </c>
      <c r="S7" s="48" t="n"/>
      <c r="T7" s="44" t="n"/>
      <c r="U7" s="44" t="n"/>
      <c r="V7" s="44" t="n"/>
      <c r="W7" s="44" t="n"/>
      <c r="X7" s="44" t="n"/>
      <c r="Y7" s="44" t="n"/>
      <c r="Z7" s="44" t="n"/>
      <c r="AA7" s="44" t="n"/>
      <c r="AB7" s="44" t="n"/>
      <c r="AC7" s="44" t="n"/>
      <c r="AD7" s="44" t="n"/>
    </row>
    <row r="8" ht="19.5" customHeight="1" s="88">
      <c r="A8" s="47">
        <f>'Sessional + End Term Assessment'!A9</f>
        <v/>
      </c>
      <c r="B8" s="79">
        <f>'Sessional + End Term Assessment'!B9</f>
        <v/>
      </c>
      <c r="C8" s="79">
        <f>'Sessional + End Term Assessment'!C9</f>
        <v/>
      </c>
      <c r="D8" s="53" t="n"/>
      <c r="E8" s="53" t="n"/>
      <c r="F8" s="78" t="n">
        <v>13</v>
      </c>
      <c r="G8" s="49">
        <f>IF(F8&gt;=($F$6*0.5),1,0)</f>
        <v/>
      </c>
      <c r="H8" s="49">
        <f>IF(F8&gt;=($F$6*0.6),1,0)</f>
        <v/>
      </c>
      <c r="I8" s="49">
        <f>IF(F8&gt;=($F$6*0.7),1,0)</f>
        <v/>
      </c>
      <c r="J8" s="78" t="n">
        <v>23</v>
      </c>
      <c r="K8" s="49">
        <f>IF(J8&gt;=($J$6*0.7),1,0)</f>
        <v/>
      </c>
      <c r="L8" s="49">
        <f>IF(J8&gt;=($J$6*0.8),1,0)</f>
        <v/>
      </c>
      <c r="M8" s="49">
        <f>IF(J8&gt;=($J$6*0.9),1,0)</f>
        <v/>
      </c>
      <c r="N8" s="78" t="n">
        <v>26</v>
      </c>
      <c r="O8" s="49">
        <f>IF(N8&gt;=($N$6*0.7),1,0)</f>
        <v/>
      </c>
      <c r="P8" s="49">
        <f>IF(N8&gt;=($N$6*0.8),1,0)</f>
        <v/>
      </c>
      <c r="Q8" s="49">
        <f>IF(N8&gt;=($N$6*0.9),1,0)</f>
        <v/>
      </c>
      <c r="R8" t="n">
        <v>62</v>
      </c>
      <c r="S8" s="48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</row>
    <row r="9" ht="19.5" customHeight="1" s="88">
      <c r="A9" s="47">
        <f>'Sessional + End Term Assessment'!A10</f>
        <v/>
      </c>
      <c r="B9" s="79">
        <f>'Sessional + End Term Assessment'!B10</f>
        <v/>
      </c>
      <c r="C9" s="79">
        <f>'Sessional + End Term Assessment'!C10</f>
        <v/>
      </c>
      <c r="D9" s="53" t="n"/>
      <c r="E9" s="53" t="n"/>
      <c r="F9" s="78" t="n">
        <v>13</v>
      </c>
      <c r="G9" s="49">
        <f>IF(F9&gt;=($F$6*0.5),1,0)</f>
        <v/>
      </c>
      <c r="H9" s="49">
        <f>IF(F9&gt;=($F$6*0.6),1,0)</f>
        <v/>
      </c>
      <c r="I9" s="49">
        <f>IF(F9&gt;=($F$6*0.7),1,0)</f>
        <v/>
      </c>
      <c r="J9" s="78" t="n">
        <v>22</v>
      </c>
      <c r="K9" s="49">
        <f>IF(J9&gt;=($J$6*0.7),1,0)</f>
        <v/>
      </c>
      <c r="L9" s="49">
        <f>IF(J9&gt;=($J$6*0.8),1,0)</f>
        <v/>
      </c>
      <c r="M9" s="49">
        <f>IF(J9&gt;=($J$6*0.9),1,0)</f>
        <v/>
      </c>
      <c r="N9" s="78" t="n">
        <v>20</v>
      </c>
      <c r="O9" s="49">
        <f>IF(N9&gt;=($N$6*0.7),1,0)</f>
        <v/>
      </c>
      <c r="P9" s="49">
        <f>IF(N9&gt;=($N$6*0.8),1,0)</f>
        <v/>
      </c>
      <c r="Q9" s="49">
        <f>IF(N9&gt;=($N$6*0.9),1,0)</f>
        <v/>
      </c>
      <c r="R9" s="78" t="n">
        <v>55</v>
      </c>
      <c r="S9" s="48" t="n"/>
      <c r="T9" s="44" t="n"/>
      <c r="U9" s="44" t="n"/>
      <c r="V9" s="44" t="n"/>
      <c r="W9" s="44" t="n"/>
      <c r="X9" s="44" t="n"/>
      <c r="Y9" s="44" t="n"/>
      <c r="Z9" s="44" t="n"/>
      <c r="AA9" s="44" t="n"/>
      <c r="AB9" s="44" t="n"/>
      <c r="AC9" s="44" t="n"/>
      <c r="AD9" s="44" t="n"/>
    </row>
    <row r="10" ht="19.5" customHeight="1" s="88">
      <c r="A10" s="47">
        <f>'Sessional + End Term Assessment'!A11</f>
        <v/>
      </c>
      <c r="B10" s="79">
        <f>'Sessional + End Term Assessment'!B11</f>
        <v/>
      </c>
      <c r="C10" s="79">
        <f>'Sessional + End Term Assessment'!C11</f>
        <v/>
      </c>
      <c r="D10" s="53" t="n"/>
      <c r="E10" s="53" t="n"/>
      <c r="F10" s="78" t="n">
        <v>14</v>
      </c>
      <c r="G10" s="49">
        <f>IF(F10&gt;=($F$6*0.5),1,0)</f>
        <v/>
      </c>
      <c r="H10" s="49">
        <f>IF(F10&gt;=($F$6*0.6),1,0)</f>
        <v/>
      </c>
      <c r="I10" s="49">
        <f>IF(F10&gt;=($F$6*0.7),1,0)</f>
        <v/>
      </c>
      <c r="J10" s="78" t="n">
        <v>27</v>
      </c>
      <c r="K10" s="49">
        <f>IF(J10&gt;=($J$6*0.7),1,0)</f>
        <v/>
      </c>
      <c r="L10" s="49">
        <f>IF(J10&gt;=($J$6*0.8),1,0)</f>
        <v/>
      </c>
      <c r="M10" s="49">
        <f>IF(J10&gt;=($J$6*0.9),1,0)</f>
        <v/>
      </c>
      <c r="N10" s="78" t="n">
        <v>24</v>
      </c>
      <c r="O10" s="49">
        <f>IF(N10&gt;=($N$6*0.7),1,0)</f>
        <v/>
      </c>
      <c r="P10" s="49">
        <f>IF(N10&gt;=($N$6*0.8),1,0)</f>
        <v/>
      </c>
      <c r="Q10" s="49">
        <f>IF(N10&gt;=($N$6*0.9),1,0)</f>
        <v/>
      </c>
      <c r="R10" s="78" t="n">
        <v>65</v>
      </c>
      <c r="S10" s="48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</row>
    <row r="11" ht="19.5" customHeight="1" s="88">
      <c r="A11" s="47">
        <f>'Sessional + End Term Assessment'!A12</f>
        <v/>
      </c>
      <c r="B11" s="79">
        <f>'Sessional + End Term Assessment'!B12</f>
        <v/>
      </c>
      <c r="C11" s="79">
        <f>'Sessional + End Term Assessment'!C12</f>
        <v/>
      </c>
      <c r="D11" s="53" t="n"/>
      <c r="E11" s="53" t="n"/>
      <c r="F11" s="78" t="n">
        <v>11</v>
      </c>
      <c r="G11" s="49">
        <f>IF(F11&gt;=($F$6*0.5),1,0)</f>
        <v/>
      </c>
      <c r="H11" s="49">
        <f>IF(F11&gt;=($F$6*0.6),1,0)</f>
        <v/>
      </c>
      <c r="I11" s="49">
        <f>IF(F11&gt;=($F$6*0.7),1,0)</f>
        <v/>
      </c>
      <c r="J11" s="78" t="n">
        <v>23</v>
      </c>
      <c r="K11" s="49">
        <f>IF(J11&gt;=($J$6*0.7),1,0)</f>
        <v/>
      </c>
      <c r="L11" s="49">
        <f>IF(J11&gt;=($J$6*0.8),1,0)</f>
        <v/>
      </c>
      <c r="M11" s="49">
        <f>IF(J11&gt;=($J$6*0.9),1,0)</f>
        <v/>
      </c>
      <c r="N11" s="78" t="n">
        <v>20</v>
      </c>
      <c r="O11" s="49">
        <f>IF(N11&gt;=($N$6*0.7),1,0)</f>
        <v/>
      </c>
      <c r="P11" s="49">
        <f>IF(N11&gt;=($N$6*0.8),1,0)</f>
        <v/>
      </c>
      <c r="Q11" s="49">
        <f>IF(N11&gt;=($N$6*0.9),1,0)</f>
        <v/>
      </c>
      <c r="R11" s="78" t="n">
        <v>54</v>
      </c>
      <c r="S11" s="48" t="n"/>
      <c r="T11" s="44" t="n"/>
      <c r="U11" s="44" t="n"/>
      <c r="V11" s="44" t="n"/>
      <c r="W11" s="44" t="n"/>
      <c r="X11" s="44" t="n"/>
      <c r="Y11" s="44" t="n"/>
      <c r="Z11" s="44" t="n"/>
      <c r="AA11" s="44" t="n"/>
      <c r="AB11" s="44" t="n"/>
      <c r="AC11" s="44" t="n"/>
      <c r="AD11" s="44" t="n"/>
    </row>
    <row r="12" ht="19.5" customHeight="1" s="88">
      <c r="A12" s="47">
        <f>'Sessional + End Term Assessment'!A13</f>
        <v/>
      </c>
      <c r="B12" s="79">
        <f>'Sessional + End Term Assessment'!B13</f>
        <v/>
      </c>
      <c r="C12" s="79">
        <f>'Sessional + End Term Assessment'!C13</f>
        <v/>
      </c>
      <c r="D12" s="53" t="n"/>
      <c r="E12" s="53" t="n"/>
      <c r="F12" s="78" t="n">
        <v>14</v>
      </c>
      <c r="G12" s="49">
        <f>IF(F12&gt;=($F$6*0.5),1,0)</f>
        <v/>
      </c>
      <c r="H12" s="49">
        <f>IF(F12&gt;=($F$6*0.6),1,0)</f>
        <v/>
      </c>
      <c r="I12" s="49">
        <f>IF(F12&gt;=($F$6*0.7),1,0)</f>
        <v/>
      </c>
      <c r="J12" s="78" t="n">
        <v>25</v>
      </c>
      <c r="K12" s="49">
        <f>IF(J12&gt;=($J$6*0.7),1,0)</f>
        <v/>
      </c>
      <c r="L12" s="49">
        <f>IF(J12&gt;=($J$6*0.8),1,0)</f>
        <v/>
      </c>
      <c r="M12" s="49">
        <f>IF(J12&gt;=($J$6*0.9),1,0)</f>
        <v/>
      </c>
      <c r="N12" s="78" t="n">
        <v>26</v>
      </c>
      <c r="O12" s="49">
        <f>IF(N12&gt;=($N$6*0.7),1,0)</f>
        <v/>
      </c>
      <c r="P12" s="49">
        <f>IF(N12&gt;=($N$6*0.8),1,0)</f>
        <v/>
      </c>
      <c r="Q12" s="49">
        <f>IF(N12&gt;=($N$6*0.9),1,0)</f>
        <v/>
      </c>
      <c r="R12" t="n">
        <v>65</v>
      </c>
      <c r="S12" s="48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</row>
    <row r="13" ht="19.5" customHeight="1" s="88">
      <c r="A13" s="47">
        <f>'Sessional + End Term Assessment'!A14</f>
        <v/>
      </c>
      <c r="B13" s="79">
        <f>'Sessional + End Term Assessment'!B14</f>
        <v/>
      </c>
      <c r="C13" s="79">
        <f>'Sessional + End Term Assessment'!C14</f>
        <v/>
      </c>
      <c r="D13" s="53" t="n"/>
      <c r="E13" s="53" t="n"/>
      <c r="F13" s="78" t="n">
        <v>14</v>
      </c>
      <c r="G13" s="49">
        <f>IF(F13&gt;=($F$6*0.5),1,0)</f>
        <v/>
      </c>
      <c r="H13" s="49">
        <f>IF(F13&gt;=($F$6*0.6),1,0)</f>
        <v/>
      </c>
      <c r="I13" s="49">
        <f>IF(F13&gt;=($F$6*0.7),1,0)</f>
        <v/>
      </c>
      <c r="J13" s="78" t="n">
        <v>24</v>
      </c>
      <c r="K13" s="49">
        <f>IF(J13&gt;=($J$6*0.7),1,0)</f>
        <v/>
      </c>
      <c r="L13" s="49">
        <f>IF(J13&gt;=($J$6*0.8),1,0)</f>
        <v/>
      </c>
      <c r="M13" s="49">
        <f>IF(J13&gt;=($J$6*0.9),1,0)</f>
        <v/>
      </c>
      <c r="N13" s="78" t="n">
        <v>27</v>
      </c>
      <c r="O13" s="49">
        <f>IF(N13&gt;=($N$6*0.7),1,0)</f>
        <v/>
      </c>
      <c r="P13" s="49">
        <f>IF(N13&gt;=($N$6*0.8),1,0)</f>
        <v/>
      </c>
      <c r="Q13" s="49">
        <f>IF(N13&gt;=($N$6*0.9),1,0)</f>
        <v/>
      </c>
      <c r="R13" s="78" t="n">
        <v>65</v>
      </c>
      <c r="S13" s="48" t="n"/>
      <c r="T13" s="44" t="n"/>
      <c r="U13" s="44" t="n"/>
      <c r="V13" s="44" t="n"/>
      <c r="W13" s="44" t="n"/>
      <c r="X13" s="44" t="n"/>
      <c r="Y13" s="44" t="n"/>
      <c r="Z13" s="44" t="n"/>
      <c r="AA13" s="44" t="n"/>
      <c r="AB13" s="44" t="n"/>
      <c r="AC13" s="44" t="n"/>
      <c r="AD13" s="44" t="n"/>
    </row>
    <row r="14" ht="19.5" customHeight="1" s="88">
      <c r="A14" s="47">
        <f>'Sessional + End Term Assessment'!A15</f>
        <v/>
      </c>
      <c r="B14" s="79">
        <f>'Sessional + End Term Assessment'!B15</f>
        <v/>
      </c>
      <c r="C14" s="79">
        <f>'Sessional + End Term Assessment'!C15</f>
        <v/>
      </c>
      <c r="D14" s="53" t="n"/>
      <c r="E14" s="53" t="n"/>
      <c r="F14" s="78" t="n">
        <v>14</v>
      </c>
      <c r="G14" s="49">
        <f>IF(F14&gt;=($F$6*0.5),1,0)</f>
        <v/>
      </c>
      <c r="H14" s="49">
        <f>IF(F14&gt;=($F$6*0.6),1,0)</f>
        <v/>
      </c>
      <c r="I14" s="49">
        <f>IF(F14&gt;=($F$6*0.7),1,0)</f>
        <v/>
      </c>
      <c r="J14" s="78" t="n">
        <v>28</v>
      </c>
      <c r="K14" s="49">
        <f>IF(J14&gt;=($J$6*0.7),1,0)</f>
        <v/>
      </c>
      <c r="L14" s="49">
        <f>IF(J14&gt;=($J$6*0.8),1,0)</f>
        <v/>
      </c>
      <c r="M14" s="49">
        <f>IF(J14&gt;=($J$6*0.9),1,0)</f>
        <v/>
      </c>
      <c r="N14" s="78" t="n">
        <v>28</v>
      </c>
      <c r="O14" s="49">
        <f>IF(N14&gt;=($N$6*0.7),1,0)</f>
        <v/>
      </c>
      <c r="P14" s="49">
        <f>IF(N14&gt;=($N$6*0.8),1,0)</f>
        <v/>
      </c>
      <c r="Q14" s="49">
        <f>IF(N14&gt;=($N$6*0.9),1,0)</f>
        <v/>
      </c>
      <c r="R14" s="78" t="n">
        <v>70</v>
      </c>
      <c r="S14" s="48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</row>
    <row r="15" ht="19.5" customHeight="1" s="88">
      <c r="A15" s="47">
        <f>'Sessional + End Term Assessment'!A16</f>
        <v/>
      </c>
      <c r="B15" s="79">
        <f>'Sessional + End Term Assessment'!B16</f>
        <v/>
      </c>
      <c r="C15" s="79">
        <f>'Sessional + End Term Assessment'!C16</f>
        <v/>
      </c>
      <c r="D15" s="53" t="n"/>
      <c r="E15" s="53" t="n"/>
      <c r="F15" s="78" t="n">
        <v>13</v>
      </c>
      <c r="G15" s="49">
        <f>IF(F15&gt;=($F$6*0.5),1,0)</f>
        <v/>
      </c>
      <c r="H15" s="49">
        <f>IF(F15&gt;=($F$6*0.6),1,0)</f>
        <v/>
      </c>
      <c r="I15" s="49">
        <f>IF(F15&gt;=($F$6*0.7),1,0)</f>
        <v/>
      </c>
      <c r="J15" s="78" t="n">
        <v>27</v>
      </c>
      <c r="K15" s="49">
        <f>IF(J15&gt;=($J$6*0.7),1,0)</f>
        <v/>
      </c>
      <c r="L15" s="49">
        <f>IF(J15&gt;=($J$6*0.8),1,0)</f>
        <v/>
      </c>
      <c r="M15" s="49">
        <f>IF(J15&gt;=($J$6*0.9),1,0)</f>
        <v/>
      </c>
      <c r="N15" s="78" t="n">
        <v>24</v>
      </c>
      <c r="O15" s="49">
        <f>IF(N15&gt;=($N$6*0.7),1,0)</f>
        <v/>
      </c>
      <c r="P15" s="49">
        <f>IF(N15&gt;=($N$6*0.8),1,0)</f>
        <v/>
      </c>
      <c r="Q15" s="49">
        <f>IF(N15&gt;=($N$6*0.9),1,0)</f>
        <v/>
      </c>
      <c r="R15" t="n">
        <v>64</v>
      </c>
      <c r="S15" s="48" t="n"/>
      <c r="T15" s="44" t="n"/>
      <c r="U15" s="44" t="n"/>
      <c r="V15" s="44" t="n"/>
      <c r="W15" s="44" t="n"/>
      <c r="X15" s="44" t="n"/>
      <c r="Y15" s="44" t="n"/>
      <c r="Z15" s="44" t="n"/>
      <c r="AA15" s="44" t="n"/>
      <c r="AB15" s="44" t="n"/>
      <c r="AC15" s="44" t="n"/>
      <c r="AD15" s="44" t="n"/>
    </row>
    <row r="16" ht="19.5" customHeight="1" s="88">
      <c r="A16" s="47">
        <f>'Sessional + End Term Assessment'!A17</f>
        <v/>
      </c>
      <c r="B16" s="79">
        <f>'Sessional + End Term Assessment'!B17</f>
        <v/>
      </c>
      <c r="C16" s="79">
        <f>'Sessional + End Term Assessment'!C17</f>
        <v/>
      </c>
      <c r="D16" s="53" t="n"/>
      <c r="E16" s="53" t="n"/>
      <c r="F16" s="78" t="n">
        <v>14</v>
      </c>
      <c r="G16" s="49">
        <f>IF(F16&gt;=($F$6*0.5),1,0)</f>
        <v/>
      </c>
      <c r="H16" s="49">
        <f>IF(F16&gt;=($F$6*0.6),1,0)</f>
        <v/>
      </c>
      <c r="I16" s="49">
        <f>IF(F16&gt;=($F$6*0.7),1,0)</f>
        <v/>
      </c>
      <c r="J16" s="78" t="n">
        <v>28</v>
      </c>
      <c r="K16" s="49">
        <f>IF(J16&gt;=($J$6*0.7),1,0)</f>
        <v/>
      </c>
      <c r="L16" s="49">
        <f>IF(J16&gt;=($J$6*0.8),1,0)</f>
        <v/>
      </c>
      <c r="M16" s="49">
        <f>IF(J16&gt;=($J$6*0.9),1,0)</f>
        <v/>
      </c>
      <c r="N16" s="78" t="n">
        <v>25</v>
      </c>
      <c r="O16" s="49">
        <f>IF(N16&gt;=($N$6*0.7),1,0)</f>
        <v/>
      </c>
      <c r="P16" s="49">
        <f>IF(N16&gt;=($N$6*0.8),1,0)</f>
        <v/>
      </c>
      <c r="Q16" s="49">
        <f>IF(N16&gt;=($N$6*0.9),1,0)</f>
        <v/>
      </c>
      <c r="R16" s="78" t="n">
        <v>67</v>
      </c>
      <c r="S16" s="48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</row>
    <row r="17" ht="19.5" customHeight="1" s="88">
      <c r="A17" s="47">
        <f>'Sessional + End Term Assessment'!A18</f>
        <v/>
      </c>
      <c r="B17" s="79">
        <f>'Sessional + End Term Assessment'!B18</f>
        <v/>
      </c>
      <c r="C17" s="79">
        <f>'Sessional + End Term Assessment'!C18</f>
        <v/>
      </c>
      <c r="D17" s="53" t="n"/>
      <c r="E17" s="53" t="n"/>
      <c r="F17" t="n">
        <v>14</v>
      </c>
      <c r="G17" s="49">
        <f>IF(F17&gt;=($F$6*0.5),1,0)</f>
        <v/>
      </c>
      <c r="H17" s="49">
        <f>IF(F17&gt;=($F$6*0.6),1,0)</f>
        <v/>
      </c>
      <c r="I17" s="49">
        <f>IF(F17&gt;=($F$6*0.7),1,0)</f>
        <v/>
      </c>
      <c r="J17" t="n">
        <v>26</v>
      </c>
      <c r="K17" s="49">
        <f>IF(J17&gt;=($J$6*0.7),1,0)</f>
        <v/>
      </c>
      <c r="L17" s="49">
        <f>IF(J17&gt;=($J$6*0.8),1,0)</f>
        <v/>
      </c>
      <c r="M17" s="49">
        <f>IF(J17&gt;=($J$6*0.9),1,0)</f>
        <v/>
      </c>
      <c r="N17" t="n">
        <v>26</v>
      </c>
      <c r="O17" s="49">
        <f>IF(N17&gt;=($N$6*0.7),1,0)</f>
        <v/>
      </c>
      <c r="P17" s="49">
        <f>IF(N17&gt;=($N$6*0.8),1,0)</f>
        <v/>
      </c>
      <c r="Q17" s="49">
        <f>IF(N17&gt;=($N$6*0.9),1,0)</f>
        <v/>
      </c>
      <c r="R17" t="n">
        <v>66</v>
      </c>
      <c r="S17" s="48" t="n"/>
      <c r="T17" s="44" t="n"/>
      <c r="U17" s="44" t="n"/>
      <c r="V17" s="44" t="n"/>
      <c r="W17" s="44" t="n"/>
      <c r="X17" s="44" t="n"/>
      <c r="Y17" s="44" t="n"/>
      <c r="Z17" s="44" t="n"/>
      <c r="AA17" s="44" t="n"/>
      <c r="AB17" s="44" t="n"/>
      <c r="AC17" s="44" t="n"/>
      <c r="AD17" s="44" t="n"/>
    </row>
    <row r="18" ht="19.5" customHeight="1" s="88">
      <c r="A18" s="47">
        <f>'Sessional + End Term Assessment'!A19</f>
        <v/>
      </c>
      <c r="B18" s="79">
        <f>'Sessional + End Term Assessment'!B19</f>
        <v/>
      </c>
      <c r="C18" s="79">
        <f>'Sessional + End Term Assessment'!C19</f>
        <v/>
      </c>
      <c r="D18" s="53" t="n"/>
      <c r="E18" s="53" t="n"/>
      <c r="F18" s="78" t="n">
        <v>13</v>
      </c>
      <c r="G18" s="49">
        <f>IF(F18&gt;=($F$6*0.5),1,0)</f>
        <v/>
      </c>
      <c r="H18" s="49">
        <f>IF(F18&gt;=($F$6*0.6),1,0)</f>
        <v/>
      </c>
      <c r="I18" s="49">
        <f>IF(F18&gt;=($F$6*0.7),1,0)</f>
        <v/>
      </c>
      <c r="J18" s="78" t="n">
        <v>24</v>
      </c>
      <c r="K18" s="49">
        <f>IF(J18&gt;=($J$6*0.7),1,0)</f>
        <v/>
      </c>
      <c r="L18" s="49">
        <f>IF(J18&gt;=($J$6*0.8),1,0)</f>
        <v/>
      </c>
      <c r="M18" s="49">
        <f>IF(J18&gt;=($J$6*0.9),1,0)</f>
        <v/>
      </c>
      <c r="N18" s="78" t="n">
        <v>26</v>
      </c>
      <c r="O18" s="49">
        <f>IF(N18&gt;=($N$6*0.7),1,0)</f>
        <v/>
      </c>
      <c r="P18" s="49">
        <f>IF(N18&gt;=($N$6*0.8),1,0)</f>
        <v/>
      </c>
      <c r="Q18" s="49">
        <f>IF(N18&gt;=($N$6*0.9),1,0)</f>
        <v/>
      </c>
      <c r="R18" t="n">
        <v>63</v>
      </c>
      <c r="S18" s="48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</row>
    <row r="19" ht="19.5" customHeight="1" s="88">
      <c r="A19" s="47">
        <f>'Sessional + End Term Assessment'!A20</f>
        <v/>
      </c>
      <c r="B19" s="79">
        <f>'Sessional + End Term Assessment'!B20</f>
        <v/>
      </c>
      <c r="C19" s="79">
        <f>'Sessional + End Term Assessment'!C20</f>
        <v/>
      </c>
      <c r="D19" s="53" t="n"/>
      <c r="E19" s="53" t="n"/>
      <c r="F19" t="n">
        <v>13</v>
      </c>
      <c r="G19" s="49">
        <f>IF(F19&gt;=($F$6*0.5),1,0)</f>
        <v/>
      </c>
      <c r="H19" s="49">
        <f>IF(F19&gt;=($F$6*0.6),1,0)</f>
        <v/>
      </c>
      <c r="I19" s="49">
        <f>IF(F19&gt;=($F$6*0.7),1,0)</f>
        <v/>
      </c>
      <c r="J19" t="n">
        <v>26</v>
      </c>
      <c r="K19" s="49">
        <f>IF(J19&gt;=($J$6*0.7),1,0)</f>
        <v/>
      </c>
      <c r="L19" s="49">
        <f>IF(J19&gt;=($J$6*0.8),1,0)</f>
        <v/>
      </c>
      <c r="M19" s="49">
        <f>IF(J19&gt;=($J$6*0.9),1,0)</f>
        <v/>
      </c>
      <c r="N19" t="n">
        <v>24</v>
      </c>
      <c r="O19" s="49">
        <f>IF(N19&gt;=($N$6*0.7),1,0)</f>
        <v/>
      </c>
      <c r="P19" s="49">
        <f>IF(N19&gt;=($N$6*0.8),1,0)</f>
        <v/>
      </c>
      <c r="Q19" s="49">
        <f>IF(N19&gt;=($N$6*0.9),1,0)</f>
        <v/>
      </c>
      <c r="R19" t="n">
        <v>63</v>
      </c>
      <c r="S19" s="48" t="n"/>
      <c r="T19" s="44" t="n"/>
      <c r="U19" s="44" t="n"/>
      <c r="V19" s="44" t="n"/>
      <c r="W19" s="44" t="n"/>
      <c r="X19" s="44" t="n"/>
      <c r="Y19" s="44" t="n"/>
      <c r="Z19" s="44" t="n"/>
      <c r="AA19" s="44" t="n"/>
      <c r="AB19" s="44" t="n"/>
      <c r="AC19" s="44" t="n"/>
      <c r="AD19" s="44" t="n"/>
    </row>
    <row r="20" ht="19.5" customHeight="1" s="88">
      <c r="A20" s="47">
        <f>'Sessional + End Term Assessment'!A21</f>
        <v/>
      </c>
      <c r="B20" s="79">
        <f>'Sessional + End Term Assessment'!B21</f>
        <v/>
      </c>
      <c r="C20" s="79">
        <f>'Sessional + End Term Assessment'!C21</f>
        <v/>
      </c>
      <c r="D20" s="53" t="n"/>
      <c r="E20" s="53" t="n"/>
      <c r="F20" s="78" t="n">
        <v>13</v>
      </c>
      <c r="G20" s="49">
        <f>IF(F20&gt;=($F$6*0.5),1,0)</f>
        <v/>
      </c>
      <c r="H20" s="49">
        <f>IF(F20&gt;=($F$6*0.6),1,0)</f>
        <v/>
      </c>
      <c r="I20" s="49">
        <f>IF(F20&gt;=($F$6*0.7),1,0)</f>
        <v/>
      </c>
      <c r="J20" s="78" t="n">
        <v>23</v>
      </c>
      <c r="K20" s="49">
        <f>IF(J20&gt;=($J$6*0.7),1,0)</f>
        <v/>
      </c>
      <c r="L20" s="49">
        <f>IF(J20&gt;=($J$6*0.8),1,0)</f>
        <v/>
      </c>
      <c r="M20" s="49">
        <f>IF(J20&gt;=($J$6*0.9),1,0)</f>
        <v/>
      </c>
      <c r="N20" s="78" t="n">
        <v>23</v>
      </c>
      <c r="O20" s="49">
        <f>IF(N20&gt;=($N$6*0.7),1,0)</f>
        <v/>
      </c>
      <c r="P20" s="49">
        <f>IF(N20&gt;=($N$6*0.8),1,0)</f>
        <v/>
      </c>
      <c r="Q20" s="49">
        <f>IF(N20&gt;=($N$6*0.9),1,0)</f>
        <v/>
      </c>
      <c r="R20" s="78" t="n">
        <v>59</v>
      </c>
      <c r="S20" s="48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</row>
    <row r="21" ht="19.5" customHeight="1" s="88">
      <c r="A21" s="47">
        <f>'Sessional + End Term Assessment'!A22</f>
        <v/>
      </c>
      <c r="B21" s="79">
        <f>'Sessional + End Term Assessment'!B22</f>
        <v/>
      </c>
      <c r="C21" s="79">
        <f>'Sessional + End Term Assessment'!C22</f>
        <v/>
      </c>
      <c r="D21" s="53" t="n"/>
      <c r="E21" s="53" t="n"/>
      <c r="F21" s="78" t="n">
        <v>13</v>
      </c>
      <c r="G21" s="49">
        <f>IF(F21&gt;=($F$6*0.5),1,0)</f>
        <v/>
      </c>
      <c r="H21" s="49">
        <f>IF(F21&gt;=($F$6*0.6),1,0)</f>
        <v/>
      </c>
      <c r="I21" s="49">
        <f>IF(F21&gt;=($F$6*0.7),1,0)</f>
        <v/>
      </c>
      <c r="J21" s="78" t="n">
        <v>27</v>
      </c>
      <c r="K21" s="49">
        <f>IF(J21&gt;=($J$6*0.7),1,0)</f>
        <v/>
      </c>
      <c r="L21" s="49">
        <f>IF(J21&gt;=($J$6*0.8),1,0)</f>
        <v/>
      </c>
      <c r="M21" s="49">
        <f>IF(J21&gt;=($J$6*0.9),1,0)</f>
        <v/>
      </c>
      <c r="N21" s="78" t="n">
        <v>24</v>
      </c>
      <c r="O21" s="49">
        <f>IF(N21&gt;=($N$6*0.7),1,0)</f>
        <v/>
      </c>
      <c r="P21" s="49">
        <f>IF(N21&gt;=($N$6*0.8),1,0)</f>
        <v/>
      </c>
      <c r="Q21" s="49">
        <f>IF(N21&gt;=($N$6*0.9),1,0)</f>
        <v/>
      </c>
      <c r="R21" s="78" t="n">
        <v>64</v>
      </c>
      <c r="S21" s="48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</row>
    <row r="22" ht="19.5" customHeight="1" s="88">
      <c r="A22" s="47">
        <f>'Sessional + End Term Assessment'!A23</f>
        <v/>
      </c>
      <c r="B22" s="79">
        <f>'Sessional + End Term Assessment'!B23</f>
        <v/>
      </c>
      <c r="C22" s="79">
        <f>'Sessional + End Term Assessment'!C23</f>
        <v/>
      </c>
      <c r="D22" s="53" t="n"/>
      <c r="E22" s="53" t="n"/>
      <c r="F22" s="78" t="n">
        <v>14</v>
      </c>
      <c r="G22" s="49">
        <f>IF(F22&gt;=($F$6*0.5),1,0)</f>
        <v/>
      </c>
      <c r="H22" s="49">
        <f>IF(F22&gt;=($F$6*0.6),1,0)</f>
        <v/>
      </c>
      <c r="I22" s="49">
        <f>IF(F22&gt;=($F$6*0.7),1,0)</f>
        <v/>
      </c>
      <c r="J22" s="78" t="n">
        <v>28</v>
      </c>
      <c r="K22" s="49">
        <f>IF(J22&gt;=($J$6*0.7),1,0)</f>
        <v/>
      </c>
      <c r="L22" s="49">
        <f>IF(J22&gt;=($J$6*0.8),1,0)</f>
        <v/>
      </c>
      <c r="M22" s="49">
        <f>IF(J22&gt;=($J$6*0.9),1,0)</f>
        <v/>
      </c>
      <c r="N22" s="78" t="n">
        <v>28</v>
      </c>
      <c r="O22" s="49">
        <f>IF(N22&gt;=($N$6*0.7),1,0)</f>
        <v/>
      </c>
      <c r="P22" s="49">
        <f>IF(N22&gt;=($N$6*0.8),1,0)</f>
        <v/>
      </c>
      <c r="Q22" s="49">
        <f>IF(N22&gt;=($N$6*0.9),1,0)</f>
        <v/>
      </c>
      <c r="R22" t="n">
        <v>70</v>
      </c>
      <c r="S22" s="48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</row>
    <row r="23" ht="19.5" customHeight="1" s="88">
      <c r="A23" s="47">
        <f>'Sessional + End Term Assessment'!A24</f>
        <v/>
      </c>
      <c r="B23" s="79">
        <f>'Sessional + End Term Assessment'!B24</f>
        <v/>
      </c>
      <c r="C23" s="79">
        <f>'Sessional + End Term Assessment'!C24</f>
        <v/>
      </c>
      <c r="D23" s="53" t="n"/>
      <c r="E23" s="53" t="n"/>
      <c r="F23" s="78" t="n">
        <v>13</v>
      </c>
      <c r="G23" s="49">
        <f>IF(F23&gt;=($F$6*0.5),1,0)</f>
        <v/>
      </c>
      <c r="H23" s="49">
        <f>IF(F23&gt;=($F$6*0.6),1,0)</f>
        <v/>
      </c>
      <c r="I23" s="49">
        <f>IF(F23&gt;=($F$6*0.7),1,0)</f>
        <v/>
      </c>
      <c r="J23" s="78" t="n">
        <v>24</v>
      </c>
      <c r="K23" s="49">
        <f>IF(J23&gt;=($J$6*0.7),1,0)</f>
        <v/>
      </c>
      <c r="L23" s="49">
        <f>IF(J23&gt;=($J$6*0.8),1,0)</f>
        <v/>
      </c>
      <c r="M23" s="49">
        <f>IF(J23&gt;=($J$6*0.9),1,0)</f>
        <v/>
      </c>
      <c r="N23" s="78" t="n">
        <v>26</v>
      </c>
      <c r="O23" s="49">
        <f>IF(N23&gt;=($N$6*0.7),1,0)</f>
        <v/>
      </c>
      <c r="P23" s="49">
        <f>IF(N23&gt;=($N$6*0.8),1,0)</f>
        <v/>
      </c>
      <c r="Q23" s="49">
        <f>IF(N23&gt;=($N$6*0.9),1,0)</f>
        <v/>
      </c>
      <c r="R23" s="78" t="n">
        <v>63</v>
      </c>
      <c r="S23" s="48" t="n"/>
      <c r="T23" s="44" t="n"/>
      <c r="U23" s="44" t="n"/>
      <c r="V23" s="44" t="n"/>
      <c r="W23" s="44" t="n"/>
      <c r="X23" s="44" t="n"/>
      <c r="Y23" s="44" t="n"/>
      <c r="Z23" s="44" t="n"/>
      <c r="AA23" s="44" t="n"/>
      <c r="AB23" s="44" t="n"/>
      <c r="AC23" s="44" t="n"/>
      <c r="AD23" s="44" t="n"/>
    </row>
    <row r="24" ht="19.5" customHeight="1" s="88">
      <c r="A24" s="47">
        <f>'Sessional + End Term Assessment'!A25</f>
        <v/>
      </c>
      <c r="B24" s="79">
        <f>'Sessional + End Term Assessment'!B25</f>
        <v/>
      </c>
      <c r="C24" s="79">
        <f>'Sessional + End Term Assessment'!C25</f>
        <v/>
      </c>
      <c r="D24" s="53" t="n"/>
      <c r="E24" s="53" t="n"/>
      <c r="F24" s="78" t="n">
        <v>14</v>
      </c>
      <c r="G24" s="49">
        <f>IF(F24&gt;=($F$6*0.5),1,0)</f>
        <v/>
      </c>
      <c r="H24" s="49">
        <f>IF(F24&gt;=($F$6*0.6),1,0)</f>
        <v/>
      </c>
      <c r="I24" s="49">
        <f>IF(F24&gt;=($F$6*0.7),1,0)</f>
        <v/>
      </c>
      <c r="J24" s="78" t="n">
        <v>28</v>
      </c>
      <c r="K24" s="49">
        <f>IF(J24&gt;=($J$6*0.7),1,0)</f>
        <v/>
      </c>
      <c r="L24" s="49">
        <f>IF(J24&gt;=($J$6*0.8),1,0)</f>
        <v/>
      </c>
      <c r="M24" s="49">
        <f>IF(J24&gt;=($J$6*0.9),1,0)</f>
        <v/>
      </c>
      <c r="N24" s="78" t="n">
        <v>26</v>
      </c>
      <c r="O24" s="49">
        <f>IF(N24&gt;=($N$6*0.7),1,0)</f>
        <v/>
      </c>
      <c r="P24" s="49">
        <f>IF(N24&gt;=($N$6*0.8),1,0)</f>
        <v/>
      </c>
      <c r="Q24" s="49">
        <f>IF(N24&gt;=($N$6*0.9),1,0)</f>
        <v/>
      </c>
      <c r="R24" s="78" t="n">
        <v>68</v>
      </c>
      <c r="S24" s="48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</row>
    <row r="25" ht="19.5" customHeight="1" s="88">
      <c r="A25" s="47">
        <f>'Sessional + End Term Assessment'!A26</f>
        <v/>
      </c>
      <c r="B25" s="79">
        <f>'Sessional + End Term Assessment'!B26</f>
        <v/>
      </c>
      <c r="C25" s="79">
        <f>'Sessional + End Term Assessment'!C26</f>
        <v/>
      </c>
      <c r="D25" s="53" t="n"/>
      <c r="E25" s="53" t="n"/>
      <c r="F25" s="78" t="n">
        <v>14</v>
      </c>
      <c r="G25" s="49">
        <f>IF(F25&gt;=($F$6*0.5),1,0)</f>
        <v/>
      </c>
      <c r="H25" s="49">
        <f>IF(F25&gt;=($F$6*0.6),1,0)</f>
        <v/>
      </c>
      <c r="I25" s="49">
        <f>IF(F25&gt;=($F$6*0.7),1,0)</f>
        <v/>
      </c>
      <c r="J25" s="78" t="n">
        <v>27</v>
      </c>
      <c r="K25" s="49">
        <f>IF(J25&gt;=($J$6*0.7),1,0)</f>
        <v/>
      </c>
      <c r="L25" s="49">
        <f>IF(J25&gt;=($J$6*0.8),1,0)</f>
        <v/>
      </c>
      <c r="M25" s="49">
        <f>IF(J25&gt;=($J$6*0.9),1,0)</f>
        <v/>
      </c>
      <c r="N25" s="78" t="n">
        <v>27</v>
      </c>
      <c r="O25" s="49">
        <f>IF(N25&gt;=($N$6*0.7),1,0)</f>
        <v/>
      </c>
      <c r="P25" s="49">
        <f>IF(N25&gt;=($N$6*0.8),1,0)</f>
        <v/>
      </c>
      <c r="Q25" s="49">
        <f>IF(N25&gt;=($N$6*0.9),1,0)</f>
        <v/>
      </c>
      <c r="R25" s="78" t="n">
        <v>68</v>
      </c>
      <c r="S25" s="48" t="n"/>
      <c r="T25" s="44" t="n"/>
      <c r="U25" s="44" t="n"/>
      <c r="V25" s="44" t="n"/>
      <c r="W25" s="44" t="n"/>
      <c r="X25" s="44" t="n"/>
      <c r="Y25" s="44" t="n"/>
      <c r="Z25" s="44" t="n"/>
      <c r="AA25" s="44" t="n"/>
      <c r="AB25" s="44" t="n"/>
      <c r="AC25" s="44" t="n"/>
      <c r="AD25" s="44" t="n"/>
    </row>
    <row r="26" ht="19.5" customHeight="1" s="88">
      <c r="A26" s="47">
        <f>'Sessional + End Term Assessment'!A27</f>
        <v/>
      </c>
      <c r="B26" s="79">
        <f>'Sessional + End Term Assessment'!B27</f>
        <v/>
      </c>
      <c r="C26" s="79">
        <f>'Sessional + End Term Assessment'!C27</f>
        <v/>
      </c>
      <c r="D26" s="53" t="n"/>
      <c r="E26" s="53" t="n"/>
      <c r="F26" s="78" t="n">
        <v>14</v>
      </c>
      <c r="G26" s="49">
        <f>IF(F26&gt;=($F$6*0.5),1,0)</f>
        <v/>
      </c>
      <c r="H26" s="49">
        <f>IF(F26&gt;=($F$6*0.6),1,0)</f>
        <v/>
      </c>
      <c r="I26" s="49">
        <f>IF(F26&gt;=($F$6*0.7),1,0)</f>
        <v/>
      </c>
      <c r="J26" s="78" t="n">
        <v>28</v>
      </c>
      <c r="K26" s="49">
        <f>IF(J26&gt;=($J$6*0.7),1,0)</f>
        <v/>
      </c>
      <c r="L26" s="49">
        <f>IF(J26&gt;=($J$6*0.8),1,0)</f>
        <v/>
      </c>
      <c r="M26" s="49">
        <f>IF(J26&gt;=($J$6*0.9),1,0)</f>
        <v/>
      </c>
      <c r="N26" s="78" t="n">
        <v>28</v>
      </c>
      <c r="O26" s="49">
        <f>IF(N26&gt;=($N$6*0.7),1,0)</f>
        <v/>
      </c>
      <c r="P26" s="49">
        <f>IF(N26&gt;=($N$6*0.8),1,0)</f>
        <v/>
      </c>
      <c r="Q26" s="49">
        <f>IF(N26&gt;=($N$6*0.9),1,0)</f>
        <v/>
      </c>
      <c r="R26" s="78" t="n">
        <v>70</v>
      </c>
      <c r="S26" s="48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</row>
    <row r="27" ht="19.5" customHeight="1" s="88">
      <c r="A27" s="47">
        <f>'Sessional + End Term Assessment'!A28</f>
        <v/>
      </c>
      <c r="B27" s="79">
        <f>'Sessional + End Term Assessment'!B28</f>
        <v/>
      </c>
      <c r="C27" s="79">
        <f>'Sessional + End Term Assessment'!C28</f>
        <v/>
      </c>
      <c r="D27" s="53" t="n"/>
      <c r="E27" s="53" t="n"/>
      <c r="F27" s="78" t="n">
        <v>14</v>
      </c>
      <c r="G27" s="49">
        <f>IF(F27&gt;=($F$6*0.5),1,0)</f>
        <v/>
      </c>
      <c r="H27" s="49">
        <f>IF(F27&gt;=($F$6*0.6),1,0)</f>
        <v/>
      </c>
      <c r="I27" s="49">
        <f>IF(F27&gt;=($F$6*0.7),1,0)</f>
        <v/>
      </c>
      <c r="J27" s="78" t="n">
        <v>26</v>
      </c>
      <c r="K27" s="49">
        <f>IF(J27&gt;=($J$6*0.7),1,0)</f>
        <v/>
      </c>
      <c r="L27" s="49">
        <f>IF(J27&gt;=($J$6*0.8),1,0)</f>
        <v/>
      </c>
      <c r="M27" s="49">
        <f>IF(J27&gt;=($J$6*0.9),1,0)</f>
        <v/>
      </c>
      <c r="N27" s="78" t="n">
        <v>27</v>
      </c>
      <c r="O27" s="49">
        <f>IF(N27&gt;=($N$6*0.7),1,0)</f>
        <v/>
      </c>
      <c r="P27" s="49">
        <f>IF(N27&gt;=($N$6*0.8),1,0)</f>
        <v/>
      </c>
      <c r="Q27" s="49">
        <f>IF(N27&gt;=($N$6*0.9),1,0)</f>
        <v/>
      </c>
      <c r="R27" t="n">
        <v>67</v>
      </c>
      <c r="S27" s="48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</row>
    <row r="28" ht="19.5" customHeight="1" s="88">
      <c r="A28" s="47">
        <f>'Sessional + End Term Assessment'!A29</f>
        <v/>
      </c>
      <c r="B28" s="79">
        <f>'Sessional + End Term Assessment'!B29</f>
        <v/>
      </c>
      <c r="C28" s="79">
        <f>'Sessional + End Term Assessment'!C29</f>
        <v/>
      </c>
      <c r="D28" s="53" t="n"/>
      <c r="E28" s="53" t="n"/>
      <c r="F28" t="n">
        <v>14</v>
      </c>
      <c r="G28" s="49">
        <f>IF(F28&gt;=($F$6*0.5),1,0)</f>
        <v/>
      </c>
      <c r="H28" s="49">
        <f>IF(F28&gt;=($F$6*0.6),1,0)</f>
        <v/>
      </c>
      <c r="I28" s="49">
        <f>IF(F28&gt;=($F$6*0.7),1,0)</f>
        <v/>
      </c>
      <c r="J28" t="n">
        <v>25</v>
      </c>
      <c r="K28" s="49">
        <f>IF(J28&gt;=($J$6*0.7),1,0)</f>
        <v/>
      </c>
      <c r="L28" s="49">
        <f>IF(J28&gt;=($J$6*0.8),1,0)</f>
        <v/>
      </c>
      <c r="M28" s="49">
        <f>IF(J28&gt;=($J$6*0.9),1,0)</f>
        <v/>
      </c>
      <c r="N28" t="n">
        <v>28</v>
      </c>
      <c r="O28" s="49">
        <f>IF(N28&gt;=($N$6*0.7),1,0)</f>
        <v/>
      </c>
      <c r="P28" s="49">
        <f>IF(N28&gt;=($N$6*0.8),1,0)</f>
        <v/>
      </c>
      <c r="Q28" s="49">
        <f>IF(N28&gt;=($N$6*0.9),1,0)</f>
        <v/>
      </c>
      <c r="R28" t="n">
        <v>67</v>
      </c>
      <c r="S28" s="48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</row>
    <row r="29" ht="19.5" customHeight="1" s="88">
      <c r="A29" s="47">
        <f>'Sessional + End Term Assessment'!A30</f>
        <v/>
      </c>
      <c r="B29" s="79">
        <f>'Sessional + End Term Assessment'!B30</f>
        <v/>
      </c>
      <c r="C29" s="79">
        <f>'Sessional + End Term Assessment'!C30</f>
        <v/>
      </c>
      <c r="D29" s="53" t="n"/>
      <c r="E29" s="53" t="n"/>
      <c r="F29" s="78" t="n">
        <v>13</v>
      </c>
      <c r="G29" s="49">
        <f>IF(F29&gt;=($F$6*0.5),1,0)</f>
        <v/>
      </c>
      <c r="H29" s="49">
        <f>IF(F29&gt;=($F$6*0.6),1,0)</f>
        <v/>
      </c>
      <c r="I29" s="49">
        <f>IF(F29&gt;=($F$6*0.7),1,0)</f>
        <v/>
      </c>
      <c r="J29" s="78" t="n">
        <v>24</v>
      </c>
      <c r="K29" s="49">
        <f>IF(J29&gt;=($J$6*0.7),1,0)</f>
        <v/>
      </c>
      <c r="L29" s="49">
        <f>IF(J29&gt;=($J$6*0.8),1,0)</f>
        <v/>
      </c>
      <c r="M29" s="49">
        <f>IF(J29&gt;=($J$6*0.9),1,0)</f>
        <v/>
      </c>
      <c r="N29" s="78" t="n">
        <v>22</v>
      </c>
      <c r="O29" s="49">
        <f>IF(N29&gt;=($N$6*0.7),1,0)</f>
        <v/>
      </c>
      <c r="P29" s="49">
        <f>IF(N29&gt;=($N$6*0.8),1,0)</f>
        <v/>
      </c>
      <c r="Q29" s="49">
        <f>IF(N29&gt;=($N$6*0.9),1,0)</f>
        <v/>
      </c>
      <c r="R29" t="n">
        <v>59</v>
      </c>
      <c r="S29" s="48" t="n"/>
      <c r="T29" s="44" t="n"/>
      <c r="U29" s="44" t="n"/>
      <c r="V29" s="44" t="n"/>
      <c r="W29" s="44" t="n"/>
      <c r="X29" s="44" t="n"/>
      <c r="Y29" s="44" t="n"/>
      <c r="Z29" s="44" t="n"/>
      <c r="AA29" s="44" t="n"/>
      <c r="AB29" s="44" t="n"/>
      <c r="AC29" s="44" t="n"/>
      <c r="AD29" s="44" t="n"/>
    </row>
    <row r="30" ht="19.5" customHeight="1" s="88">
      <c r="A30" s="47">
        <f>'Sessional + End Term Assessment'!A31</f>
        <v/>
      </c>
      <c r="B30" s="79">
        <f>'Sessional + End Term Assessment'!B31</f>
        <v/>
      </c>
      <c r="C30" s="79">
        <f>'Sessional + End Term Assessment'!C31</f>
        <v/>
      </c>
      <c r="D30" s="53" t="n"/>
      <c r="E30" s="53" t="n"/>
      <c r="F30" s="78" t="n">
        <v>13</v>
      </c>
      <c r="G30" s="49">
        <f>IF(F30&gt;=($F$6*0.5),1,0)</f>
        <v/>
      </c>
      <c r="H30" s="49">
        <f>IF(F30&gt;=($F$6*0.6),1,0)</f>
        <v/>
      </c>
      <c r="I30" s="49">
        <f>IF(F30&gt;=($F$6*0.7),1,0)</f>
        <v/>
      </c>
      <c r="J30" s="78" t="n">
        <v>24</v>
      </c>
      <c r="K30" s="49">
        <f>IF(J30&gt;=($J$6*0.7),1,0)</f>
        <v/>
      </c>
      <c r="L30" s="49">
        <f>IF(J30&gt;=($J$6*0.8),1,0)</f>
        <v/>
      </c>
      <c r="M30" s="49">
        <f>IF(J30&gt;=($J$6*0.9),1,0)</f>
        <v/>
      </c>
      <c r="N30" s="78" t="n">
        <v>21</v>
      </c>
      <c r="O30" s="49">
        <f>IF(N30&gt;=($N$6*0.7),1,0)</f>
        <v/>
      </c>
      <c r="P30" s="49">
        <f>IF(N30&gt;=($N$6*0.8),1,0)</f>
        <v/>
      </c>
      <c r="Q30" s="49">
        <f>IF(N30&gt;=($N$6*0.9),1,0)</f>
        <v/>
      </c>
      <c r="R30" s="78" t="n">
        <v>58</v>
      </c>
      <c r="S30" s="48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</row>
    <row r="31" ht="19.5" customHeight="1" s="88">
      <c r="A31" s="47">
        <f>'Sessional + End Term Assessment'!A32</f>
        <v/>
      </c>
      <c r="B31" s="79">
        <f>'Sessional + End Term Assessment'!B32</f>
        <v/>
      </c>
      <c r="C31" s="79">
        <f>'Sessional + End Term Assessment'!C32</f>
        <v/>
      </c>
      <c r="D31" s="53" t="n"/>
      <c r="E31" s="53" t="n"/>
      <c r="F31" s="78" t="n">
        <v>13</v>
      </c>
      <c r="G31" s="49">
        <f>IF(F31&gt;=($F$6*0.5),1,0)</f>
        <v/>
      </c>
      <c r="H31" s="49">
        <f>IF(F31&gt;=($F$6*0.6),1,0)</f>
        <v/>
      </c>
      <c r="I31" s="49">
        <f>IF(F31&gt;=($F$6*0.7),1,0)</f>
        <v/>
      </c>
      <c r="J31" s="78" t="n">
        <v>23</v>
      </c>
      <c r="K31" s="49">
        <f>IF(J31&gt;=($J$6*0.7),1,0)</f>
        <v/>
      </c>
      <c r="L31" s="49">
        <f>IF(J31&gt;=($J$6*0.8),1,0)</f>
        <v/>
      </c>
      <c r="M31" s="49">
        <f>IF(J31&gt;=($J$6*0.9),1,0)</f>
        <v/>
      </c>
      <c r="N31" s="78" t="n">
        <v>20</v>
      </c>
      <c r="O31" s="49">
        <f>IF(N31&gt;=($N$6*0.7),1,0)</f>
        <v/>
      </c>
      <c r="P31" s="49">
        <f>IF(N31&gt;=($N$6*0.8),1,0)</f>
        <v/>
      </c>
      <c r="Q31" s="49">
        <f>IF(N31&gt;=($N$6*0.9),1,0)</f>
        <v/>
      </c>
      <c r="R31" s="78" t="n">
        <v>56</v>
      </c>
      <c r="S31" s="48" t="n"/>
      <c r="T31" s="44" t="n"/>
      <c r="U31" s="44" t="n"/>
      <c r="V31" s="44" t="n"/>
      <c r="W31" s="44" t="n"/>
      <c r="X31" s="44" t="n"/>
      <c r="Y31" s="44" t="n"/>
      <c r="Z31" s="44" t="n"/>
      <c r="AA31" s="44" t="n"/>
      <c r="AB31" s="44" t="n"/>
      <c r="AC31" s="44" t="n"/>
      <c r="AD31" s="44" t="n"/>
    </row>
    <row r="32" ht="19.5" customHeight="1" s="88">
      <c r="A32" s="47">
        <f>'Sessional + End Term Assessment'!A33</f>
        <v/>
      </c>
      <c r="B32" s="79">
        <f>'Sessional + End Term Assessment'!B33</f>
        <v/>
      </c>
      <c r="C32" s="79">
        <f>'Sessional + End Term Assessment'!C33</f>
        <v/>
      </c>
      <c r="D32" s="53" t="n"/>
      <c r="E32" s="53" t="n"/>
      <c r="F32" t="n">
        <v>13</v>
      </c>
      <c r="G32" s="49">
        <f>IF(F32&gt;=($F$6*0.5),1,0)</f>
        <v/>
      </c>
      <c r="H32" s="49">
        <f>IF(F32&gt;=($F$6*0.6),1,0)</f>
        <v/>
      </c>
      <c r="I32" s="49">
        <f>IF(F32&gt;=($F$6*0.7),1,0)</f>
        <v/>
      </c>
      <c r="J32" t="n">
        <v>23</v>
      </c>
      <c r="K32" s="49">
        <f>IF(J32&gt;=($J$6*0.7),1,0)</f>
        <v/>
      </c>
      <c r="L32" s="49">
        <f>IF(J32&gt;=($J$6*0.8),1,0)</f>
        <v/>
      </c>
      <c r="M32" s="49">
        <f>IF(J32&gt;=($J$6*0.9),1,0)</f>
        <v/>
      </c>
      <c r="N32" t="n">
        <v>23</v>
      </c>
      <c r="O32" s="49">
        <f>IF(N32&gt;=($N$6*0.7),1,0)</f>
        <v/>
      </c>
      <c r="P32" s="49">
        <f>IF(N32&gt;=($N$6*0.8),1,0)</f>
        <v/>
      </c>
      <c r="Q32" s="49">
        <f>IF(N32&gt;=($N$6*0.9),1,0)</f>
        <v/>
      </c>
      <c r="R32" t="n">
        <v>59</v>
      </c>
      <c r="S32" s="48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</row>
    <row r="33" ht="19.5" customHeight="1" s="88">
      <c r="A33" s="47">
        <f>'Sessional + End Term Assessment'!A34</f>
        <v/>
      </c>
      <c r="B33" s="79">
        <f>'Sessional + End Term Assessment'!B34</f>
        <v/>
      </c>
      <c r="C33" s="79">
        <f>'Sessional + End Term Assessment'!C34</f>
        <v/>
      </c>
      <c r="D33" s="53" t="n"/>
      <c r="E33" s="53" t="n"/>
      <c r="F33" s="78" t="n">
        <v>14</v>
      </c>
      <c r="G33" s="49">
        <f>IF(F33&gt;=($F$6*0.5),1,0)</f>
        <v/>
      </c>
      <c r="H33" s="49">
        <f>IF(F33&gt;=($F$6*0.6),1,0)</f>
        <v/>
      </c>
      <c r="I33" s="49">
        <f>IF(F33&gt;=($F$6*0.7),1,0)</f>
        <v/>
      </c>
      <c r="J33" s="78" t="n">
        <v>25</v>
      </c>
      <c r="K33" s="49">
        <f>IF(J33&gt;=($J$6*0.7),1,0)</f>
        <v/>
      </c>
      <c r="L33" s="49">
        <f>IF(J33&gt;=($J$6*0.8),1,0)</f>
        <v/>
      </c>
      <c r="M33" s="49">
        <f>IF(J33&gt;=($J$6*0.9),1,0)</f>
        <v/>
      </c>
      <c r="N33" s="78" t="n">
        <v>28</v>
      </c>
      <c r="O33" s="49">
        <f>IF(N33&gt;=($N$6*0.7),1,0)</f>
        <v/>
      </c>
      <c r="P33" s="49">
        <f>IF(N33&gt;=($N$6*0.8),1,0)</f>
        <v/>
      </c>
      <c r="Q33" s="49">
        <f>IF(N33&gt;=($N$6*0.9),1,0)</f>
        <v/>
      </c>
      <c r="R33" s="78" t="n">
        <v>67</v>
      </c>
      <c r="S33" s="48" t="n"/>
      <c r="T33" s="44" t="n"/>
      <c r="U33" s="44" t="n"/>
      <c r="V33" s="44" t="n"/>
      <c r="W33" s="44" t="n"/>
      <c r="X33" s="44" t="n"/>
      <c r="Y33" s="44" t="n"/>
      <c r="Z33" s="44" t="n"/>
      <c r="AA33" s="44" t="n"/>
      <c r="AB33" s="44" t="n"/>
      <c r="AC33" s="44" t="n"/>
      <c r="AD33" s="44" t="n"/>
    </row>
    <row r="34" ht="19.5" customHeight="1" s="88">
      <c r="A34" s="47">
        <f>'Sessional + End Term Assessment'!A35</f>
        <v/>
      </c>
      <c r="B34" s="79">
        <f>'Sessional + End Term Assessment'!B35</f>
        <v/>
      </c>
      <c r="C34" s="79">
        <f>'Sessional + End Term Assessment'!C35</f>
        <v/>
      </c>
      <c r="D34" s="53" t="n"/>
      <c r="E34" s="53" t="n"/>
      <c r="F34" s="78" t="n">
        <v>14</v>
      </c>
      <c r="G34" s="49">
        <f>IF(F34&gt;=($F$6*0.5),1,0)</f>
        <v/>
      </c>
      <c r="H34" s="49">
        <f>IF(F34&gt;=($F$6*0.6),1,0)</f>
        <v/>
      </c>
      <c r="I34" s="49">
        <f>IF(F34&gt;=($F$6*0.7),1,0)</f>
        <v/>
      </c>
      <c r="J34" s="78" t="n">
        <v>27</v>
      </c>
      <c r="K34" s="49">
        <f>IF(J34&gt;=($J$6*0.7),1,0)</f>
        <v/>
      </c>
      <c r="L34" s="49">
        <f>IF(J34&gt;=($J$6*0.8),1,0)</f>
        <v/>
      </c>
      <c r="M34" s="49">
        <f>IF(J34&gt;=($J$6*0.9),1,0)</f>
        <v/>
      </c>
      <c r="N34" s="78" t="n">
        <v>26</v>
      </c>
      <c r="O34" s="49">
        <f>IF(N34&gt;=($N$6*0.7),1,0)</f>
        <v/>
      </c>
      <c r="P34" s="49">
        <f>IF(N34&gt;=($N$6*0.8),1,0)</f>
        <v/>
      </c>
      <c r="Q34" s="49">
        <f>IF(N34&gt;=($N$6*0.9),1,0)</f>
        <v/>
      </c>
      <c r="R34" t="n">
        <v>67</v>
      </c>
      <c r="S34" s="48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</row>
    <row r="35" ht="19.5" customHeight="1" s="88">
      <c r="A35" s="47">
        <f>'Sessional + End Term Assessment'!A36</f>
        <v/>
      </c>
      <c r="B35" s="79">
        <f>'Sessional + End Term Assessment'!B36</f>
        <v/>
      </c>
      <c r="C35" s="79">
        <f>'Sessional + End Term Assessment'!C36</f>
        <v/>
      </c>
      <c r="D35" s="53" t="n"/>
      <c r="E35" s="53" t="n"/>
      <c r="F35" s="78" t="n">
        <v>14</v>
      </c>
      <c r="G35" s="49">
        <f>IF(F35&gt;=($F$6*0.5),1,0)</f>
        <v/>
      </c>
      <c r="H35" s="49">
        <f>IF(F35&gt;=($F$6*0.6),1,0)</f>
        <v/>
      </c>
      <c r="I35" s="49">
        <f>IF(F35&gt;=($F$6*0.7),1,0)</f>
        <v/>
      </c>
      <c r="J35" s="78" t="n">
        <v>26</v>
      </c>
      <c r="K35" s="49">
        <f>IF(J35&gt;=($J$6*0.7),1,0)</f>
        <v/>
      </c>
      <c r="L35" s="49">
        <f>IF(J35&gt;=($J$6*0.8),1,0)</f>
        <v/>
      </c>
      <c r="M35" s="49">
        <f>IF(J35&gt;=($J$6*0.9),1,0)</f>
        <v/>
      </c>
      <c r="N35" s="78" t="n">
        <v>26</v>
      </c>
      <c r="O35" s="49">
        <f>IF(N35&gt;=($N$6*0.7),1,0)</f>
        <v/>
      </c>
      <c r="P35" s="49">
        <f>IF(N35&gt;=($N$6*0.8),1,0)</f>
        <v/>
      </c>
      <c r="Q35" s="49">
        <f>IF(N35&gt;=($N$6*0.9),1,0)</f>
        <v/>
      </c>
      <c r="R35" s="78" t="n">
        <v>66</v>
      </c>
      <c r="S35" s="48" t="n"/>
      <c r="T35" s="44" t="n"/>
      <c r="U35" s="44" t="n"/>
      <c r="V35" s="44" t="n"/>
      <c r="W35" s="44" t="n"/>
      <c r="X35" s="44" t="n"/>
      <c r="Y35" s="44" t="n"/>
      <c r="Z35" s="44" t="n"/>
      <c r="AA35" s="44" t="n"/>
      <c r="AB35" s="44" t="n"/>
      <c r="AC35" s="44" t="n"/>
      <c r="AD35" s="44" t="n"/>
    </row>
    <row r="36" ht="19.5" customHeight="1" s="88">
      <c r="A36" s="47">
        <f>'Sessional + End Term Assessment'!A37</f>
        <v/>
      </c>
      <c r="B36" s="79">
        <f>'Sessional + End Term Assessment'!B37</f>
        <v/>
      </c>
      <c r="C36" s="79">
        <f>'Sessional + End Term Assessment'!C37</f>
        <v/>
      </c>
      <c r="D36" s="53" t="n"/>
      <c r="E36" s="53" t="n"/>
      <c r="F36" t="n">
        <v>13</v>
      </c>
      <c r="G36" s="49">
        <f>IF(F36&gt;=($F$6*0.5),1,0)</f>
        <v/>
      </c>
      <c r="H36" s="49">
        <f>IF(F36&gt;=($F$6*0.6),1,0)</f>
        <v/>
      </c>
      <c r="I36" s="49">
        <f>IF(F36&gt;=($F$6*0.7),1,0)</f>
        <v/>
      </c>
      <c r="J36" t="n">
        <v>24</v>
      </c>
      <c r="K36" s="49">
        <f>IF(J36&gt;=($J$6*0.7),1,0)</f>
        <v/>
      </c>
      <c r="L36" s="49">
        <f>IF(J36&gt;=($J$6*0.8),1,0)</f>
        <v/>
      </c>
      <c r="M36" s="49">
        <f>IF(J36&gt;=($J$6*0.9),1,0)</f>
        <v/>
      </c>
      <c r="N36" t="n">
        <v>21</v>
      </c>
      <c r="O36" s="49">
        <f>IF(N36&gt;=($N$6*0.7),1,0)</f>
        <v/>
      </c>
      <c r="P36" s="49">
        <f>IF(N36&gt;=($N$6*0.8),1,0)</f>
        <v/>
      </c>
      <c r="Q36" s="49">
        <f>IF(N36&gt;=($N$6*0.9),1,0)</f>
        <v/>
      </c>
      <c r="R36" t="n">
        <v>58</v>
      </c>
      <c r="S36" s="48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</row>
    <row r="37" ht="15.75" customHeight="1" s="88">
      <c r="A37" s="44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  <c r="O37" s="44" t="n"/>
      <c r="P37" s="44" t="n"/>
      <c r="Q37" s="44" t="n"/>
      <c r="R37" s="44" t="n"/>
      <c r="S37" s="44" t="n"/>
      <c r="T37" s="44" t="n"/>
      <c r="U37" s="44" t="n"/>
      <c r="V37" s="44" t="n"/>
      <c r="W37" s="44" t="n"/>
      <c r="X37" s="44" t="n"/>
      <c r="Y37" s="44" t="n"/>
      <c r="Z37" s="44" t="n"/>
      <c r="AA37" s="44" t="n"/>
      <c r="AB37" s="44" t="n"/>
      <c r="AC37" s="44" t="n"/>
      <c r="AD37" s="44" t="n"/>
    </row>
    <row r="38" ht="15.75" customHeight="1" s="88">
      <c r="A38" s="44" t="n"/>
      <c r="B38" s="44" t="n"/>
      <c r="C38" s="44" t="n"/>
      <c r="D38" s="44" t="n"/>
      <c r="E38" s="44" t="n"/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</row>
    <row r="39" ht="15.75" customHeight="1" s="88">
      <c r="A39" s="44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  <c r="P39" s="44" t="n"/>
      <c r="Q39" s="44" t="n"/>
      <c r="R39" s="44" t="n"/>
      <c r="S39" s="44" t="n"/>
      <c r="T39" s="44" t="n"/>
      <c r="U39" s="44" t="n"/>
      <c r="V39" s="44" t="n"/>
      <c r="W39" s="44" t="n"/>
      <c r="X39" s="44" t="n"/>
      <c r="Y39" s="44" t="n"/>
      <c r="Z39" s="44" t="n"/>
      <c r="AA39" s="44" t="n"/>
      <c r="AB39" s="44" t="n"/>
      <c r="AC39" s="44" t="n"/>
      <c r="AD39" s="44" t="n"/>
    </row>
    <row r="40" ht="15.75" customHeight="1" s="88">
      <c r="A40" s="44" t="n"/>
      <c r="B40" s="44" t="n"/>
      <c r="C40" s="44" t="n"/>
      <c r="D40" s="44" t="n"/>
      <c r="E40" s="44" t="n"/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</row>
    <row r="41" ht="15.75" customHeight="1" s="88">
      <c r="A41" s="44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  <c r="O41" s="44" t="n"/>
      <c r="P41" s="44" t="n"/>
      <c r="Q41" s="44" t="n"/>
      <c r="R41" s="44" t="n"/>
      <c r="S41" s="44" t="n"/>
      <c r="T41" s="44" t="n"/>
      <c r="U41" s="44" t="n"/>
      <c r="V41" s="44" t="n"/>
      <c r="W41" s="44" t="n"/>
      <c r="X41" s="44" t="n"/>
      <c r="Y41" s="44" t="n"/>
      <c r="Z41" s="44" t="n"/>
      <c r="AA41" s="44" t="n"/>
      <c r="AB41" s="44" t="n"/>
      <c r="AC41" s="44" t="n"/>
      <c r="AD41" s="44" t="n"/>
    </row>
    <row r="42" ht="15.75" customHeight="1" s="88">
      <c r="A42" s="44" t="n"/>
      <c r="B42" s="44" t="n"/>
      <c r="C42" s="44" t="n"/>
      <c r="D42" s="44" t="n"/>
      <c r="E42" s="44" t="n"/>
      <c r="F42" s="44" t="n"/>
      <c r="G42" s="44" t="n"/>
      <c r="H42" s="44" t="n"/>
      <c r="I42" s="44" t="n"/>
      <c r="J42" s="44" t="n"/>
      <c r="K42" s="44" t="n"/>
      <c r="L42" s="44" t="n"/>
      <c r="M42" s="44" t="n"/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</row>
    <row r="43" ht="15.75" customHeight="1" s="88">
      <c r="A43" s="44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  <c r="O43" s="44" t="n"/>
      <c r="P43" s="44" t="n"/>
      <c r="Q43" s="44" t="n"/>
      <c r="R43" s="44" t="n"/>
      <c r="S43" s="44" t="n"/>
      <c r="T43" s="44" t="n"/>
      <c r="U43" s="44" t="n"/>
      <c r="V43" s="44" t="n"/>
      <c r="W43" s="44" t="n"/>
      <c r="X43" s="44" t="n"/>
      <c r="Y43" s="44" t="n"/>
      <c r="Z43" s="44" t="n"/>
      <c r="AA43" s="44" t="n"/>
      <c r="AB43" s="44" t="n"/>
      <c r="AC43" s="44" t="n"/>
      <c r="AD43" s="44" t="n"/>
    </row>
    <row r="44" ht="15.75" customHeight="1" s="88">
      <c r="A44" s="44" t="n"/>
      <c r="B44" s="44" t="n"/>
      <c r="C44" s="44" t="n"/>
      <c r="D44" s="44" t="n"/>
      <c r="E44" s="44" t="n"/>
      <c r="F44" s="44" t="n"/>
      <c r="G44" s="44" t="n"/>
      <c r="H44" s="44" t="n"/>
      <c r="I44" s="44" t="n"/>
      <c r="J44" s="44" t="n"/>
      <c r="K44" s="44" t="n"/>
      <c r="L44" s="44" t="n"/>
      <c r="M44" s="44" t="n"/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</row>
    <row r="45" ht="15.75" customHeight="1" s="88">
      <c r="A45" s="44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  <c r="O45" s="44" t="n"/>
      <c r="P45" s="44" t="n"/>
      <c r="Q45" s="44" t="n"/>
      <c r="R45" s="44" t="n"/>
      <c r="S45" s="44" t="n"/>
      <c r="T45" s="44" t="n"/>
      <c r="U45" s="44" t="n"/>
      <c r="V45" s="44" t="n"/>
      <c r="W45" s="44" t="n"/>
      <c r="X45" s="44" t="n"/>
      <c r="Y45" s="44" t="n"/>
      <c r="Z45" s="44" t="n"/>
      <c r="AA45" s="44" t="n"/>
      <c r="AB45" s="44" t="n"/>
      <c r="AC45" s="44" t="n"/>
      <c r="AD45" s="44" t="n"/>
    </row>
    <row r="46" ht="15.75" customHeight="1" s="88">
      <c r="A46" s="44" t="n"/>
      <c r="B46" s="44" t="n"/>
      <c r="C46" s="44" t="n"/>
      <c r="D46" s="44" t="n"/>
      <c r="E46" s="44" t="n"/>
      <c r="F46" s="44" t="n"/>
      <c r="G46" s="44" t="n"/>
      <c r="H46" s="44" t="n"/>
      <c r="I46" s="44" t="n"/>
      <c r="J46" s="44" t="n"/>
      <c r="K46" s="44" t="n"/>
      <c r="L46" s="44" t="n"/>
      <c r="M46" s="44" t="n"/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</row>
    <row r="47" ht="15.75" customHeight="1" s="88">
      <c r="A47" s="44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4" t="n"/>
      <c r="N47" s="44" t="n"/>
      <c r="O47" s="44" t="n"/>
      <c r="P47" s="44" t="n"/>
      <c r="Q47" s="44" t="n"/>
      <c r="R47" s="44" t="n"/>
      <c r="S47" s="44" t="n"/>
      <c r="T47" s="44" t="n"/>
      <c r="U47" s="44" t="n"/>
      <c r="V47" s="44" t="n"/>
      <c r="W47" s="44" t="n"/>
      <c r="X47" s="44" t="n"/>
      <c r="Y47" s="44" t="n"/>
      <c r="Z47" s="44" t="n"/>
      <c r="AA47" s="44" t="n"/>
      <c r="AB47" s="44" t="n"/>
      <c r="AC47" s="44" t="n"/>
      <c r="AD47" s="44" t="n"/>
    </row>
    <row r="48" ht="15.75" customHeight="1" s="88">
      <c r="A48" s="44" t="n"/>
      <c r="B48" s="44" t="n"/>
      <c r="C48" s="44" t="n"/>
      <c r="D48" s="44" t="n"/>
      <c r="E48" s="44" t="n"/>
      <c r="F48" s="44" t="n"/>
      <c r="G48" s="44" t="n"/>
      <c r="H48" s="44" t="n"/>
      <c r="I48" s="44" t="n"/>
      <c r="J48" s="44" t="n"/>
      <c r="K48" s="44" t="n"/>
      <c r="L48" s="44" t="n"/>
      <c r="M48" s="44" t="n"/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</row>
    <row r="49" ht="15.75" customHeight="1" s="88">
      <c r="A49" s="44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  <c r="O49" s="44" t="n"/>
      <c r="P49" s="44" t="n"/>
      <c r="Q49" s="44" t="n"/>
      <c r="R49" s="44" t="n"/>
      <c r="S49" s="44" t="n"/>
      <c r="T49" s="44" t="n"/>
      <c r="U49" s="44" t="n"/>
      <c r="V49" s="44" t="n"/>
      <c r="W49" s="44" t="n"/>
      <c r="X49" s="44" t="n"/>
      <c r="Y49" s="44" t="n"/>
      <c r="Z49" s="44" t="n"/>
      <c r="AA49" s="44" t="n"/>
      <c r="AB49" s="44" t="n"/>
      <c r="AC49" s="44" t="n"/>
      <c r="AD49" s="44" t="n"/>
    </row>
    <row r="50" ht="15.75" customHeight="1" s="88">
      <c r="A50" s="44" t="n"/>
      <c r="B50" s="44" t="n"/>
      <c r="C50" s="44" t="n"/>
      <c r="D50" s="44" t="n"/>
      <c r="E50" s="44" t="n"/>
      <c r="F50" s="44" t="n"/>
      <c r="G50" s="44" t="n"/>
      <c r="H50" s="44" t="n"/>
      <c r="I50" s="44" t="n"/>
      <c r="J50" s="44" t="n"/>
      <c r="K50" s="44" t="n"/>
      <c r="L50" s="44" t="n"/>
      <c r="M50" s="44" t="n"/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</row>
    <row r="51" ht="15.75" customHeight="1" s="88">
      <c r="A51" s="44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  <c r="O51" s="44" t="n"/>
      <c r="P51" s="44" t="n"/>
      <c r="Q51" s="44" t="n"/>
      <c r="R51" s="44" t="n"/>
      <c r="S51" s="44" t="n"/>
      <c r="T51" s="44" t="n"/>
      <c r="U51" s="44" t="n"/>
      <c r="V51" s="44" t="n"/>
      <c r="W51" s="44" t="n"/>
      <c r="X51" s="44" t="n"/>
      <c r="Y51" s="44" t="n"/>
      <c r="Z51" s="44" t="n"/>
      <c r="AA51" s="44" t="n"/>
      <c r="AB51" s="44" t="n"/>
      <c r="AC51" s="44" t="n"/>
      <c r="AD51" s="44" t="n"/>
    </row>
    <row r="52" ht="15.75" customHeight="1" s="88">
      <c r="A52" s="44" t="n"/>
      <c r="B52" s="44" t="n"/>
      <c r="C52" s="44" t="n"/>
      <c r="D52" s="44" t="n"/>
      <c r="E52" s="44" t="n"/>
      <c r="F52" s="44" t="n"/>
      <c r="G52" s="44" t="n"/>
      <c r="H52" s="44" t="n"/>
      <c r="I52" s="44" t="n"/>
      <c r="J52" s="44" t="n"/>
      <c r="K52" s="44" t="n"/>
      <c r="L52" s="44" t="n"/>
      <c r="M52" s="44" t="n"/>
      <c r="N52" s="44" t="n"/>
      <c r="O52" s="44" t="n"/>
      <c r="P52" s="44" t="n"/>
      <c r="Q52" s="44" t="n"/>
      <c r="R52" s="44" t="n"/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  <c r="AC52" s="44" t="n"/>
      <c r="AD52" s="44" t="n"/>
    </row>
    <row r="53" ht="15.75" customHeight="1" s="88">
      <c r="A53" s="44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  <c r="O53" s="44" t="n"/>
      <c r="P53" s="44" t="n"/>
      <c r="Q53" s="44" t="n"/>
      <c r="R53" s="44" t="n"/>
      <c r="S53" s="44" t="n"/>
      <c r="T53" s="44" t="n"/>
      <c r="U53" s="44" t="n"/>
      <c r="V53" s="44" t="n"/>
      <c r="W53" s="44" t="n"/>
      <c r="X53" s="44" t="n"/>
      <c r="Y53" s="44" t="n"/>
      <c r="Z53" s="44" t="n"/>
      <c r="AA53" s="44" t="n"/>
      <c r="AB53" s="44" t="n"/>
      <c r="AC53" s="44" t="n"/>
      <c r="AD53" s="44" t="n"/>
    </row>
    <row r="54" ht="15.75" customHeight="1" s="88">
      <c r="A54" s="44" t="n"/>
      <c r="B54" s="44" t="n"/>
      <c r="C54" s="44" t="n"/>
      <c r="D54" s="44" t="n"/>
      <c r="E54" s="44" t="n"/>
      <c r="F54" s="44" t="n"/>
      <c r="G54" s="44" t="n"/>
      <c r="H54" s="44" t="n"/>
      <c r="I54" s="44" t="n"/>
      <c r="J54" s="44" t="n"/>
      <c r="K54" s="44" t="n"/>
      <c r="L54" s="44" t="n"/>
      <c r="M54" s="44" t="n"/>
      <c r="N54" s="44" t="n"/>
      <c r="O54" s="44" t="n"/>
      <c r="P54" s="44" t="n"/>
      <c r="Q54" s="44" t="n"/>
      <c r="R54" s="44" t="n"/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  <c r="AC54" s="44" t="n"/>
      <c r="AD54" s="44" t="n"/>
    </row>
    <row r="55" ht="15.75" customHeight="1" s="88">
      <c r="A55" s="44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  <c r="O55" s="44" t="n"/>
      <c r="P55" s="44" t="n"/>
      <c r="Q55" s="44" t="n"/>
      <c r="R55" s="44" t="n"/>
      <c r="S55" s="44" t="n"/>
      <c r="T55" s="44" t="n"/>
      <c r="U55" s="44" t="n"/>
      <c r="V55" s="44" t="n"/>
      <c r="W55" s="44" t="n"/>
      <c r="X55" s="44" t="n"/>
      <c r="Y55" s="44" t="n"/>
      <c r="Z55" s="44" t="n"/>
      <c r="AA55" s="44" t="n"/>
      <c r="AB55" s="44" t="n"/>
      <c r="AC55" s="44" t="n"/>
      <c r="AD55" s="44" t="n"/>
    </row>
    <row r="56" ht="15.75" customHeight="1" s="88">
      <c r="A56" s="44" t="n"/>
      <c r="B56" s="44" t="n"/>
      <c r="C56" s="44" t="n"/>
      <c r="D56" s="44" t="n"/>
      <c r="E56" s="44" t="n"/>
      <c r="F56" s="44" t="n"/>
      <c r="G56" s="44" t="n"/>
      <c r="H56" s="44" t="n"/>
      <c r="I56" s="44" t="n"/>
      <c r="J56" s="44" t="n"/>
      <c r="K56" s="44" t="n"/>
      <c r="L56" s="44" t="n"/>
      <c r="M56" s="44" t="n"/>
      <c r="N56" s="44" t="n"/>
      <c r="O56" s="44" t="n"/>
      <c r="P56" s="44" t="n"/>
      <c r="Q56" s="44" t="n"/>
      <c r="R56" s="44" t="n"/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  <c r="AC56" s="44" t="n"/>
      <c r="AD56" s="44" t="n"/>
    </row>
    <row r="57" ht="15.75" customHeight="1" s="88">
      <c r="A57" s="44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  <c r="O57" s="44" t="n"/>
      <c r="P57" s="44" t="n"/>
      <c r="Q57" s="44" t="n"/>
      <c r="R57" s="44" t="n"/>
      <c r="S57" s="44" t="n"/>
      <c r="T57" s="44" t="n"/>
      <c r="U57" s="44" t="n"/>
      <c r="V57" s="44" t="n"/>
      <c r="W57" s="44" t="n"/>
      <c r="X57" s="44" t="n"/>
      <c r="Y57" s="44" t="n"/>
      <c r="Z57" s="44" t="n"/>
      <c r="AA57" s="44" t="n"/>
      <c r="AB57" s="44" t="n"/>
      <c r="AC57" s="44" t="n"/>
      <c r="AD57" s="44" t="n"/>
    </row>
    <row r="58" ht="15.75" customHeight="1" s="88">
      <c r="A58" s="44" t="n"/>
      <c r="B58" s="44" t="n"/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  <c r="M58" s="44" t="n"/>
      <c r="N58" s="44" t="n"/>
      <c r="O58" s="44" t="n"/>
      <c r="P58" s="44" t="n"/>
      <c r="Q58" s="44" t="n"/>
      <c r="R58" s="44" t="n"/>
      <c r="S58" s="44" t="n"/>
      <c r="T58" s="44" t="n"/>
      <c r="U58" s="44" t="n"/>
      <c r="V58" s="44" t="n"/>
      <c r="W58" s="44" t="n"/>
      <c r="X58" s="44" t="n"/>
      <c r="Y58" s="44" t="n"/>
      <c r="Z58" s="44" t="n"/>
      <c r="AA58" s="44" t="n"/>
      <c r="AB58" s="44" t="n"/>
      <c r="AC58" s="44" t="n"/>
      <c r="AD58" s="44" t="n"/>
    </row>
    <row r="59" ht="15.75" customHeight="1" s="88">
      <c r="A59" s="44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  <c r="O59" s="44" t="n"/>
      <c r="P59" s="44" t="n"/>
      <c r="Q59" s="44" t="n"/>
      <c r="R59" s="44" t="n"/>
      <c r="S59" s="44" t="n"/>
      <c r="T59" s="44" t="n"/>
      <c r="U59" s="44" t="n"/>
      <c r="V59" s="44" t="n"/>
      <c r="W59" s="44" t="n"/>
      <c r="X59" s="44" t="n"/>
      <c r="Y59" s="44" t="n"/>
      <c r="Z59" s="44" t="n"/>
      <c r="AA59" s="44" t="n"/>
      <c r="AB59" s="44" t="n"/>
      <c r="AC59" s="44" t="n"/>
      <c r="AD59" s="44" t="n"/>
    </row>
    <row r="60" ht="15.75" customHeight="1" s="88">
      <c r="A60" s="44" t="n"/>
      <c r="B60" s="44" t="n"/>
      <c r="C60" s="44" t="n"/>
      <c r="D60" s="44" t="n"/>
      <c r="E60" s="44" t="n"/>
      <c r="F60" s="44" t="n"/>
      <c r="G60" s="44" t="n"/>
      <c r="H60" s="44" t="n"/>
      <c r="I60" s="44" t="n"/>
      <c r="J60" s="44" t="n"/>
      <c r="K60" s="44" t="n"/>
      <c r="L60" s="44" t="n"/>
      <c r="M60" s="44" t="n"/>
      <c r="N60" s="44" t="n"/>
      <c r="O60" s="44" t="n"/>
      <c r="P60" s="44" t="n"/>
      <c r="Q60" s="44" t="n"/>
      <c r="R60" s="44" t="n"/>
      <c r="S60" s="44" t="n"/>
      <c r="T60" s="44" t="n"/>
      <c r="U60" s="44" t="n"/>
      <c r="V60" s="44" t="n"/>
      <c r="W60" s="44" t="n"/>
      <c r="X60" s="44" t="n"/>
      <c r="Y60" s="44" t="n"/>
      <c r="Z60" s="44" t="n"/>
      <c r="AA60" s="44" t="n"/>
      <c r="AB60" s="44" t="n"/>
      <c r="AC60" s="44" t="n"/>
      <c r="AD60" s="44" t="n"/>
    </row>
    <row r="61" ht="15.75" customHeight="1" s="88">
      <c r="A61" s="44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  <c r="O61" s="44" t="n"/>
      <c r="P61" s="44" t="n"/>
      <c r="Q61" s="44" t="n"/>
      <c r="R61" s="44" t="n"/>
      <c r="S61" s="44" t="n"/>
      <c r="T61" s="44" t="n"/>
      <c r="U61" s="44" t="n"/>
      <c r="V61" s="44" t="n"/>
      <c r="W61" s="44" t="n"/>
      <c r="X61" s="44" t="n"/>
      <c r="Y61" s="44" t="n"/>
      <c r="Z61" s="44" t="n"/>
      <c r="AA61" s="44" t="n"/>
      <c r="AB61" s="44" t="n"/>
      <c r="AC61" s="44" t="n"/>
      <c r="AD61" s="44" t="n"/>
    </row>
    <row r="62" ht="15.75" customHeight="1" s="88">
      <c r="A62" s="44" t="n"/>
      <c r="B62" s="44" t="n"/>
      <c r="C62" s="44" t="n"/>
      <c r="D62" s="44" t="n"/>
      <c r="E62" s="44" t="n"/>
      <c r="F62" s="44" t="n"/>
      <c r="G62" s="44" t="n"/>
      <c r="H62" s="44" t="n"/>
      <c r="I62" s="44" t="n"/>
      <c r="J62" s="44" t="n"/>
      <c r="K62" s="44" t="n"/>
      <c r="L62" s="44" t="n"/>
      <c r="M62" s="44" t="n"/>
      <c r="N62" s="44" t="n"/>
      <c r="O62" s="44" t="n"/>
      <c r="P62" s="44" t="n"/>
      <c r="Q62" s="44" t="n"/>
      <c r="R62" s="44" t="n"/>
      <c r="S62" s="44" t="n"/>
      <c r="T62" s="44" t="n"/>
      <c r="U62" s="44" t="n"/>
      <c r="V62" s="44" t="n"/>
      <c r="W62" s="44" t="n"/>
      <c r="X62" s="44" t="n"/>
      <c r="Y62" s="44" t="n"/>
      <c r="Z62" s="44" t="n"/>
      <c r="AA62" s="44" t="n"/>
      <c r="AB62" s="44" t="n"/>
      <c r="AC62" s="44" t="n"/>
      <c r="AD62" s="44" t="n"/>
    </row>
    <row r="63" ht="15.75" customHeight="1" s="88">
      <c r="A63" s="44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  <c r="O63" s="44" t="n"/>
      <c r="P63" s="44" t="n"/>
      <c r="Q63" s="44" t="n"/>
      <c r="R63" s="44" t="n"/>
      <c r="S63" s="44" t="n"/>
      <c r="T63" s="44" t="n"/>
      <c r="U63" s="44" t="n"/>
      <c r="V63" s="44" t="n"/>
      <c r="W63" s="44" t="n"/>
      <c r="X63" s="44" t="n"/>
      <c r="Y63" s="44" t="n"/>
      <c r="Z63" s="44" t="n"/>
      <c r="AA63" s="44" t="n"/>
      <c r="AB63" s="44" t="n"/>
      <c r="AC63" s="44" t="n"/>
      <c r="AD63" s="44" t="n"/>
    </row>
    <row r="64" ht="15.75" customHeight="1" s="88">
      <c r="A64" s="44" t="n"/>
      <c r="B64" s="44" t="n"/>
      <c r="C64" s="44" t="n"/>
      <c r="D64" s="44" t="n"/>
      <c r="E64" s="44" t="n"/>
      <c r="F64" s="44" t="n"/>
      <c r="G64" s="44" t="n"/>
      <c r="H64" s="44" t="n"/>
      <c r="I64" s="44" t="n"/>
      <c r="J64" s="44" t="n"/>
      <c r="K64" s="44" t="n"/>
      <c r="L64" s="44" t="n"/>
      <c r="M64" s="44" t="n"/>
      <c r="N64" s="44" t="n"/>
      <c r="O64" s="44" t="n"/>
      <c r="P64" s="44" t="n"/>
      <c r="Q64" s="44" t="n"/>
      <c r="R64" s="44" t="n"/>
      <c r="S64" s="44" t="n"/>
      <c r="T64" s="44" t="n"/>
      <c r="U64" s="44" t="n"/>
      <c r="V64" s="44" t="n"/>
      <c r="W64" s="44" t="n"/>
      <c r="X64" s="44" t="n"/>
      <c r="Y64" s="44" t="n"/>
      <c r="Z64" s="44" t="n"/>
      <c r="AA64" s="44" t="n"/>
      <c r="AB64" s="44" t="n"/>
      <c r="AC64" s="44" t="n"/>
      <c r="AD64" s="44" t="n"/>
    </row>
    <row r="65" ht="15.75" customHeight="1" s="88">
      <c r="A65" s="44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  <c r="P65" s="44" t="n"/>
      <c r="Q65" s="44" t="n"/>
      <c r="R65" s="44" t="n"/>
      <c r="S65" s="44" t="n"/>
      <c r="T65" s="44" t="n"/>
      <c r="U65" s="44" t="n"/>
      <c r="V65" s="44" t="n"/>
      <c r="W65" s="44" t="n"/>
      <c r="X65" s="44" t="n"/>
      <c r="Y65" s="44" t="n"/>
      <c r="Z65" s="44" t="n"/>
      <c r="AA65" s="44" t="n"/>
      <c r="AB65" s="44" t="n"/>
      <c r="AC65" s="44" t="n"/>
      <c r="AD65" s="44" t="n"/>
    </row>
    <row r="66" ht="15.75" customHeight="1" s="88">
      <c r="A66" s="44" t="n"/>
      <c r="B66" s="44" t="n"/>
      <c r="C66" s="44" t="n"/>
      <c r="D66" s="44" t="n"/>
      <c r="E66" s="44" t="n"/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n"/>
      <c r="O66" s="44" t="n"/>
      <c r="P66" s="44" t="n"/>
      <c r="Q66" s="44" t="n"/>
      <c r="R66" s="44" t="n"/>
      <c r="S66" s="44" t="n"/>
      <c r="T66" s="44" t="n"/>
      <c r="U66" s="44" t="n"/>
      <c r="V66" s="44" t="n"/>
      <c r="W66" s="44" t="n"/>
      <c r="X66" s="44" t="n"/>
      <c r="Y66" s="44" t="n"/>
      <c r="Z66" s="44" t="n"/>
      <c r="AA66" s="44" t="n"/>
      <c r="AB66" s="44" t="n"/>
      <c r="AC66" s="44" t="n"/>
      <c r="AD66" s="44" t="n"/>
    </row>
    <row r="67" ht="15.75" customHeight="1" s="88">
      <c r="A67" s="44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  <c r="P67" s="44" t="n"/>
      <c r="Q67" s="44" t="n"/>
      <c r="R67" s="44" t="n"/>
      <c r="S67" s="44" t="n"/>
      <c r="T67" s="44" t="n"/>
      <c r="U67" s="44" t="n"/>
      <c r="V67" s="44" t="n"/>
      <c r="W67" s="44" t="n"/>
      <c r="X67" s="44" t="n"/>
      <c r="Y67" s="44" t="n"/>
      <c r="Z67" s="44" t="n"/>
      <c r="AA67" s="44" t="n"/>
      <c r="AB67" s="44" t="n"/>
      <c r="AC67" s="44" t="n"/>
      <c r="AD67" s="44" t="n"/>
    </row>
    <row r="68" ht="15.75" customHeight="1" s="88">
      <c r="A68" s="44" t="n"/>
      <c r="B68" s="44" t="n"/>
      <c r="C68" s="44" t="n"/>
      <c r="D68" s="44" t="n"/>
      <c r="E68" s="44" t="n"/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n"/>
      <c r="O68" s="44" t="n"/>
      <c r="P68" s="44" t="n"/>
      <c r="Q68" s="44" t="n"/>
      <c r="R68" s="44" t="n"/>
      <c r="S68" s="44" t="n"/>
      <c r="T68" s="44" t="n"/>
      <c r="U68" s="44" t="n"/>
      <c r="V68" s="44" t="n"/>
      <c r="W68" s="44" t="n"/>
      <c r="X68" s="44" t="n"/>
      <c r="Y68" s="44" t="n"/>
      <c r="Z68" s="44" t="n"/>
      <c r="AA68" s="44" t="n"/>
      <c r="AB68" s="44" t="n"/>
      <c r="AC68" s="44" t="n"/>
      <c r="AD68" s="44" t="n"/>
    </row>
    <row r="69" ht="15.75" customHeight="1" s="88">
      <c r="A69" s="44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  <c r="O69" s="44" t="n"/>
      <c r="P69" s="44" t="n"/>
      <c r="Q69" s="44" t="n"/>
      <c r="R69" s="44" t="n"/>
      <c r="S69" s="44" t="n"/>
      <c r="T69" s="44" t="n"/>
      <c r="U69" s="44" t="n"/>
      <c r="V69" s="44" t="n"/>
      <c r="W69" s="44" t="n"/>
      <c r="X69" s="44" t="n"/>
      <c r="Y69" s="44" t="n"/>
      <c r="Z69" s="44" t="n"/>
      <c r="AA69" s="44" t="n"/>
      <c r="AB69" s="44" t="n"/>
      <c r="AC69" s="44" t="n"/>
      <c r="AD69" s="44" t="n"/>
    </row>
    <row r="70" ht="15.75" customHeight="1" s="88">
      <c r="A70" s="44" t="n"/>
      <c r="B70" s="44" t="n"/>
      <c r="C70" s="44" t="n"/>
      <c r="D70" s="44" t="n"/>
      <c r="E70" s="44" t="n"/>
      <c r="F70" s="44" t="n"/>
      <c r="G70" s="44" t="n"/>
      <c r="H70" s="44" t="n"/>
      <c r="I70" s="44" t="n"/>
      <c r="J70" s="44" t="n"/>
      <c r="K70" s="44" t="n"/>
      <c r="L70" s="44" t="n"/>
      <c r="M70" s="44" t="n"/>
      <c r="N70" s="44" t="n"/>
      <c r="O70" s="44" t="n"/>
      <c r="P70" s="44" t="n"/>
      <c r="Q70" s="44" t="n"/>
      <c r="R70" s="44" t="n"/>
      <c r="S70" s="44" t="n"/>
      <c r="T70" s="44" t="n"/>
      <c r="U70" s="44" t="n"/>
      <c r="V70" s="44" t="n"/>
      <c r="W70" s="44" t="n"/>
      <c r="X70" s="44" t="n"/>
      <c r="Y70" s="44" t="n"/>
      <c r="Z70" s="44" t="n"/>
      <c r="AA70" s="44" t="n"/>
      <c r="AB70" s="44" t="n"/>
      <c r="AC70" s="44" t="n"/>
      <c r="AD70" s="44" t="n"/>
    </row>
    <row r="71" ht="15.75" customHeight="1" s="88">
      <c r="A71" s="44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  <c r="O71" s="44" t="n"/>
      <c r="P71" s="44" t="n"/>
      <c r="Q71" s="44" t="n"/>
      <c r="R71" s="44" t="n"/>
      <c r="S71" s="44" t="n"/>
      <c r="T71" s="44" t="n"/>
      <c r="U71" s="44" t="n"/>
      <c r="V71" s="44" t="n"/>
      <c r="W71" s="44" t="n"/>
      <c r="X71" s="44" t="n"/>
      <c r="Y71" s="44" t="n"/>
      <c r="Z71" s="44" t="n"/>
      <c r="AA71" s="44" t="n"/>
      <c r="AB71" s="44" t="n"/>
      <c r="AC71" s="44" t="n"/>
      <c r="AD71" s="44" t="n"/>
    </row>
    <row r="72" ht="15.75" customHeight="1" s="88">
      <c r="A72" s="44" t="n"/>
      <c r="B72" s="44" t="n"/>
      <c r="C72" s="44" t="n"/>
      <c r="D72" s="44" t="n"/>
      <c r="E72" s="44" t="n"/>
      <c r="F72" s="44" t="n"/>
      <c r="G72" s="44" t="n"/>
      <c r="H72" s="44" t="n"/>
      <c r="I72" s="44" t="n"/>
      <c r="J72" s="44" t="n"/>
      <c r="K72" s="44" t="n"/>
      <c r="L72" s="44" t="n"/>
      <c r="M72" s="44" t="n"/>
      <c r="N72" s="44" t="n"/>
      <c r="O72" s="44" t="n"/>
      <c r="P72" s="44" t="n"/>
      <c r="Q72" s="44" t="n"/>
      <c r="R72" s="44" t="n"/>
      <c r="S72" s="44" t="n"/>
      <c r="T72" s="44" t="n"/>
      <c r="U72" s="44" t="n"/>
      <c r="V72" s="44" t="n"/>
      <c r="W72" s="44" t="n"/>
      <c r="X72" s="44" t="n"/>
      <c r="Y72" s="44" t="n"/>
      <c r="Z72" s="44" t="n"/>
      <c r="AA72" s="44" t="n"/>
      <c r="AB72" s="44" t="n"/>
      <c r="AC72" s="44" t="n"/>
      <c r="AD72" s="44" t="n"/>
    </row>
    <row r="73" ht="15.75" customHeight="1" s="88">
      <c r="A73" s="44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  <c r="O73" s="44" t="n"/>
      <c r="P73" s="44" t="n"/>
      <c r="Q73" s="44" t="n"/>
      <c r="R73" s="44" t="n"/>
      <c r="S73" s="44" t="n"/>
      <c r="T73" s="44" t="n"/>
      <c r="U73" s="44" t="n"/>
      <c r="V73" s="44" t="n"/>
      <c r="W73" s="44" t="n"/>
      <c r="X73" s="44" t="n"/>
      <c r="Y73" s="44" t="n"/>
      <c r="Z73" s="44" t="n"/>
      <c r="AA73" s="44" t="n"/>
      <c r="AB73" s="44" t="n"/>
      <c r="AC73" s="44" t="n"/>
      <c r="AD73" s="44" t="n"/>
    </row>
    <row r="74" ht="15.75" customHeight="1" s="88">
      <c r="A74" s="44" t="n"/>
      <c r="B74" s="44" t="n"/>
      <c r="C74" s="44" t="n"/>
      <c r="D74" s="44" t="n"/>
      <c r="E74" s="44" t="n"/>
      <c r="F74" s="44" t="n"/>
      <c r="G74" s="44" t="n"/>
      <c r="H74" s="44" t="n"/>
      <c r="I74" s="44" t="n"/>
      <c r="J74" s="44" t="n"/>
      <c r="K74" s="44" t="n"/>
      <c r="L74" s="44" t="n"/>
      <c r="M74" s="44" t="n"/>
      <c r="N74" s="44" t="n"/>
      <c r="O74" s="44" t="n"/>
      <c r="P74" s="44" t="n"/>
      <c r="Q74" s="44" t="n"/>
      <c r="R74" s="44" t="n"/>
      <c r="S74" s="44" t="n"/>
      <c r="T74" s="44" t="n"/>
      <c r="U74" s="44" t="n"/>
      <c r="V74" s="44" t="n"/>
      <c r="W74" s="44" t="n"/>
      <c r="X74" s="44" t="n"/>
      <c r="Y74" s="44" t="n"/>
      <c r="Z74" s="44" t="n"/>
      <c r="AA74" s="44" t="n"/>
      <c r="AB74" s="44" t="n"/>
      <c r="AC74" s="44" t="n"/>
      <c r="AD74" s="44" t="n"/>
    </row>
    <row r="75" ht="15.75" customHeight="1" s="88">
      <c r="A75" s="44" t="n"/>
      <c r="B75" s="44" t="n"/>
      <c r="C75" s="44" t="n"/>
      <c r="D75" s="44" t="n"/>
      <c r="E75" s="44" t="n"/>
      <c r="F75" s="44" t="n"/>
      <c r="G75" s="44" t="n"/>
      <c r="H75" s="44" t="n"/>
      <c r="I75" s="44" t="n"/>
      <c r="J75" s="44" t="n"/>
      <c r="K75" s="44" t="n"/>
      <c r="L75" s="44" t="n"/>
      <c r="M75" s="44" t="n"/>
      <c r="N75" s="44" t="n"/>
      <c r="O75" s="44" t="n"/>
      <c r="P75" s="44" t="n"/>
      <c r="Q75" s="44" t="n"/>
      <c r="R75" s="44" t="n"/>
      <c r="S75" s="44" t="n"/>
      <c r="T75" s="44" t="n"/>
      <c r="U75" s="44" t="n"/>
      <c r="V75" s="44" t="n"/>
      <c r="W75" s="44" t="n"/>
      <c r="X75" s="44" t="n"/>
      <c r="Y75" s="44" t="n"/>
      <c r="Z75" s="44" t="n"/>
      <c r="AA75" s="44" t="n"/>
      <c r="AB75" s="44" t="n"/>
      <c r="AC75" s="44" t="n"/>
      <c r="AD75" s="44" t="n"/>
    </row>
    <row r="76" ht="15.75" customHeight="1" s="88">
      <c r="A76" s="44" t="n"/>
      <c r="B76" s="44" t="n"/>
      <c r="C76" s="44" t="n"/>
      <c r="D76" s="44" t="n"/>
      <c r="E76" s="44" t="n"/>
      <c r="F76" s="44" t="n"/>
      <c r="G76" s="44" t="n"/>
      <c r="H76" s="44" t="n"/>
      <c r="I76" s="44" t="n"/>
      <c r="J76" s="44" t="n"/>
      <c r="K76" s="44" t="n"/>
      <c r="L76" s="44" t="n"/>
      <c r="M76" s="44" t="n"/>
      <c r="N76" s="44" t="n"/>
      <c r="O76" s="44" t="n"/>
      <c r="P76" s="44" t="n"/>
      <c r="Q76" s="44" t="n"/>
      <c r="R76" s="44" t="n"/>
      <c r="S76" s="44" t="n"/>
      <c r="T76" s="44" t="n"/>
      <c r="U76" s="44" t="n"/>
      <c r="V76" s="44" t="n"/>
      <c r="W76" s="44" t="n"/>
      <c r="X76" s="44" t="n"/>
      <c r="Y76" s="44" t="n"/>
      <c r="Z76" s="44" t="n"/>
      <c r="AA76" s="44" t="n"/>
      <c r="AB76" s="44" t="n"/>
      <c r="AC76" s="44" t="n"/>
      <c r="AD76" s="44" t="n"/>
    </row>
    <row r="77" ht="15.75" customHeight="1" s="88">
      <c r="A77" s="44" t="n"/>
      <c r="B77" s="44" t="n"/>
      <c r="C77" s="44" t="n"/>
      <c r="D77" s="44" t="n"/>
      <c r="E77" s="44" t="n"/>
      <c r="F77" s="44" t="n"/>
      <c r="G77" s="44" t="n"/>
      <c r="H77" s="44" t="n"/>
      <c r="I77" s="44" t="n"/>
      <c r="J77" s="44" t="n"/>
      <c r="K77" s="44" t="n"/>
      <c r="L77" s="44" t="n"/>
      <c r="M77" s="44" t="n"/>
      <c r="N77" s="44" t="n"/>
      <c r="O77" s="44" t="n"/>
      <c r="P77" s="44" t="n"/>
      <c r="Q77" s="44" t="n"/>
      <c r="R77" s="44" t="n"/>
      <c r="S77" s="44" t="n"/>
      <c r="T77" s="44" t="n"/>
      <c r="U77" s="44" t="n"/>
      <c r="V77" s="44" t="n"/>
      <c r="W77" s="44" t="n"/>
      <c r="X77" s="44" t="n"/>
      <c r="Y77" s="44" t="n"/>
      <c r="Z77" s="44" t="n"/>
      <c r="AA77" s="44" t="n"/>
      <c r="AB77" s="44" t="n"/>
      <c r="AC77" s="44" t="n"/>
      <c r="AD77" s="44" t="n"/>
    </row>
    <row r="78" ht="15.75" customHeight="1" s="88">
      <c r="A78" s="44" t="n"/>
      <c r="B78" s="44" t="n"/>
      <c r="C78" s="44" t="n"/>
      <c r="D78" s="44" t="n"/>
      <c r="E78" s="44" t="n"/>
      <c r="F78" s="44" t="n"/>
      <c r="G78" s="44" t="n"/>
      <c r="H78" s="44" t="n"/>
      <c r="I78" s="44" t="n"/>
      <c r="J78" s="44" t="n"/>
      <c r="K78" s="44" t="n"/>
      <c r="L78" s="44" t="n"/>
      <c r="M78" s="44" t="n"/>
      <c r="N78" s="44" t="n"/>
      <c r="O78" s="44" t="n"/>
      <c r="P78" s="44" t="n"/>
      <c r="Q78" s="44" t="n"/>
      <c r="R78" s="44" t="n"/>
      <c r="S78" s="44" t="n"/>
      <c r="T78" s="44" t="n"/>
      <c r="U78" s="44" t="n"/>
      <c r="V78" s="44" t="n"/>
      <c r="W78" s="44" t="n"/>
      <c r="X78" s="44" t="n"/>
      <c r="Y78" s="44" t="n"/>
      <c r="Z78" s="44" t="n"/>
      <c r="AA78" s="44" t="n"/>
      <c r="AB78" s="44" t="n"/>
      <c r="AC78" s="44" t="n"/>
      <c r="AD78" s="44" t="n"/>
    </row>
    <row r="79" ht="15.75" customHeight="1" s="88">
      <c r="A79" s="44" t="n"/>
      <c r="B79" s="44" t="n"/>
      <c r="C79" s="44" t="n"/>
      <c r="D79" s="44" t="n"/>
      <c r="E79" s="44" t="n"/>
      <c r="F79" s="44" t="n"/>
      <c r="G79" s="44" t="n"/>
      <c r="H79" s="44" t="n"/>
      <c r="I79" s="44" t="n"/>
      <c r="J79" s="44" t="n"/>
      <c r="K79" s="44" t="n"/>
      <c r="L79" s="44" t="n"/>
      <c r="M79" s="44" t="n"/>
      <c r="N79" s="44" t="n"/>
      <c r="O79" s="44" t="n"/>
      <c r="P79" s="44" t="n"/>
      <c r="Q79" s="44" t="n"/>
      <c r="R79" s="44" t="n"/>
      <c r="S79" s="44" t="n"/>
      <c r="T79" s="44" t="n"/>
      <c r="U79" s="44" t="n"/>
      <c r="V79" s="44" t="n"/>
      <c r="W79" s="44" t="n"/>
      <c r="X79" s="44" t="n"/>
      <c r="Y79" s="44" t="n"/>
      <c r="Z79" s="44" t="n"/>
      <c r="AA79" s="44" t="n"/>
      <c r="AB79" s="44" t="n"/>
      <c r="AC79" s="44" t="n"/>
      <c r="AD79" s="44" t="n"/>
    </row>
    <row r="80" ht="15.75" customHeight="1" s="88">
      <c r="A80" s="44" t="n"/>
      <c r="B80" s="44" t="n"/>
      <c r="C80" s="44" t="n"/>
      <c r="D80" s="44" t="n"/>
      <c r="E80" s="44" t="n"/>
      <c r="F80" s="44" t="n"/>
      <c r="G80" s="44" t="n"/>
      <c r="H80" s="44" t="n"/>
      <c r="I80" s="44" t="n"/>
      <c r="J80" s="44" t="n"/>
      <c r="K80" s="44" t="n"/>
      <c r="L80" s="44" t="n"/>
      <c r="M80" s="44" t="n"/>
      <c r="N80" s="44" t="n"/>
      <c r="O80" s="44" t="n"/>
      <c r="P80" s="44" t="n"/>
      <c r="Q80" s="44" t="n"/>
      <c r="R80" s="44" t="n"/>
      <c r="S80" s="44" t="n"/>
      <c r="T80" s="44" t="n"/>
      <c r="U80" s="44" t="n"/>
      <c r="V80" s="44" t="n"/>
      <c r="W80" s="44" t="n"/>
      <c r="X80" s="44" t="n"/>
      <c r="Y80" s="44" t="n"/>
      <c r="Z80" s="44" t="n"/>
      <c r="AA80" s="44" t="n"/>
      <c r="AB80" s="44" t="n"/>
      <c r="AC80" s="44" t="n"/>
      <c r="AD80" s="44" t="n"/>
    </row>
    <row r="81" ht="15.75" customHeight="1" s="88">
      <c r="A81" s="44" t="n"/>
      <c r="B81" s="44" t="n"/>
      <c r="C81" s="44" t="n"/>
      <c r="D81" s="44" t="n"/>
      <c r="E81" s="44" t="n"/>
      <c r="F81" s="44" t="n"/>
      <c r="G81" s="44" t="n"/>
      <c r="H81" s="44" t="n"/>
      <c r="I81" s="44" t="n"/>
      <c r="J81" s="44" t="n"/>
      <c r="K81" s="44" t="n"/>
      <c r="L81" s="44" t="n"/>
      <c r="M81" s="44" t="n"/>
      <c r="N81" s="44" t="n"/>
      <c r="O81" s="44" t="n"/>
      <c r="P81" s="44" t="n"/>
      <c r="Q81" s="44" t="n"/>
      <c r="R81" s="44" t="n"/>
      <c r="S81" s="44" t="n"/>
      <c r="T81" s="44" t="n"/>
      <c r="U81" s="44" t="n"/>
      <c r="V81" s="44" t="n"/>
      <c r="W81" s="44" t="n"/>
      <c r="X81" s="44" t="n"/>
      <c r="Y81" s="44" t="n"/>
      <c r="Z81" s="44" t="n"/>
      <c r="AA81" s="44" t="n"/>
      <c r="AB81" s="44" t="n"/>
      <c r="AC81" s="44" t="n"/>
      <c r="AD81" s="44" t="n"/>
    </row>
    <row r="82" ht="15.75" customHeight="1" s="88">
      <c r="A82" s="44" t="n"/>
      <c r="B82" s="44" t="n"/>
      <c r="C82" s="44" t="n"/>
      <c r="D82" s="44" t="n"/>
      <c r="E82" s="44" t="n"/>
      <c r="F82" s="44" t="n"/>
      <c r="G82" s="44" t="n"/>
      <c r="H82" s="44" t="n"/>
      <c r="I82" s="44" t="n"/>
      <c r="J82" s="44" t="n"/>
      <c r="K82" s="44" t="n"/>
      <c r="L82" s="44" t="n"/>
      <c r="M82" s="44" t="n"/>
      <c r="N82" s="44" t="n"/>
      <c r="O82" s="44" t="n"/>
      <c r="P82" s="44" t="n"/>
      <c r="Q82" s="44" t="n"/>
      <c r="R82" s="44" t="n"/>
      <c r="S82" s="44" t="n"/>
      <c r="T82" s="44" t="n"/>
      <c r="U82" s="44" t="n"/>
      <c r="V82" s="44" t="n"/>
      <c r="W82" s="44" t="n"/>
      <c r="X82" s="44" t="n"/>
      <c r="Y82" s="44" t="n"/>
      <c r="Z82" s="44" t="n"/>
      <c r="AA82" s="44" t="n"/>
      <c r="AB82" s="44" t="n"/>
      <c r="AC82" s="44" t="n"/>
      <c r="AD82" s="44" t="n"/>
    </row>
    <row r="83" ht="15.75" customHeight="1" s="88">
      <c r="A83" s="44" t="n"/>
      <c r="B83" s="44" t="n"/>
      <c r="C83" s="44" t="n"/>
      <c r="D83" s="44" t="n"/>
      <c r="E83" s="44" t="n"/>
      <c r="F83" s="44" t="n"/>
      <c r="G83" s="44" t="n"/>
      <c r="H83" s="44" t="n"/>
      <c r="I83" s="44" t="n"/>
      <c r="J83" s="44" t="n"/>
      <c r="K83" s="44" t="n"/>
      <c r="L83" s="44" t="n"/>
      <c r="M83" s="44" t="n"/>
      <c r="N83" s="44" t="n"/>
      <c r="O83" s="44" t="n"/>
      <c r="P83" s="44" t="n"/>
      <c r="Q83" s="44" t="n"/>
      <c r="R83" s="44" t="n"/>
      <c r="S83" s="44" t="n"/>
      <c r="T83" s="44" t="n"/>
      <c r="U83" s="44" t="n"/>
      <c r="V83" s="44" t="n"/>
      <c r="W83" s="44" t="n"/>
      <c r="X83" s="44" t="n"/>
      <c r="Y83" s="44" t="n"/>
      <c r="Z83" s="44" t="n"/>
      <c r="AA83" s="44" t="n"/>
      <c r="AB83" s="44" t="n"/>
      <c r="AC83" s="44" t="n"/>
      <c r="AD83" s="44" t="n"/>
    </row>
    <row r="84" ht="15.75" customHeight="1" s="88"/>
    <row r="85" ht="15.75" customHeight="1" s="88"/>
    <row r="86" ht="15.75" customHeight="1" s="88"/>
    <row r="87" ht="15.75" customHeight="1" s="88"/>
    <row r="88" ht="15.75" customHeight="1" s="88"/>
    <row r="89" ht="15.75" customHeight="1" s="88"/>
    <row r="90" ht="15.75" customHeight="1" s="88"/>
    <row r="91" ht="15.75" customHeight="1" s="88"/>
    <row r="92" ht="15.75" customHeight="1" s="88"/>
    <row r="93" ht="15.75" customHeight="1" s="88"/>
    <row r="94" ht="15.75" customHeight="1" s="88"/>
    <row r="95" ht="15.75" customHeight="1" s="88"/>
    <row r="96" ht="15.75" customHeight="1" s="88"/>
    <row r="97" ht="15.75" customHeight="1" s="88"/>
    <row r="98" ht="15.75" customHeight="1" s="88"/>
    <row r="99" ht="15.75" customHeight="1" s="88"/>
    <row r="100" ht="15.75" customHeight="1" s="88"/>
    <row r="101" ht="15.75" customHeight="1" s="88"/>
    <row r="102" ht="15.75" customHeight="1" s="88"/>
    <row r="103" ht="15.75" customHeight="1" s="88"/>
    <row r="104" ht="15.75" customHeight="1" s="88"/>
    <row r="105" ht="15.75" customHeight="1" s="88"/>
    <row r="106" ht="15.75" customHeight="1" s="88"/>
    <row r="107" ht="15.75" customHeight="1" s="88"/>
    <row r="108" ht="15.75" customHeight="1" s="88"/>
    <row r="109" ht="15.75" customHeight="1" s="88"/>
    <row r="110" ht="15.75" customHeight="1" s="88"/>
    <row r="111" ht="15.75" customHeight="1" s="88"/>
    <row r="112" ht="15.75" customHeight="1" s="88"/>
    <row r="113" ht="15.75" customHeight="1" s="88"/>
    <row r="114" ht="15.75" customHeight="1" s="88"/>
    <row r="115" ht="15.75" customHeight="1" s="88"/>
    <row r="116" ht="15.75" customHeight="1" s="88"/>
    <row r="117" ht="15.75" customHeight="1" s="88"/>
    <row r="118" ht="15.75" customHeight="1" s="88"/>
    <row r="119" ht="15.75" customHeight="1" s="88"/>
    <row r="120" ht="15.75" customHeight="1" s="88"/>
    <row r="121" ht="15.75" customHeight="1" s="88"/>
    <row r="122" ht="15.75" customHeight="1" s="88"/>
    <row r="123" ht="15.75" customHeight="1" s="88"/>
    <row r="124" ht="15.75" customHeight="1" s="88"/>
    <row r="125" ht="15.75" customHeight="1" s="88"/>
    <row r="126" ht="15.75" customHeight="1" s="88"/>
    <row r="127" ht="15.75" customHeight="1" s="88"/>
    <row r="128" ht="15.75" customHeight="1" s="88"/>
    <row r="129" ht="15.75" customHeight="1" s="88"/>
    <row r="130" ht="15.75" customHeight="1" s="88"/>
    <row r="131" ht="15.75" customHeight="1" s="88"/>
    <row r="132" ht="15.75" customHeight="1" s="88"/>
    <row r="133" ht="15.75" customHeight="1" s="88"/>
    <row r="134" ht="15.75" customHeight="1" s="88"/>
    <row r="135" ht="15.75" customHeight="1" s="88"/>
    <row r="136" ht="15.75" customHeight="1" s="88"/>
    <row r="137" ht="15.75" customHeight="1" s="88"/>
    <row r="138" ht="15.75" customHeight="1" s="88"/>
    <row r="139" ht="15.75" customHeight="1" s="88"/>
    <row r="140" ht="15.75" customHeight="1" s="88"/>
    <row r="141" ht="15.75" customHeight="1" s="88"/>
    <row r="142" ht="15.75" customHeight="1" s="88"/>
    <row r="143" ht="15.75" customHeight="1" s="88"/>
    <row r="144" ht="15.75" customHeight="1" s="88"/>
    <row r="145" ht="15.75" customHeight="1" s="88"/>
    <row r="146" ht="15.75" customHeight="1" s="88"/>
    <row r="147" ht="15.75" customHeight="1" s="88"/>
    <row r="148" ht="15.75" customHeight="1" s="88"/>
    <row r="149" ht="15.75" customHeight="1" s="88"/>
    <row r="150" ht="15.75" customHeight="1" s="88"/>
    <row r="151" ht="15.75" customHeight="1" s="88"/>
    <row r="152" ht="15.75" customHeight="1" s="88"/>
    <row r="153" ht="15.75" customHeight="1" s="88"/>
    <row r="154" ht="15.75" customHeight="1" s="88"/>
    <row r="155" ht="15.75" customHeight="1" s="88"/>
    <row r="156" ht="15.75" customHeight="1" s="88"/>
    <row r="157" ht="15.75" customHeight="1" s="88"/>
    <row r="158" ht="15.75" customHeight="1" s="88"/>
    <row r="159" ht="15.75" customHeight="1" s="88"/>
    <row r="160" ht="15.75" customHeight="1" s="88"/>
    <row r="161" ht="15.75" customHeight="1" s="88"/>
    <row r="162" ht="15.75" customHeight="1" s="88"/>
    <row r="163" ht="15.75" customHeight="1" s="88"/>
    <row r="164" ht="15.75" customHeight="1" s="88"/>
    <row r="165" ht="15.75" customHeight="1" s="88"/>
    <row r="166" ht="15.75" customHeight="1" s="88"/>
    <row r="167" ht="15.75" customHeight="1" s="88"/>
    <row r="168" ht="15.75" customHeight="1" s="88"/>
    <row r="169" ht="15.75" customHeight="1" s="88"/>
    <row r="170" ht="15.75" customHeight="1" s="88"/>
    <row r="171" ht="15.75" customHeight="1" s="88"/>
    <row r="172" ht="15.75" customHeight="1" s="88"/>
    <row r="173" ht="15.75" customHeight="1" s="88"/>
    <row r="174" ht="15.75" customHeight="1" s="88"/>
    <row r="175" ht="15.75" customHeight="1" s="88"/>
    <row r="176" ht="15.75" customHeight="1" s="88"/>
    <row r="177" ht="15.75" customHeight="1" s="88"/>
    <row r="178" ht="15.75" customHeight="1" s="88"/>
    <row r="179" ht="15.75" customHeight="1" s="88"/>
    <row r="180" ht="15.75" customHeight="1" s="88"/>
    <row r="181" ht="15.75" customHeight="1" s="88"/>
    <row r="182" ht="15.75" customHeight="1" s="88"/>
    <row r="183" ht="15.75" customHeight="1" s="88"/>
    <row r="184" ht="15.75" customHeight="1" s="88"/>
    <row r="185" ht="15.75" customHeight="1" s="88"/>
    <row r="186" ht="15.75" customHeight="1" s="88"/>
    <row r="187" ht="15.75" customHeight="1" s="88"/>
    <row r="188" ht="15.75" customHeight="1" s="88"/>
    <row r="189" ht="15.75" customHeight="1" s="88"/>
    <row r="190" ht="15.75" customHeight="1" s="88"/>
    <row r="191" ht="15.75" customHeight="1" s="88"/>
    <row r="192" ht="15.75" customHeight="1" s="88"/>
    <row r="193" ht="15.75" customHeight="1" s="88"/>
    <row r="194" ht="15.75" customHeight="1" s="88"/>
    <row r="195" ht="15.75" customHeight="1" s="88"/>
    <row r="196" ht="15.75" customHeight="1" s="88"/>
    <row r="197" ht="15.75" customHeight="1" s="88"/>
    <row r="198" ht="15.75" customHeight="1" s="88"/>
    <row r="199" ht="15.75" customHeight="1" s="88"/>
    <row r="200" ht="15.75" customHeight="1" s="88"/>
    <row r="201" ht="15.75" customHeight="1" s="88"/>
    <row r="202" ht="15.75" customHeight="1" s="88"/>
    <row r="203" ht="15.75" customHeight="1" s="88"/>
    <row r="204" ht="15.75" customHeight="1" s="88"/>
    <row r="205" ht="15.75" customHeight="1" s="88"/>
    <row r="206" ht="15.75" customHeight="1" s="88"/>
    <row r="207" ht="15.75" customHeight="1" s="88"/>
    <row r="208" ht="15.75" customHeight="1" s="88"/>
    <row r="209" ht="15.75" customHeight="1" s="88"/>
    <row r="210" ht="15.75" customHeight="1" s="88"/>
    <row r="211" ht="15.75" customHeight="1" s="88"/>
    <row r="212" ht="15.75" customHeight="1" s="88"/>
    <row r="213" ht="15.75" customHeight="1" s="88"/>
    <row r="214" ht="15.75" customHeight="1" s="88"/>
    <row r="215" ht="15.75" customHeight="1" s="88"/>
    <row r="216" ht="15.75" customHeight="1" s="88"/>
    <row r="217" ht="15.75" customHeight="1" s="88"/>
    <row r="218" ht="15.75" customHeight="1" s="88"/>
    <row r="219" ht="15.75" customHeight="1" s="88"/>
    <row r="220" ht="15.75" customHeight="1" s="88"/>
    <row r="221" ht="15.75" customHeight="1" s="88"/>
    <row r="222" ht="15.75" customHeight="1" s="88"/>
    <row r="223" ht="15.75" customHeight="1" s="88"/>
    <row r="224" ht="15.75" customHeight="1" s="88"/>
    <row r="225" ht="15.75" customHeight="1" s="88"/>
    <row r="226" ht="15.75" customHeight="1" s="88"/>
    <row r="227" ht="15.75" customHeight="1" s="88"/>
    <row r="228" ht="15.75" customHeight="1" s="88"/>
    <row r="229" ht="15.75" customHeight="1" s="88"/>
    <row r="230" ht="15.75" customHeight="1" s="88"/>
    <row r="231" ht="15.75" customHeight="1" s="88"/>
    <row r="232" ht="15.75" customHeight="1" s="88"/>
    <row r="233" ht="15.75" customHeight="1" s="88"/>
    <row r="234" ht="15.75" customHeight="1" s="88"/>
    <row r="235" ht="15.75" customHeight="1" s="88"/>
    <row r="236" ht="15.75" customHeight="1" s="88"/>
    <row r="237" ht="15.75" customHeight="1" s="88"/>
    <row r="238" ht="15.75" customHeight="1" s="88"/>
    <row r="239" ht="15.75" customHeight="1" s="88"/>
    <row r="240" ht="15.75" customHeight="1" s="88"/>
    <row r="241" ht="15.75" customHeight="1" s="88"/>
    <row r="242" ht="15.75" customHeight="1" s="88"/>
    <row r="243" ht="15.75" customHeight="1" s="88"/>
    <row r="244" ht="15.75" customHeight="1" s="88"/>
    <row r="245" ht="15.75" customHeight="1" s="88"/>
    <row r="246" ht="15.75" customHeight="1" s="88"/>
    <row r="247" ht="15.75" customHeight="1" s="88"/>
    <row r="248" ht="15.75" customHeight="1" s="88"/>
    <row r="249" ht="15.75" customHeight="1" s="88"/>
    <row r="250" ht="15.75" customHeight="1" s="88"/>
    <row r="251" ht="15.75" customHeight="1" s="88"/>
    <row r="252" ht="15.75" customHeight="1" s="88"/>
    <row r="253" ht="15.75" customHeight="1" s="88"/>
    <row r="254" ht="15.75" customHeight="1" s="88"/>
    <row r="255" ht="15.75" customHeight="1" s="88"/>
    <row r="256" ht="15.75" customHeight="1" s="88"/>
    <row r="257" ht="15.75" customHeight="1" s="88"/>
    <row r="258" ht="15.75" customHeight="1" s="88"/>
    <row r="259" ht="15.75" customHeight="1" s="88"/>
    <row r="260" ht="15.75" customHeight="1" s="88"/>
    <row r="261" ht="15.75" customHeight="1" s="88"/>
    <row r="262" ht="15.75" customHeight="1" s="88"/>
    <row r="263" ht="15.75" customHeight="1" s="88"/>
    <row r="264" ht="15.75" customHeight="1" s="88"/>
    <row r="265" ht="15.75" customHeight="1" s="88"/>
    <row r="266" ht="15.75" customHeight="1" s="88"/>
    <row r="267" ht="15.75" customHeight="1" s="88"/>
    <row r="268" ht="15.75" customHeight="1" s="88"/>
    <row r="269" ht="15.75" customHeight="1" s="88"/>
    <row r="270" ht="15.75" customHeight="1" s="88"/>
    <row r="271" ht="15.75" customHeight="1" s="88"/>
    <row r="272" ht="15.75" customHeight="1" s="88"/>
    <row r="273" ht="15.75" customHeight="1" s="88"/>
    <row r="274" ht="15.75" customHeight="1" s="88"/>
    <row r="275" ht="15.75" customHeight="1" s="88"/>
    <row r="276" ht="15.75" customHeight="1" s="88"/>
    <row r="277" ht="15.75" customHeight="1" s="88"/>
    <row r="278" ht="15.75" customHeight="1" s="88"/>
    <row r="279" ht="15.75" customHeight="1" s="88"/>
    <row r="280" ht="15.75" customHeight="1" s="88"/>
    <row r="281" ht="15.75" customHeight="1" s="88"/>
    <row r="282" ht="15.75" customHeight="1" s="88"/>
    <row r="283" ht="15.75" customHeight="1" s="88"/>
    <row r="284" ht="15.75" customHeight="1" s="88"/>
    <row r="285" ht="15.75" customHeight="1" s="88"/>
    <row r="286" ht="15.75" customHeight="1" s="88"/>
    <row r="287" ht="15.75" customHeight="1" s="88"/>
    <row r="288" ht="15.75" customHeight="1" s="88"/>
    <row r="289" ht="15.75" customHeight="1" s="88"/>
    <row r="290" ht="15.75" customHeight="1" s="88"/>
    <row r="291" ht="15.75" customHeight="1" s="88"/>
    <row r="292" ht="15.75" customHeight="1" s="88"/>
    <row r="293" ht="15.75" customHeight="1" s="88"/>
    <row r="294" ht="15.75" customHeight="1" s="88"/>
    <row r="295" ht="15.75" customHeight="1" s="88"/>
    <row r="296" ht="15.75" customHeight="1" s="88"/>
    <row r="297" ht="15.75" customHeight="1" s="88"/>
    <row r="298" ht="15.75" customHeight="1" s="88"/>
    <row r="299" ht="15.75" customHeight="1" s="88"/>
    <row r="300" ht="15.75" customHeight="1" s="88"/>
    <row r="301" ht="15.75" customHeight="1" s="88"/>
    <row r="302" ht="15.75" customHeight="1" s="88"/>
    <row r="303" ht="15.75" customHeight="1" s="88"/>
    <row r="304" ht="15.75" customHeight="1" s="88"/>
    <row r="305" ht="15.75" customHeight="1" s="88"/>
    <row r="306" ht="15.75" customHeight="1" s="88"/>
    <row r="307" ht="15.75" customHeight="1" s="88"/>
    <row r="308" ht="15.75" customHeight="1" s="88"/>
    <row r="309" ht="15.75" customHeight="1" s="88"/>
    <row r="310" ht="15.75" customHeight="1" s="88"/>
    <row r="311" ht="15.75" customHeight="1" s="88"/>
    <row r="312" ht="15.75" customHeight="1" s="88"/>
    <row r="313" ht="15.75" customHeight="1" s="88"/>
    <row r="314" ht="15.75" customHeight="1" s="88"/>
    <row r="315" ht="15.75" customHeight="1" s="88"/>
    <row r="316" ht="15.75" customHeight="1" s="88"/>
    <row r="317" ht="15.75" customHeight="1" s="88"/>
    <row r="318" ht="15.75" customHeight="1" s="88"/>
    <row r="319" ht="15.75" customHeight="1" s="88"/>
    <row r="320" ht="15.75" customHeight="1" s="88"/>
    <row r="321" ht="15.75" customHeight="1" s="88"/>
    <row r="322" ht="15.75" customHeight="1" s="88"/>
    <row r="323" ht="15.75" customHeight="1" s="88"/>
    <row r="324" ht="15.75" customHeight="1" s="88"/>
    <row r="325" ht="15.75" customHeight="1" s="88"/>
    <row r="326" ht="15.75" customHeight="1" s="88"/>
    <row r="327" ht="15.75" customHeight="1" s="88"/>
    <row r="328" ht="15.75" customHeight="1" s="88"/>
    <row r="329" ht="15.75" customHeight="1" s="88"/>
    <row r="330" ht="15.75" customHeight="1" s="88"/>
    <row r="331" ht="15.75" customHeight="1" s="88"/>
    <row r="332" ht="15.75" customHeight="1" s="88"/>
    <row r="333" ht="15.75" customHeight="1" s="88"/>
    <row r="334" ht="15.75" customHeight="1" s="88"/>
    <row r="335" ht="15.75" customHeight="1" s="88"/>
    <row r="336" ht="15.75" customHeight="1" s="88"/>
    <row r="337" ht="15.75" customHeight="1" s="88"/>
    <row r="338" ht="15.75" customHeight="1" s="88"/>
    <row r="339" ht="15.75" customHeight="1" s="88"/>
    <row r="340" ht="15.75" customHeight="1" s="88"/>
    <row r="341" ht="15.75" customHeight="1" s="88"/>
    <row r="342" ht="15.75" customHeight="1" s="88"/>
    <row r="343" ht="15.75" customHeight="1" s="88"/>
    <row r="344" ht="15.75" customHeight="1" s="88"/>
    <row r="345" ht="15.75" customHeight="1" s="88"/>
    <row r="346" ht="15.75" customHeight="1" s="88"/>
    <row r="347" ht="15.75" customHeight="1" s="88"/>
    <row r="348" ht="15.75" customHeight="1" s="88"/>
    <row r="349" ht="15.75" customHeight="1" s="88"/>
    <row r="350" ht="15.75" customHeight="1" s="88"/>
    <row r="351" ht="15.75" customHeight="1" s="88"/>
    <row r="352" ht="15.75" customHeight="1" s="88"/>
    <row r="353" ht="15.75" customHeight="1" s="88"/>
    <row r="354" ht="15.75" customHeight="1" s="88"/>
    <row r="355" ht="15.75" customHeight="1" s="88"/>
    <row r="356" ht="15.75" customHeight="1" s="88"/>
    <row r="357" ht="15.75" customHeight="1" s="88"/>
    <row r="358" ht="15.75" customHeight="1" s="88"/>
    <row r="359" ht="15.75" customHeight="1" s="88"/>
    <row r="360" ht="15.75" customHeight="1" s="88"/>
    <row r="361" ht="15.75" customHeight="1" s="88"/>
    <row r="362" ht="15.75" customHeight="1" s="88"/>
    <row r="363" ht="15.75" customHeight="1" s="88"/>
    <row r="364" ht="15.75" customHeight="1" s="88"/>
    <row r="365" ht="15.75" customHeight="1" s="88"/>
    <row r="366" ht="15.75" customHeight="1" s="88"/>
    <row r="367" ht="15.75" customHeight="1" s="88"/>
    <row r="368" ht="15.75" customHeight="1" s="88"/>
    <row r="369" ht="15.75" customHeight="1" s="88"/>
    <row r="370" ht="15.75" customHeight="1" s="88"/>
    <row r="371" ht="15.75" customHeight="1" s="88"/>
    <row r="372" ht="15.75" customHeight="1" s="88"/>
    <row r="373" ht="15.75" customHeight="1" s="88"/>
    <row r="374" ht="15.75" customHeight="1" s="88"/>
    <row r="375" ht="15.75" customHeight="1" s="88"/>
    <row r="376" ht="15.75" customHeight="1" s="88"/>
    <row r="377" ht="15.75" customHeight="1" s="88"/>
    <row r="378" ht="15.75" customHeight="1" s="88"/>
    <row r="379" ht="15.75" customHeight="1" s="88"/>
    <row r="380" ht="15.75" customHeight="1" s="88"/>
    <row r="381" ht="15.75" customHeight="1" s="88"/>
    <row r="382" ht="15.75" customHeight="1" s="88"/>
    <row r="383" ht="15.75" customHeight="1" s="88"/>
    <row r="384" ht="15.75" customHeight="1" s="88"/>
    <row r="385" ht="15.75" customHeight="1" s="88"/>
    <row r="386" ht="15.75" customHeight="1" s="88"/>
    <row r="387" ht="15.75" customHeight="1" s="88"/>
    <row r="388" ht="15.75" customHeight="1" s="88"/>
    <row r="389" ht="15.75" customHeight="1" s="88"/>
    <row r="390" ht="15.75" customHeight="1" s="88"/>
    <row r="391" ht="15.75" customHeight="1" s="88"/>
    <row r="392" ht="15.75" customHeight="1" s="88"/>
    <row r="393" ht="15.75" customHeight="1" s="88"/>
    <row r="394" ht="15.75" customHeight="1" s="88"/>
    <row r="395" ht="15.75" customHeight="1" s="88"/>
    <row r="396" ht="15.75" customHeight="1" s="88"/>
    <row r="397" ht="15.75" customHeight="1" s="88"/>
    <row r="398" ht="15.75" customHeight="1" s="88"/>
    <row r="399" ht="15.75" customHeight="1" s="88"/>
    <row r="400" ht="15.75" customHeight="1" s="88"/>
    <row r="401" ht="15.75" customHeight="1" s="88"/>
    <row r="402" ht="15.75" customHeight="1" s="88"/>
    <row r="403" ht="15.75" customHeight="1" s="88"/>
    <row r="404" ht="15.75" customHeight="1" s="88"/>
    <row r="405" ht="15.75" customHeight="1" s="88"/>
    <row r="406" ht="15.75" customHeight="1" s="88"/>
    <row r="407" ht="15.75" customHeight="1" s="88"/>
    <row r="408" ht="15.75" customHeight="1" s="88"/>
    <row r="409" ht="15.75" customHeight="1" s="88"/>
    <row r="410" ht="15.75" customHeight="1" s="88"/>
    <row r="411" ht="15.75" customHeight="1" s="88"/>
    <row r="412" ht="15.75" customHeight="1" s="88"/>
    <row r="413" ht="15.75" customHeight="1" s="88"/>
    <row r="414" ht="15.75" customHeight="1" s="88"/>
    <row r="415" ht="15.75" customHeight="1" s="88"/>
    <row r="416" ht="15.75" customHeight="1" s="88"/>
    <row r="417" ht="15.75" customHeight="1" s="88"/>
    <row r="418" ht="15.75" customHeight="1" s="88"/>
    <row r="419" ht="15.75" customHeight="1" s="88"/>
    <row r="420" ht="15.75" customHeight="1" s="88"/>
    <row r="421" ht="15.75" customHeight="1" s="88"/>
    <row r="422" ht="15.75" customHeight="1" s="88"/>
    <row r="423" ht="15.75" customHeight="1" s="88"/>
    <row r="424" ht="15.75" customHeight="1" s="88"/>
    <row r="425" ht="15.75" customHeight="1" s="88"/>
    <row r="426" ht="15.75" customHeight="1" s="88"/>
    <row r="427" ht="15.75" customHeight="1" s="88"/>
    <row r="428" ht="15.75" customHeight="1" s="88"/>
    <row r="429" ht="15.75" customHeight="1" s="88"/>
    <row r="430" ht="15.75" customHeight="1" s="88"/>
    <row r="431" ht="15.75" customHeight="1" s="88"/>
    <row r="432" ht="15.75" customHeight="1" s="88"/>
    <row r="433" ht="15.75" customHeight="1" s="88"/>
    <row r="434" ht="15.75" customHeight="1" s="88"/>
    <row r="435" ht="15.75" customHeight="1" s="88"/>
    <row r="436" ht="15.75" customHeight="1" s="88"/>
    <row r="437" ht="15.75" customHeight="1" s="88"/>
    <row r="438" ht="15.75" customHeight="1" s="88"/>
    <row r="439" ht="15.75" customHeight="1" s="88"/>
    <row r="440" ht="15.75" customHeight="1" s="88"/>
    <row r="441" ht="15.75" customHeight="1" s="88"/>
    <row r="442" ht="15.75" customHeight="1" s="88"/>
    <row r="443" ht="15.75" customHeight="1" s="88"/>
    <row r="444" ht="15.75" customHeight="1" s="88"/>
    <row r="445" ht="15.75" customHeight="1" s="88"/>
    <row r="446" ht="15.75" customHeight="1" s="88"/>
    <row r="447" ht="15.75" customHeight="1" s="88"/>
    <row r="448" ht="15.75" customHeight="1" s="88"/>
    <row r="449" ht="15.75" customHeight="1" s="88"/>
    <row r="450" ht="15.75" customHeight="1" s="88"/>
    <row r="451" ht="15.75" customHeight="1" s="88"/>
    <row r="452" ht="15.75" customHeight="1" s="88"/>
    <row r="453" ht="15.75" customHeight="1" s="88"/>
    <row r="454" ht="15.75" customHeight="1" s="88"/>
    <row r="455" ht="15.75" customHeight="1" s="88"/>
    <row r="456" ht="15.75" customHeight="1" s="88"/>
    <row r="457" ht="15.75" customHeight="1" s="88"/>
    <row r="458" ht="15.75" customHeight="1" s="88"/>
    <row r="459" ht="15.75" customHeight="1" s="88"/>
    <row r="460" ht="15.75" customHeight="1" s="88"/>
    <row r="461" ht="15.75" customHeight="1" s="88"/>
    <row r="462" ht="15.75" customHeight="1" s="88"/>
    <row r="463" ht="15.75" customHeight="1" s="88"/>
    <row r="464" ht="15.75" customHeight="1" s="88"/>
    <row r="465" ht="15.75" customHeight="1" s="88"/>
    <row r="466" ht="15.75" customHeight="1" s="88"/>
    <row r="467" ht="15.75" customHeight="1" s="88"/>
    <row r="468" ht="15.75" customHeight="1" s="88"/>
    <row r="469" ht="15.75" customHeight="1" s="88"/>
    <row r="470" ht="15.75" customHeight="1" s="88"/>
    <row r="471" ht="15.75" customHeight="1" s="88"/>
    <row r="472" ht="15.75" customHeight="1" s="88"/>
    <row r="473" ht="15.75" customHeight="1" s="88"/>
    <row r="474" ht="15.75" customHeight="1" s="88"/>
    <row r="475" ht="15.75" customHeight="1" s="88"/>
    <row r="476" ht="15.75" customHeight="1" s="88"/>
    <row r="477" ht="15.75" customHeight="1" s="88"/>
    <row r="478" ht="15.75" customHeight="1" s="88"/>
    <row r="479" ht="15.75" customHeight="1" s="88"/>
    <row r="480" ht="15.75" customHeight="1" s="88"/>
    <row r="481" ht="15.75" customHeight="1" s="88"/>
    <row r="482" ht="15.75" customHeight="1" s="88"/>
    <row r="483" ht="15.75" customHeight="1" s="88"/>
    <row r="484" ht="15.75" customHeight="1" s="88"/>
    <row r="485" ht="15.75" customHeight="1" s="88"/>
    <row r="486" ht="15.75" customHeight="1" s="88"/>
    <row r="487" ht="15.75" customHeight="1" s="88"/>
    <row r="488" ht="15.75" customHeight="1" s="88"/>
    <row r="489" ht="15.75" customHeight="1" s="88"/>
    <row r="490" ht="15.75" customHeight="1" s="88"/>
    <row r="491" ht="15.75" customHeight="1" s="88"/>
    <row r="492" ht="15.75" customHeight="1" s="88"/>
    <row r="493" ht="15.75" customHeight="1" s="88"/>
    <row r="494" ht="15.75" customHeight="1" s="88"/>
    <row r="495" ht="15.75" customHeight="1" s="88"/>
    <row r="496" ht="15.75" customHeight="1" s="88"/>
    <row r="497" ht="15.75" customHeight="1" s="88"/>
    <row r="498" ht="15.75" customHeight="1" s="88"/>
    <row r="499" ht="15.75" customHeight="1" s="88"/>
    <row r="500" ht="15.75" customHeight="1" s="88"/>
    <row r="501" ht="15.75" customHeight="1" s="88"/>
    <row r="502" ht="15.75" customHeight="1" s="88"/>
    <row r="503" ht="15.75" customHeight="1" s="88"/>
    <row r="504" ht="15.75" customHeight="1" s="88"/>
    <row r="505" ht="15.75" customHeight="1" s="88"/>
    <row r="506" ht="15.75" customHeight="1" s="88"/>
    <row r="507" ht="15.75" customHeight="1" s="88"/>
    <row r="508" ht="15.75" customHeight="1" s="88"/>
    <row r="509" ht="15.75" customHeight="1" s="88"/>
    <row r="510" ht="15.75" customHeight="1" s="88"/>
    <row r="511" ht="15.75" customHeight="1" s="88"/>
    <row r="512" ht="15.75" customHeight="1" s="88"/>
    <row r="513" ht="15.75" customHeight="1" s="88"/>
    <row r="514" ht="15.75" customHeight="1" s="88"/>
    <row r="515" ht="15.75" customHeight="1" s="88"/>
    <row r="516" ht="15.75" customHeight="1" s="88"/>
    <row r="517" ht="15.75" customHeight="1" s="88"/>
    <row r="518" ht="15.75" customHeight="1" s="88"/>
    <row r="519" ht="15.75" customHeight="1" s="88"/>
    <row r="520" ht="15.75" customHeight="1" s="88"/>
    <row r="521" ht="15.75" customHeight="1" s="88"/>
    <row r="522" ht="15.75" customHeight="1" s="88"/>
    <row r="523" ht="15.75" customHeight="1" s="88"/>
    <row r="524" ht="15.75" customHeight="1" s="88"/>
    <row r="525" ht="15.75" customHeight="1" s="88"/>
    <row r="526" ht="15.75" customHeight="1" s="88"/>
    <row r="527" ht="15.75" customHeight="1" s="88"/>
    <row r="528" ht="15.75" customHeight="1" s="88"/>
    <row r="529" ht="15.75" customHeight="1" s="88"/>
    <row r="530" ht="15.75" customHeight="1" s="88"/>
    <row r="531" ht="15.75" customHeight="1" s="88"/>
    <row r="532" ht="15.75" customHeight="1" s="88"/>
    <row r="533" ht="15.75" customHeight="1" s="88"/>
    <row r="534" ht="15.75" customHeight="1" s="88"/>
    <row r="535" ht="15.75" customHeight="1" s="88"/>
    <row r="536" ht="15.75" customHeight="1" s="88"/>
    <row r="537" ht="15.75" customHeight="1" s="88"/>
    <row r="538" ht="15.75" customHeight="1" s="88"/>
    <row r="539" ht="15.75" customHeight="1" s="88"/>
    <row r="540" ht="15.75" customHeight="1" s="88"/>
    <row r="541" ht="15.75" customHeight="1" s="88"/>
    <row r="542" ht="15.75" customHeight="1" s="88"/>
    <row r="543" ht="15.75" customHeight="1" s="88"/>
    <row r="544" ht="15.75" customHeight="1" s="88"/>
    <row r="545" ht="15.75" customHeight="1" s="88"/>
    <row r="546" ht="15.75" customHeight="1" s="88"/>
    <row r="547" ht="15.75" customHeight="1" s="88"/>
    <row r="548" ht="15.75" customHeight="1" s="88"/>
    <row r="549" ht="15.75" customHeight="1" s="88"/>
    <row r="550" ht="15.75" customHeight="1" s="88"/>
    <row r="551" ht="15.75" customHeight="1" s="88"/>
    <row r="552" ht="15.75" customHeight="1" s="88"/>
    <row r="553" ht="15.75" customHeight="1" s="88"/>
    <row r="554" ht="15.75" customHeight="1" s="88"/>
    <row r="555" ht="15.75" customHeight="1" s="88"/>
    <row r="556" ht="15.75" customHeight="1" s="88"/>
    <row r="557" ht="15.75" customHeight="1" s="88"/>
    <row r="558" ht="15.75" customHeight="1" s="88"/>
    <row r="559" ht="15.75" customHeight="1" s="88"/>
    <row r="560" ht="15.75" customHeight="1" s="88"/>
    <row r="561" ht="15.75" customHeight="1" s="88"/>
    <row r="562" ht="15.75" customHeight="1" s="88"/>
    <row r="563" ht="15.75" customHeight="1" s="88"/>
    <row r="564" ht="15.75" customHeight="1" s="88"/>
    <row r="565" ht="15.75" customHeight="1" s="88"/>
    <row r="566" ht="15.75" customHeight="1" s="88"/>
    <row r="567" ht="15.75" customHeight="1" s="88"/>
    <row r="568" ht="15.75" customHeight="1" s="88"/>
    <row r="569" ht="15.75" customHeight="1" s="88"/>
    <row r="570" ht="15.75" customHeight="1" s="88"/>
    <row r="571" ht="15.75" customHeight="1" s="88"/>
    <row r="572" ht="15.75" customHeight="1" s="88"/>
    <row r="573" ht="15.75" customHeight="1" s="88"/>
    <row r="574" ht="15.75" customHeight="1" s="88"/>
    <row r="575" ht="15.75" customHeight="1" s="88"/>
    <row r="576" ht="15.75" customHeight="1" s="88"/>
    <row r="577" ht="15.75" customHeight="1" s="88"/>
    <row r="578" ht="15.75" customHeight="1" s="88"/>
    <row r="579" ht="15.75" customHeight="1" s="88"/>
    <row r="580" ht="15.75" customHeight="1" s="88"/>
    <row r="581" ht="15.75" customHeight="1" s="88"/>
    <row r="582" ht="15.75" customHeight="1" s="88"/>
    <row r="583" ht="15.75" customHeight="1" s="88"/>
    <row r="584" ht="15.75" customHeight="1" s="88"/>
    <row r="585" ht="15.75" customHeight="1" s="88"/>
    <row r="586" ht="15.75" customHeight="1" s="88"/>
    <row r="587" ht="15.75" customHeight="1" s="88"/>
    <row r="588" ht="15.75" customHeight="1" s="88"/>
    <row r="589" ht="15.75" customHeight="1" s="88"/>
    <row r="590" ht="15.75" customHeight="1" s="88"/>
    <row r="591" ht="15.75" customHeight="1" s="88"/>
    <row r="592" ht="15.75" customHeight="1" s="88"/>
    <row r="593" ht="15.75" customHeight="1" s="88"/>
    <row r="594" ht="15.75" customHeight="1" s="88"/>
    <row r="595" ht="15.75" customHeight="1" s="88"/>
    <row r="596" ht="15.75" customHeight="1" s="88"/>
    <row r="597" ht="15.75" customHeight="1" s="88"/>
    <row r="598" ht="15.75" customHeight="1" s="88"/>
    <row r="599" ht="15.75" customHeight="1" s="88"/>
    <row r="600" ht="15.75" customHeight="1" s="88"/>
    <row r="601" ht="15.75" customHeight="1" s="88"/>
    <row r="602" ht="15.75" customHeight="1" s="88"/>
    <row r="603" ht="15.75" customHeight="1" s="88"/>
    <row r="604" ht="15.75" customHeight="1" s="88"/>
    <row r="605" ht="15.75" customHeight="1" s="88"/>
    <row r="606" ht="15.75" customHeight="1" s="88"/>
    <row r="607" ht="15.75" customHeight="1" s="88"/>
    <row r="608" ht="15.75" customHeight="1" s="88"/>
    <row r="609" ht="15.75" customHeight="1" s="88"/>
    <row r="610" ht="15.75" customHeight="1" s="88"/>
    <row r="611" ht="15.75" customHeight="1" s="88"/>
    <row r="612" ht="15.75" customHeight="1" s="88"/>
    <row r="613" ht="15.75" customHeight="1" s="88"/>
    <row r="614" ht="15.75" customHeight="1" s="88"/>
    <row r="615" ht="15.75" customHeight="1" s="88"/>
    <row r="616" ht="15.75" customHeight="1" s="88"/>
    <row r="617" ht="15.75" customHeight="1" s="88"/>
    <row r="618" ht="15.75" customHeight="1" s="88"/>
    <row r="619" ht="15.75" customHeight="1" s="88"/>
    <row r="620" ht="15.75" customHeight="1" s="88"/>
    <row r="621" ht="15.75" customHeight="1" s="88"/>
    <row r="622" ht="15.75" customHeight="1" s="88"/>
    <row r="623" ht="15.75" customHeight="1" s="88"/>
    <row r="624" ht="15.75" customHeight="1" s="88"/>
    <row r="625" ht="15.75" customHeight="1" s="88"/>
    <row r="626" ht="15.75" customHeight="1" s="88"/>
    <row r="627" ht="15.75" customHeight="1" s="88"/>
    <row r="628" ht="15.75" customHeight="1" s="88"/>
    <row r="629" ht="15.75" customHeight="1" s="88"/>
    <row r="630" ht="15.75" customHeight="1" s="88"/>
    <row r="631" ht="15.75" customHeight="1" s="88"/>
    <row r="632" ht="15.75" customHeight="1" s="88"/>
    <row r="633" ht="15.75" customHeight="1" s="88"/>
    <row r="634" ht="15.75" customHeight="1" s="88"/>
    <row r="635" ht="15.75" customHeight="1" s="88"/>
    <row r="636" ht="15.75" customHeight="1" s="88"/>
    <row r="637" ht="15.75" customHeight="1" s="88"/>
    <row r="638" ht="15.75" customHeight="1" s="88"/>
    <row r="639" ht="15.75" customHeight="1" s="88"/>
    <row r="640" ht="15.75" customHeight="1" s="88"/>
    <row r="641" ht="15.75" customHeight="1" s="88"/>
    <row r="642" ht="15.75" customHeight="1" s="88"/>
    <row r="643" ht="15.75" customHeight="1" s="88"/>
    <row r="644" ht="15.75" customHeight="1" s="88"/>
    <row r="645" ht="15.75" customHeight="1" s="88"/>
    <row r="646" ht="15.75" customHeight="1" s="88"/>
    <row r="647" ht="15.75" customHeight="1" s="88"/>
    <row r="648" ht="15.75" customHeight="1" s="88"/>
    <row r="649" ht="15.75" customHeight="1" s="88"/>
    <row r="650" ht="15.75" customHeight="1" s="88"/>
    <row r="651" ht="15.75" customHeight="1" s="88"/>
    <row r="652" ht="15.75" customHeight="1" s="88"/>
    <row r="653" ht="15.75" customHeight="1" s="88"/>
    <row r="654" ht="15.75" customHeight="1" s="88"/>
    <row r="655" ht="15.75" customHeight="1" s="88"/>
    <row r="656" ht="15.75" customHeight="1" s="88"/>
    <row r="657" ht="15.75" customHeight="1" s="88"/>
    <row r="658" ht="15.75" customHeight="1" s="88"/>
    <row r="659" ht="15.75" customHeight="1" s="88"/>
    <row r="660" ht="15.75" customHeight="1" s="88"/>
    <row r="661" ht="15.75" customHeight="1" s="88"/>
    <row r="662" ht="15.75" customHeight="1" s="88"/>
    <row r="663" ht="15.75" customHeight="1" s="88"/>
    <row r="664" ht="15.75" customHeight="1" s="88"/>
    <row r="665" ht="15.75" customHeight="1" s="88"/>
    <row r="666" ht="15.75" customHeight="1" s="88"/>
    <row r="667" ht="15.75" customHeight="1" s="88"/>
    <row r="668" ht="15.75" customHeight="1" s="88"/>
    <row r="669" ht="15.75" customHeight="1" s="88"/>
    <row r="670" ht="15.75" customHeight="1" s="88"/>
    <row r="671" ht="15.75" customHeight="1" s="88"/>
    <row r="672" ht="15.75" customHeight="1" s="88"/>
    <row r="673" ht="15.75" customHeight="1" s="88"/>
    <row r="674" ht="15.75" customHeight="1" s="88"/>
    <row r="675" ht="15.75" customHeight="1" s="88"/>
    <row r="676" ht="15.75" customHeight="1" s="88"/>
    <row r="677" ht="15.75" customHeight="1" s="88"/>
    <row r="678" ht="15.75" customHeight="1" s="88"/>
    <row r="679" ht="15.75" customHeight="1" s="88"/>
    <row r="680" ht="15.75" customHeight="1" s="88"/>
    <row r="681" ht="15.75" customHeight="1" s="88"/>
    <row r="682" ht="15.75" customHeight="1" s="88"/>
    <row r="683" ht="15.75" customHeight="1" s="88"/>
    <row r="684" ht="15.75" customHeight="1" s="88"/>
    <row r="685" ht="15.75" customHeight="1" s="88"/>
    <row r="686" ht="15.75" customHeight="1" s="88"/>
    <row r="687" ht="15.75" customHeight="1" s="88"/>
    <row r="688" ht="15.75" customHeight="1" s="88"/>
    <row r="689" ht="15.75" customHeight="1" s="88"/>
    <row r="690" ht="15.75" customHeight="1" s="88"/>
    <row r="691" ht="15.75" customHeight="1" s="88"/>
    <row r="692" ht="15.75" customHeight="1" s="88"/>
    <row r="693" ht="15.75" customHeight="1" s="88"/>
    <row r="694" ht="15.75" customHeight="1" s="88"/>
    <row r="695" ht="15.75" customHeight="1" s="88"/>
    <row r="696" ht="15.75" customHeight="1" s="88"/>
    <row r="697" ht="15.75" customHeight="1" s="88"/>
    <row r="698" ht="15.75" customHeight="1" s="88"/>
    <row r="699" ht="15.75" customHeight="1" s="88"/>
    <row r="700" ht="15.75" customHeight="1" s="88"/>
    <row r="701" ht="15.75" customHeight="1" s="88"/>
    <row r="702" ht="15.75" customHeight="1" s="88"/>
    <row r="703" ht="15.75" customHeight="1" s="88"/>
    <row r="704" ht="15.75" customHeight="1" s="88"/>
    <row r="705" ht="15.75" customHeight="1" s="88"/>
    <row r="706" ht="15.75" customHeight="1" s="88"/>
    <row r="707" ht="15.75" customHeight="1" s="88"/>
    <row r="708" ht="15.75" customHeight="1" s="88"/>
    <row r="709" ht="15.75" customHeight="1" s="88"/>
    <row r="710" ht="15.75" customHeight="1" s="88"/>
    <row r="711" ht="15.75" customHeight="1" s="88"/>
    <row r="712" ht="15.75" customHeight="1" s="88"/>
    <row r="713" ht="15.75" customHeight="1" s="88"/>
    <row r="714" ht="15.75" customHeight="1" s="88"/>
    <row r="715" ht="15.75" customHeight="1" s="88"/>
    <row r="716" ht="15.75" customHeight="1" s="88"/>
    <row r="717" ht="15.75" customHeight="1" s="88"/>
    <row r="718" ht="15.75" customHeight="1" s="88"/>
    <row r="719" ht="15.75" customHeight="1" s="88"/>
    <row r="720" ht="15.75" customHeight="1" s="88"/>
    <row r="721" ht="15.75" customHeight="1" s="88"/>
    <row r="722" ht="15.75" customHeight="1" s="88"/>
    <row r="723" ht="15.75" customHeight="1" s="88"/>
    <row r="724" ht="15.75" customHeight="1" s="88"/>
    <row r="725" ht="15.75" customHeight="1" s="88"/>
    <row r="726" ht="15.75" customHeight="1" s="88"/>
    <row r="727" ht="15.75" customHeight="1" s="88"/>
    <row r="728" ht="15.75" customHeight="1" s="88"/>
    <row r="729" ht="15.75" customHeight="1" s="88"/>
    <row r="730" ht="15.75" customHeight="1" s="88"/>
    <row r="731" ht="15.75" customHeight="1" s="88"/>
    <row r="732" ht="15.75" customHeight="1" s="88"/>
    <row r="733" ht="15.75" customHeight="1" s="88"/>
    <row r="734" ht="15.75" customHeight="1" s="88"/>
    <row r="735" ht="15.75" customHeight="1" s="88"/>
    <row r="736" ht="15.75" customHeight="1" s="88"/>
    <row r="737" ht="15.75" customHeight="1" s="88"/>
    <row r="738" ht="15.75" customHeight="1" s="88"/>
    <row r="739" ht="15.75" customHeight="1" s="88"/>
    <row r="740" ht="15.75" customHeight="1" s="88"/>
    <row r="741" ht="15.75" customHeight="1" s="88"/>
    <row r="742" ht="15.75" customHeight="1" s="88"/>
    <row r="743" ht="15.75" customHeight="1" s="88"/>
    <row r="744" ht="15.75" customHeight="1" s="88"/>
    <row r="745" ht="15.75" customHeight="1" s="88"/>
    <row r="746" ht="15.75" customHeight="1" s="88"/>
    <row r="747" ht="15.75" customHeight="1" s="88"/>
    <row r="748" ht="15.75" customHeight="1" s="88"/>
    <row r="749" ht="15.75" customHeight="1" s="88"/>
    <row r="750" ht="15.75" customHeight="1" s="88"/>
    <row r="751" ht="15.75" customHeight="1" s="88"/>
    <row r="752" ht="15.75" customHeight="1" s="88"/>
    <row r="753" ht="15.75" customHeight="1" s="88"/>
    <row r="754" ht="15.75" customHeight="1" s="88"/>
    <row r="755" ht="15.75" customHeight="1" s="88"/>
    <row r="756" ht="15.75" customHeight="1" s="88"/>
    <row r="757" ht="15.75" customHeight="1" s="88"/>
    <row r="758" ht="15.75" customHeight="1" s="88"/>
    <row r="759" ht="15.75" customHeight="1" s="88"/>
    <row r="760" ht="15.75" customHeight="1" s="88"/>
    <row r="761" ht="15.75" customHeight="1" s="88"/>
    <row r="762" ht="15.75" customHeight="1" s="88"/>
    <row r="763" ht="15.75" customHeight="1" s="88"/>
    <row r="764" ht="15.75" customHeight="1" s="88"/>
    <row r="765" ht="15.75" customHeight="1" s="88"/>
    <row r="766" ht="15.75" customHeight="1" s="88"/>
    <row r="767" ht="15.75" customHeight="1" s="88"/>
    <row r="768" ht="15.75" customHeight="1" s="88"/>
    <row r="769" ht="15.75" customHeight="1" s="88"/>
    <row r="770" ht="15.75" customHeight="1" s="88"/>
    <row r="771" ht="15.75" customHeight="1" s="88"/>
    <row r="772" ht="15.75" customHeight="1" s="88"/>
    <row r="773" ht="15.75" customHeight="1" s="88"/>
    <row r="774" ht="15.75" customHeight="1" s="88"/>
    <row r="775" ht="15.75" customHeight="1" s="88"/>
    <row r="776" ht="15.75" customHeight="1" s="88"/>
    <row r="777" ht="15.75" customHeight="1" s="88"/>
    <row r="778" ht="15.75" customHeight="1" s="88"/>
    <row r="779" ht="15.75" customHeight="1" s="88"/>
    <row r="780" ht="15.75" customHeight="1" s="88"/>
    <row r="781" ht="15.75" customHeight="1" s="88"/>
    <row r="782" ht="15.75" customHeight="1" s="88"/>
    <row r="783" ht="15.75" customHeight="1" s="88"/>
    <row r="784" ht="15.75" customHeight="1" s="88"/>
    <row r="785" ht="15.75" customHeight="1" s="88"/>
    <row r="786" ht="15.75" customHeight="1" s="88"/>
    <row r="787" ht="15.75" customHeight="1" s="88"/>
    <row r="788" ht="15.75" customHeight="1" s="88"/>
    <row r="789" ht="15.75" customHeight="1" s="88"/>
    <row r="790" ht="15.75" customHeight="1" s="88"/>
    <row r="791" ht="15.75" customHeight="1" s="88"/>
    <row r="792" ht="15.75" customHeight="1" s="88"/>
    <row r="793" ht="15.75" customHeight="1" s="88"/>
    <row r="794" ht="15.75" customHeight="1" s="88"/>
    <row r="795" ht="15.75" customHeight="1" s="88"/>
    <row r="796" ht="15.75" customHeight="1" s="88"/>
    <row r="797" ht="15.75" customHeight="1" s="88"/>
    <row r="798" ht="15.75" customHeight="1" s="88"/>
    <row r="799" ht="15.75" customHeight="1" s="88"/>
    <row r="800" ht="15.75" customHeight="1" s="88"/>
    <row r="801" ht="15.75" customHeight="1" s="88"/>
    <row r="802" ht="15.75" customHeight="1" s="88"/>
    <row r="803" ht="15.75" customHeight="1" s="88"/>
    <row r="804" ht="15.75" customHeight="1" s="88"/>
    <row r="805" ht="15.75" customHeight="1" s="88"/>
    <row r="806" ht="15.75" customHeight="1" s="88"/>
    <row r="807" ht="15.75" customHeight="1" s="88"/>
    <row r="808" ht="15.75" customHeight="1" s="88"/>
    <row r="809" ht="15.75" customHeight="1" s="88"/>
    <row r="810" ht="15.75" customHeight="1" s="88"/>
    <row r="811" ht="15.75" customHeight="1" s="88"/>
    <row r="812" ht="15.75" customHeight="1" s="88"/>
    <row r="813" ht="15.75" customHeight="1" s="88"/>
    <row r="814" ht="15.75" customHeight="1" s="88"/>
    <row r="815" ht="15.75" customHeight="1" s="88"/>
  </sheetData>
  <mergeCells count="17">
    <mergeCell ref="A3:R3"/>
    <mergeCell ref="O5:O6"/>
    <mergeCell ref="P5:P6"/>
    <mergeCell ref="Q5:Q6"/>
    <mergeCell ref="A4:A6"/>
    <mergeCell ref="R4:R5"/>
    <mergeCell ref="G5:G6"/>
    <mergeCell ref="B4:B6"/>
    <mergeCell ref="H5:H6"/>
    <mergeCell ref="A2:R2"/>
    <mergeCell ref="O4:Q4"/>
    <mergeCell ref="L5:L6"/>
    <mergeCell ref="A1:R1"/>
    <mergeCell ref="D4:N4"/>
    <mergeCell ref="K5:K6"/>
    <mergeCell ref="I5:I6"/>
    <mergeCell ref="M5:M6"/>
  </mergeCells>
  <conditionalFormatting sqref="G7:I36 K7:M36 O7:Q36">
    <cfRule type="cellIs" priority="1" operator="equal" dxfId="2">
      <formula>0</formula>
    </cfRule>
  </conditionalFormatting>
  <pageMargins left="0.7" right="0.7" top="0.75" bottom="0.75" header="0" footer="0"/>
  <pageSetup orientation="landscape" paperSize="9"/>
  <rowBreaks count="1" manualBreakCount="1">
    <brk id="35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95"/>
  <sheetViews>
    <sheetView topLeftCell="A21" workbookViewId="0">
      <selection activeCell="C32" sqref="C32"/>
    </sheetView>
  </sheetViews>
  <sheetFormatPr baseColWidth="8" defaultColWidth="12.59765625" defaultRowHeight="15" customHeight="1"/>
  <cols>
    <col width="8.69921875" customWidth="1" style="88" min="1" max="1"/>
    <col width="14" customWidth="1" style="88" min="2" max="2"/>
    <col width="26.19921875" customWidth="1" style="88" min="3" max="3"/>
    <col width="10.8984375" customWidth="1" style="88" min="4" max="4"/>
    <col width="11.5" customWidth="1" style="88" min="5" max="5"/>
    <col width="8.69921875" customWidth="1" style="88" min="6" max="25"/>
    <col width="12.69921875" customWidth="1" style="88" min="26" max="26"/>
  </cols>
  <sheetData>
    <row r="1" ht="13.5" customHeight="1" s="88">
      <c r="A1" s="119" t="inlineStr">
        <is>
          <t>Marks and Gap Analysis of Mid-Term 2</t>
        </is>
      </c>
      <c r="B1" s="131" t="n"/>
      <c r="C1" s="131" t="n"/>
      <c r="D1" s="131" t="n"/>
      <c r="E1" s="131" t="n"/>
      <c r="F1" s="24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</row>
    <row r="2" ht="75.75" customHeight="1" s="88" thickBot="1">
      <c r="A2" s="59" t="inlineStr">
        <is>
          <t>Sr. No</t>
        </is>
      </c>
      <c r="B2" s="59" t="inlineStr">
        <is>
          <t>RTU Roll Number</t>
        </is>
      </c>
      <c r="C2" s="59" t="inlineStr">
        <is>
          <t>Name of the Student</t>
        </is>
      </c>
      <c r="D2" s="60" t="inlineStr">
        <is>
          <t>M-2 Marks (70)</t>
        </is>
      </c>
      <c r="E2" s="60" t="inlineStr">
        <is>
          <t>Remark
( Remedial Class need or not – Y/N )</t>
        </is>
      </c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16.5" customHeight="1" s="88" thickBot="1">
      <c r="A3" s="61">
        <f>'Sessional + End Term Assessment'!A8</f>
        <v/>
      </c>
      <c r="B3" s="79">
        <f>'Sessional + End Term Assessment'!B8</f>
        <v/>
      </c>
      <c r="C3" s="79">
        <f>'Sessional + End Term Assessment'!C8</f>
        <v/>
      </c>
      <c r="D3" s="62">
        <f>'MID Term 2'!R7</f>
        <v/>
      </c>
      <c r="E3" s="63">
        <f>IF(D3&lt;=35,"Y","N")</f>
        <v/>
      </c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</row>
    <row r="4" ht="16.5" customHeight="1" s="88" thickBot="1">
      <c r="A4" s="61">
        <f>'Sessional + End Term Assessment'!A9</f>
        <v/>
      </c>
      <c r="B4" s="79">
        <f>'Sessional + End Term Assessment'!B9</f>
        <v/>
      </c>
      <c r="C4" s="79">
        <f>'Sessional + End Term Assessment'!C9</f>
        <v/>
      </c>
      <c r="D4" s="62">
        <f>'MID Term 2'!R8</f>
        <v/>
      </c>
      <c r="E4" s="63">
        <f>IF(D4&lt;=35,"Y","N")</f>
        <v/>
      </c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</row>
    <row r="5" ht="16.5" customHeight="1" s="88" thickBot="1">
      <c r="A5" s="61">
        <f>'Sessional + End Term Assessment'!A10</f>
        <v/>
      </c>
      <c r="B5" s="79">
        <f>'Sessional + End Term Assessment'!B10</f>
        <v/>
      </c>
      <c r="C5" s="79">
        <f>'Sessional + End Term Assessment'!C10</f>
        <v/>
      </c>
      <c r="D5" s="62">
        <f>'MID Term 2'!R9</f>
        <v/>
      </c>
      <c r="E5" s="63">
        <f>IF(D5&lt;=35,"Y","N")</f>
        <v/>
      </c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  <c r="Y5" s="24" t="n"/>
      <c r="Z5" s="24" t="n"/>
    </row>
    <row r="6" ht="16.5" customHeight="1" s="88" thickBot="1">
      <c r="A6" s="61">
        <f>'Sessional + End Term Assessment'!A11</f>
        <v/>
      </c>
      <c r="B6" s="79">
        <f>'Sessional + End Term Assessment'!B11</f>
        <v/>
      </c>
      <c r="C6" s="79">
        <f>'Sessional + End Term Assessment'!C11</f>
        <v/>
      </c>
      <c r="D6" s="62">
        <f>'MID Term 2'!R10</f>
        <v/>
      </c>
      <c r="E6" s="63">
        <f>IF(D6&lt;=35,"Y","N")</f>
        <v/>
      </c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16.5" customHeight="1" s="88" thickBot="1">
      <c r="A7" s="61">
        <f>'Sessional + End Term Assessment'!A12</f>
        <v/>
      </c>
      <c r="B7" s="79">
        <f>'Sessional + End Term Assessment'!B12</f>
        <v/>
      </c>
      <c r="C7" s="79">
        <f>'Sessional + End Term Assessment'!C12</f>
        <v/>
      </c>
      <c r="D7" s="62">
        <f>'MID Term 2'!R11</f>
        <v/>
      </c>
      <c r="E7" s="63">
        <f>IF(D7&lt;=35,"Y","N")</f>
        <v/>
      </c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</row>
    <row r="8" ht="16.5" customHeight="1" s="88" thickBot="1">
      <c r="A8" s="61">
        <f>'Sessional + End Term Assessment'!A13</f>
        <v/>
      </c>
      <c r="B8" s="79">
        <f>'Sessional + End Term Assessment'!B13</f>
        <v/>
      </c>
      <c r="C8" s="79">
        <f>'Sessional + End Term Assessment'!C13</f>
        <v/>
      </c>
      <c r="D8" s="62">
        <f>'MID Term 2'!R12</f>
        <v/>
      </c>
      <c r="E8" s="63">
        <f>IF(D8&lt;=35,"Y","N")</f>
        <v/>
      </c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16.5" customHeight="1" s="88" thickBot="1">
      <c r="A9" s="61">
        <f>'Sessional + End Term Assessment'!A14</f>
        <v/>
      </c>
      <c r="B9" s="79">
        <f>'Sessional + End Term Assessment'!B14</f>
        <v/>
      </c>
      <c r="C9" s="79">
        <f>'Sessional + End Term Assessment'!C14</f>
        <v/>
      </c>
      <c r="D9" s="62">
        <f>'MID Term 2'!R13</f>
        <v/>
      </c>
      <c r="E9" s="63">
        <f>IF(D9&lt;=35,"Y","N")</f>
        <v/>
      </c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</row>
    <row r="10" ht="16.5" customHeight="1" s="88" thickBot="1">
      <c r="A10" s="61">
        <f>'Sessional + End Term Assessment'!A15</f>
        <v/>
      </c>
      <c r="B10" s="79">
        <f>'Sessional + End Term Assessment'!B15</f>
        <v/>
      </c>
      <c r="C10" s="79">
        <f>'Sessional + End Term Assessment'!C15</f>
        <v/>
      </c>
      <c r="D10" s="62">
        <f>'MID Term 2'!R14</f>
        <v/>
      </c>
      <c r="E10" s="63">
        <f>IF(D10&lt;=35,"Y","N")</f>
        <v/>
      </c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16.5" customHeight="1" s="88" thickBot="1">
      <c r="A11" s="61">
        <f>'Sessional + End Term Assessment'!A16</f>
        <v/>
      </c>
      <c r="B11" s="79">
        <f>'Sessional + End Term Assessment'!B16</f>
        <v/>
      </c>
      <c r="C11" s="79">
        <f>'Sessional + End Term Assessment'!C16</f>
        <v/>
      </c>
      <c r="D11" s="62">
        <f>'MID Term 2'!R15</f>
        <v/>
      </c>
      <c r="E11" s="63">
        <f>IF(D11&lt;=35,"Y","N")</f>
        <v/>
      </c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</row>
    <row r="12" ht="16.5" customHeight="1" s="88" thickBot="1">
      <c r="A12" s="61">
        <f>'Sessional + End Term Assessment'!A17</f>
        <v/>
      </c>
      <c r="B12" s="79">
        <f>'Sessional + End Term Assessment'!B17</f>
        <v/>
      </c>
      <c r="C12" s="79">
        <f>'Sessional + End Term Assessment'!C17</f>
        <v/>
      </c>
      <c r="D12" s="62">
        <f>'MID Term 2'!R16</f>
        <v/>
      </c>
      <c r="E12" s="63">
        <f>IF(D12&lt;=35,"Y","N")</f>
        <v/>
      </c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16.5" customHeight="1" s="88" thickBot="1">
      <c r="A13" s="61">
        <f>'Sessional + End Term Assessment'!A18</f>
        <v/>
      </c>
      <c r="B13" s="79">
        <f>'Sessional + End Term Assessment'!B18</f>
        <v/>
      </c>
      <c r="C13" s="79">
        <f>'Sessional + End Term Assessment'!C18</f>
        <v/>
      </c>
      <c r="D13" s="62">
        <f>'MID Term 2'!R17</f>
        <v/>
      </c>
      <c r="E13" s="63">
        <f>IF(D13&lt;=35,"Y","N")</f>
        <v/>
      </c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</row>
    <row r="14" ht="16.5" customHeight="1" s="88" thickBot="1">
      <c r="A14" s="61">
        <f>'Sessional + End Term Assessment'!A19</f>
        <v/>
      </c>
      <c r="B14" s="79">
        <f>'Sessional + End Term Assessment'!B19</f>
        <v/>
      </c>
      <c r="C14" s="79">
        <f>'Sessional + End Term Assessment'!C19</f>
        <v/>
      </c>
      <c r="D14" s="62">
        <f>'MID Term 2'!R18</f>
        <v/>
      </c>
      <c r="E14" s="63">
        <f>IF(D14&lt;=35,"Y","N")</f>
        <v/>
      </c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16.5" customHeight="1" s="88" thickBot="1">
      <c r="A15" s="61">
        <f>'Sessional + End Term Assessment'!A20</f>
        <v/>
      </c>
      <c r="B15" s="79">
        <f>'Sessional + End Term Assessment'!B20</f>
        <v/>
      </c>
      <c r="C15" s="79">
        <f>'Sessional + End Term Assessment'!C20</f>
        <v/>
      </c>
      <c r="D15" s="62">
        <f>'MID Term 2'!R19</f>
        <v/>
      </c>
      <c r="E15" s="63">
        <f>IF(D15&lt;=35,"Y","N")</f>
        <v/>
      </c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</row>
    <row r="16" ht="16.5" customHeight="1" s="88" thickBot="1">
      <c r="A16" s="61">
        <f>'Sessional + End Term Assessment'!A21</f>
        <v/>
      </c>
      <c r="B16" s="79">
        <f>'Sessional + End Term Assessment'!B21</f>
        <v/>
      </c>
      <c r="C16" s="79">
        <f>'Sessional + End Term Assessment'!C21</f>
        <v/>
      </c>
      <c r="D16" s="62">
        <f>'MID Term 2'!R20</f>
        <v/>
      </c>
      <c r="E16" s="63">
        <f>IF(D16&lt;=35,"Y","N")</f>
        <v/>
      </c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16.5" customHeight="1" s="88" thickBot="1">
      <c r="A17" s="61">
        <f>'Sessional + End Term Assessment'!A22</f>
        <v/>
      </c>
      <c r="B17" s="79">
        <f>'Sessional + End Term Assessment'!B22</f>
        <v/>
      </c>
      <c r="C17" s="79">
        <f>'Sessional + End Term Assessment'!C22</f>
        <v/>
      </c>
      <c r="D17" s="62">
        <f>'MID Term 2'!R21</f>
        <v/>
      </c>
      <c r="E17" s="63">
        <f>IF(D17&lt;=35,"Y","N")</f>
        <v/>
      </c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</row>
    <row r="18" ht="16.5" customHeight="1" s="88" thickBot="1">
      <c r="A18" s="61">
        <f>'Sessional + End Term Assessment'!A23</f>
        <v/>
      </c>
      <c r="B18" s="79">
        <f>'Sessional + End Term Assessment'!B23</f>
        <v/>
      </c>
      <c r="C18" s="79">
        <f>'Sessional + End Term Assessment'!C23</f>
        <v/>
      </c>
      <c r="D18" s="62">
        <f>'MID Term 2'!R22</f>
        <v/>
      </c>
      <c r="E18" s="63">
        <f>IF(D18&lt;=35,"Y","N")</f>
        <v/>
      </c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 ht="16.5" customHeight="1" s="88" thickBot="1">
      <c r="A19" s="61">
        <f>'Sessional + End Term Assessment'!A24</f>
        <v/>
      </c>
      <c r="B19" s="79">
        <f>'Sessional + End Term Assessment'!B24</f>
        <v/>
      </c>
      <c r="C19" s="79">
        <f>'Sessional + End Term Assessment'!C24</f>
        <v/>
      </c>
      <c r="D19" s="62">
        <f>'MID Term 2'!R23</f>
        <v/>
      </c>
      <c r="E19" s="63">
        <f>IF(D19&lt;=35,"Y","N")</f>
        <v/>
      </c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</row>
    <row r="20" ht="16.5" customHeight="1" s="88" thickBot="1">
      <c r="A20" s="61">
        <f>'Sessional + End Term Assessment'!A25</f>
        <v/>
      </c>
      <c r="B20" s="79">
        <f>'Sessional + End Term Assessment'!B25</f>
        <v/>
      </c>
      <c r="C20" s="79">
        <f>'Sessional + End Term Assessment'!C25</f>
        <v/>
      </c>
      <c r="D20" s="62">
        <f>'MID Term 2'!R24</f>
        <v/>
      </c>
      <c r="E20" s="63">
        <f>IF(D20&lt;=35,"Y","N")</f>
        <v/>
      </c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</row>
    <row r="21" ht="16.5" customHeight="1" s="88" thickBot="1">
      <c r="A21" s="61">
        <f>'Sessional + End Term Assessment'!A26</f>
        <v/>
      </c>
      <c r="B21" s="79">
        <f>'Sessional + End Term Assessment'!B26</f>
        <v/>
      </c>
      <c r="C21" s="79">
        <f>'Sessional + End Term Assessment'!C26</f>
        <v/>
      </c>
      <c r="D21" s="62">
        <f>'MID Term 2'!R25</f>
        <v/>
      </c>
      <c r="E21" s="63">
        <f>IF(D21&lt;=35,"Y","N")</f>
        <v/>
      </c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  <c r="Y21" s="24" t="n"/>
      <c r="Z21" s="24" t="n"/>
    </row>
    <row r="22" ht="16.5" customHeight="1" s="88" thickBot="1">
      <c r="A22" s="61">
        <f>'Sessional + End Term Assessment'!A27</f>
        <v/>
      </c>
      <c r="B22" s="79">
        <f>'Sessional + End Term Assessment'!B27</f>
        <v/>
      </c>
      <c r="C22" s="79">
        <f>'Sessional + End Term Assessment'!C27</f>
        <v/>
      </c>
      <c r="D22" s="62">
        <f>'MID Term 2'!R26</f>
        <v/>
      </c>
      <c r="E22" s="63">
        <f>IF(D22&lt;=35,"Y","N")</f>
        <v/>
      </c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</row>
    <row r="23" ht="16.5" customHeight="1" s="88" thickBot="1">
      <c r="A23" s="61">
        <f>'Sessional + End Term Assessment'!A28</f>
        <v/>
      </c>
      <c r="B23" s="79">
        <f>'Sessional + End Term Assessment'!B28</f>
        <v/>
      </c>
      <c r="C23" s="79">
        <f>'Sessional + End Term Assessment'!C28</f>
        <v/>
      </c>
      <c r="D23" s="62">
        <f>'MID Term 2'!R27</f>
        <v/>
      </c>
      <c r="E23" s="63">
        <f>IF(D23&lt;=35,"Y","N")</f>
        <v/>
      </c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  <c r="Y23" s="24" t="n"/>
      <c r="Z23" s="24" t="n"/>
    </row>
    <row r="24" ht="16.5" customHeight="1" s="88" thickBot="1">
      <c r="A24" s="61">
        <f>'Sessional + End Term Assessment'!A29</f>
        <v/>
      </c>
      <c r="B24" s="79">
        <f>'Sessional + End Term Assessment'!B29</f>
        <v/>
      </c>
      <c r="C24" s="79">
        <f>'Sessional + End Term Assessment'!C29</f>
        <v/>
      </c>
      <c r="D24" s="62">
        <f>'MID Term 2'!R28</f>
        <v/>
      </c>
      <c r="E24" s="63">
        <f>IF(D24&lt;=35,"Y","N")</f>
        <v/>
      </c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</row>
    <row r="25" ht="16.5" customHeight="1" s="88" thickBot="1">
      <c r="A25" s="61">
        <f>'Sessional + End Term Assessment'!A30</f>
        <v/>
      </c>
      <c r="B25" s="79">
        <f>'Sessional + End Term Assessment'!B30</f>
        <v/>
      </c>
      <c r="C25" s="79">
        <f>'Sessional + End Term Assessment'!C30</f>
        <v/>
      </c>
      <c r="D25" s="62">
        <f>'MID Term 2'!R29</f>
        <v/>
      </c>
      <c r="E25" s="63">
        <f>IF(D25&lt;=35,"Y","N")</f>
        <v/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  <c r="Z25" s="24" t="n"/>
    </row>
    <row r="26" ht="16.5" customHeight="1" s="88" thickBot="1">
      <c r="A26" s="61">
        <f>'Sessional + End Term Assessment'!A31</f>
        <v/>
      </c>
      <c r="B26" s="79">
        <f>'Sessional + End Term Assessment'!B31</f>
        <v/>
      </c>
      <c r="C26" s="79">
        <f>'Sessional + End Term Assessment'!C31</f>
        <v/>
      </c>
      <c r="D26" s="62">
        <f>'MID Term 2'!R30</f>
        <v/>
      </c>
      <c r="E26" s="63">
        <f>IF(D26&lt;=35,"Y","N")</f>
        <v/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</row>
    <row r="27" ht="16.5" customHeight="1" s="88" thickBot="1">
      <c r="A27" s="61">
        <f>'Sessional + End Term Assessment'!A32</f>
        <v/>
      </c>
      <c r="B27" s="79">
        <f>'Sessional + End Term Assessment'!B32</f>
        <v/>
      </c>
      <c r="C27" s="79">
        <f>'Sessional + End Term Assessment'!C32</f>
        <v/>
      </c>
      <c r="D27" s="62">
        <f>'MID Term 2'!R31</f>
        <v/>
      </c>
      <c r="E27" s="63">
        <f>IF(D27&lt;=35,"Y","N")</f>
        <v/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  <c r="Z27" s="24" t="n"/>
    </row>
    <row r="28" ht="16.5" customHeight="1" s="88" thickBot="1">
      <c r="A28" s="61">
        <f>'Sessional + End Term Assessment'!A33</f>
        <v/>
      </c>
      <c r="B28" s="79">
        <f>'Sessional + End Term Assessment'!B33</f>
        <v/>
      </c>
      <c r="C28" s="79">
        <f>'Sessional + End Term Assessment'!C33</f>
        <v/>
      </c>
      <c r="D28" s="62">
        <f>'MID Term 2'!R32</f>
        <v/>
      </c>
      <c r="E28" s="63">
        <f>IF(D28&lt;=35,"Y","N")</f>
        <v/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</row>
    <row r="29" ht="16.5" customHeight="1" s="88" thickBot="1">
      <c r="A29" s="61">
        <f>'Sessional + End Term Assessment'!A34</f>
        <v/>
      </c>
      <c r="B29" s="79">
        <f>'Sessional + End Term Assessment'!B34</f>
        <v/>
      </c>
      <c r="C29" s="79">
        <f>'Sessional + End Term Assessment'!C34</f>
        <v/>
      </c>
      <c r="D29" s="62">
        <f>'MID Term 2'!R33</f>
        <v/>
      </c>
      <c r="E29" s="63">
        <f>IF(D29&lt;=35,"Y","N")</f>
        <v/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  <c r="Y29" s="24" t="n"/>
      <c r="Z29" s="24" t="n"/>
    </row>
    <row r="30" ht="16.5" customHeight="1" s="88" thickBot="1">
      <c r="A30" s="61">
        <f>'Sessional + End Term Assessment'!A35</f>
        <v/>
      </c>
      <c r="B30" s="79">
        <f>'Sessional + End Term Assessment'!B35</f>
        <v/>
      </c>
      <c r="C30" s="79">
        <f>'Sessional + End Term Assessment'!C35</f>
        <v/>
      </c>
      <c r="D30" s="62">
        <f>'MID Term 2'!R34</f>
        <v/>
      </c>
      <c r="E30" s="63">
        <f>IF(D30&lt;=35,"Y","N")</f>
        <v/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</row>
    <row r="31" ht="16.5" customHeight="1" s="88" thickBot="1">
      <c r="A31" s="61">
        <f>'Sessional + End Term Assessment'!A36</f>
        <v/>
      </c>
      <c r="B31" s="79">
        <f>'Sessional + End Term Assessment'!B36</f>
        <v/>
      </c>
      <c r="C31" s="79">
        <f>'Sessional + End Term Assessment'!C36</f>
        <v/>
      </c>
      <c r="D31" s="62">
        <f>'MID Term 2'!R35</f>
        <v/>
      </c>
      <c r="E31" s="63">
        <f>IF(D31&lt;=35,"Y","N")</f>
        <v/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  <c r="Z31" s="24" t="n"/>
    </row>
    <row r="32" ht="16.5" customHeight="1" s="88" thickBot="1">
      <c r="A32" s="61">
        <f>'Sessional + End Term Assessment'!A37</f>
        <v/>
      </c>
      <c r="B32" s="79">
        <f>'Sessional + End Term Assessment'!B37</f>
        <v/>
      </c>
      <c r="C32" s="79">
        <f>'Sessional + End Term Assessment'!C37</f>
        <v/>
      </c>
      <c r="D32" s="62">
        <f>'MID Term 2'!R36</f>
        <v/>
      </c>
      <c r="E32" s="63">
        <f>IF(D32&lt;=35,"Y","N")</f>
        <v/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</row>
    <row r="33" ht="13.5" customHeight="1" s="88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  <c r="Y33" s="24" t="n"/>
      <c r="Z33" s="24" t="n"/>
    </row>
    <row r="34" ht="13.5" customHeight="1" s="88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</row>
    <row r="35" ht="13.5" customHeight="1" s="88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  <c r="Y35" s="24" t="n"/>
      <c r="Z35" s="24" t="n"/>
    </row>
    <row r="36" ht="13.5" customHeight="1" s="88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</row>
    <row r="37" ht="13.5" customHeight="1" s="88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  <c r="Y37" s="24" t="n"/>
      <c r="Z37" s="24" t="n"/>
    </row>
    <row r="38" ht="13.5" customHeight="1" s="88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</row>
    <row r="39" ht="13.5" customHeight="1" s="88">
      <c r="A39" s="24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  <c r="Y39" s="24" t="n"/>
      <c r="Z39" s="24" t="n"/>
    </row>
    <row r="40" ht="13.5" customHeight="1" s="88">
      <c r="A40" s="24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  <c r="Y40" s="24" t="n"/>
      <c r="Z40" s="24" t="n"/>
    </row>
    <row r="41" ht="13.5" customHeight="1" s="88">
      <c r="A41" s="24" t="n"/>
      <c r="B41" s="24" t="n"/>
      <c r="C41" s="24" t="n"/>
      <c r="D41" s="24" t="n"/>
      <c r="E41" s="24" t="n"/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</row>
    <row r="42" ht="13.5" customHeight="1" s="88">
      <c r="A42" s="24" t="n"/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  <c r="Y42" s="24" t="n"/>
      <c r="Z42" s="24" t="n"/>
    </row>
    <row r="43" ht="13.5" customHeight="1" s="88">
      <c r="A43" s="24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  <c r="Y43" s="24" t="n"/>
      <c r="Z43" s="24" t="n"/>
    </row>
    <row r="44" ht="13.5" customHeight="1" s="88">
      <c r="A44" s="24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  <c r="Y44" s="24" t="n"/>
      <c r="Z44" s="24" t="n"/>
    </row>
    <row r="45" ht="13.5" customHeight="1" s="88">
      <c r="A45" s="24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  <c r="Y45" s="24" t="n"/>
      <c r="Z45" s="24" t="n"/>
    </row>
    <row r="46" ht="13.5" customHeight="1" s="88">
      <c r="A46" s="24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  <c r="Y46" s="24" t="n"/>
      <c r="Z46" s="24" t="n"/>
    </row>
    <row r="47" ht="13.5" customHeight="1" s="88">
      <c r="A47" s="24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  <c r="Y47" s="24" t="n"/>
      <c r="Z47" s="24" t="n"/>
    </row>
    <row r="48" ht="13.5" customHeight="1" s="88">
      <c r="A48" s="24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  <c r="Y48" s="24" t="n"/>
      <c r="Z48" s="24" t="n"/>
    </row>
    <row r="49" ht="13.5" customHeight="1" s="88">
      <c r="A49" s="24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  <c r="Y49" s="24" t="n"/>
      <c r="Z49" s="24" t="n"/>
    </row>
    <row r="50" ht="13.5" customHeight="1" s="88">
      <c r="A50" s="24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  <c r="Y50" s="24" t="n"/>
      <c r="Z50" s="24" t="n"/>
    </row>
    <row r="51" ht="13.5" customHeight="1" s="88">
      <c r="A51" s="24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  <c r="Y51" s="24" t="n"/>
      <c r="Z51" s="24" t="n"/>
    </row>
    <row r="52" ht="13.5" customHeight="1" s="88">
      <c r="A52" s="24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  <c r="Y52" s="24" t="n"/>
      <c r="Z52" s="24" t="n"/>
    </row>
    <row r="53" ht="13.5" customHeight="1" s="88">
      <c r="A53" s="24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  <c r="Y53" s="24" t="n"/>
      <c r="Z53" s="24" t="n"/>
    </row>
    <row r="54" ht="13.5" customHeight="1" s="88">
      <c r="A54" s="24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  <c r="Y54" s="24" t="n"/>
      <c r="Z54" s="24" t="n"/>
    </row>
    <row r="55" ht="13.5" customHeight="1" s="88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  <c r="Y55" s="24" t="n"/>
      <c r="Z55" s="24" t="n"/>
    </row>
    <row r="56" ht="13.5" customHeight="1" s="88">
      <c r="A56" s="24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  <c r="Y56" s="24" t="n"/>
      <c r="Z56" s="24" t="n"/>
    </row>
    <row r="57" ht="13.5" customHeight="1" s="88">
      <c r="A57" s="24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  <c r="Y57" s="24" t="n"/>
      <c r="Z57" s="24" t="n"/>
    </row>
    <row r="58" ht="13.5" customHeight="1" s="88">
      <c r="A58" s="24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  <c r="Y58" s="24" t="n"/>
      <c r="Z58" s="24" t="n"/>
    </row>
    <row r="59" ht="13.5" customHeight="1" s="88">
      <c r="A59" s="24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  <c r="Y59" s="24" t="n"/>
      <c r="Z59" s="24" t="n"/>
    </row>
    <row r="60" ht="13.5" customHeight="1" s="88">
      <c r="A60" s="24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  <c r="Y60" s="24" t="n"/>
      <c r="Z60" s="24" t="n"/>
    </row>
    <row r="61" ht="13.5" customHeight="1" s="88">
      <c r="A61" s="24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  <c r="Y61" s="24" t="n"/>
      <c r="Z61" s="24" t="n"/>
    </row>
    <row r="62" ht="13.5" customHeight="1" s="88">
      <c r="A62" s="24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  <c r="Y62" s="24" t="n"/>
      <c r="Z62" s="24" t="n"/>
    </row>
    <row r="63" ht="13.5" customHeight="1" s="88">
      <c r="A63" s="24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Y63" s="24" t="n"/>
      <c r="Z63" s="24" t="n"/>
    </row>
    <row r="64" ht="13.5" customHeight="1" s="88">
      <c r="A64" s="24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  <c r="Y64" s="24" t="n"/>
      <c r="Z64" s="24" t="n"/>
    </row>
    <row r="65" ht="13.5" customHeight="1" s="88">
      <c r="A65" s="24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  <c r="Y65" s="24" t="n"/>
      <c r="Z65" s="24" t="n"/>
    </row>
    <row r="66" ht="13.5" customHeight="1" s="88">
      <c r="A66" s="24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Y66" s="24" t="n"/>
      <c r="Z66" s="24" t="n"/>
    </row>
    <row r="67" ht="13.5" customHeight="1" s="88">
      <c r="A67" s="24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  <c r="X67" s="24" t="n"/>
      <c r="Y67" s="24" t="n"/>
      <c r="Z67" s="24" t="n"/>
    </row>
    <row r="68" ht="13.5" customHeight="1" s="88">
      <c r="A68" s="24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  <c r="X68" s="24" t="n"/>
      <c r="Y68" s="24" t="n"/>
      <c r="Z68" s="24" t="n"/>
    </row>
    <row r="69" ht="13.5" customHeight="1" s="88">
      <c r="A69" s="24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  <c r="X69" s="24" t="n"/>
      <c r="Y69" s="24" t="n"/>
      <c r="Z69" s="24" t="n"/>
    </row>
    <row r="70" ht="13.5" customHeight="1" s="88">
      <c r="A70" s="24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  <c r="X70" s="24" t="n"/>
      <c r="Y70" s="24" t="n"/>
      <c r="Z70" s="24" t="n"/>
    </row>
    <row r="71" ht="13.5" customHeight="1" s="88">
      <c r="A71" s="24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  <c r="X71" s="24" t="n"/>
      <c r="Y71" s="24" t="n"/>
      <c r="Z71" s="24" t="n"/>
    </row>
    <row r="72" ht="13.5" customHeight="1" s="88">
      <c r="A72" s="24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  <c r="X72" s="24" t="n"/>
      <c r="Y72" s="24" t="n"/>
      <c r="Z72" s="24" t="n"/>
    </row>
    <row r="73" ht="13.5" customHeight="1" s="88">
      <c r="A73" s="24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  <c r="Y73" s="24" t="n"/>
      <c r="Z73" s="24" t="n"/>
    </row>
    <row r="74" ht="13.5" customHeight="1" s="88">
      <c r="A74" s="24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  <c r="X74" s="24" t="n"/>
      <c r="Y74" s="24" t="n"/>
      <c r="Z74" s="24" t="n"/>
    </row>
    <row r="75" ht="13.5" customHeight="1" s="88">
      <c r="A75" s="24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  <c r="X75" s="24" t="n"/>
      <c r="Y75" s="24" t="n"/>
      <c r="Z75" s="24" t="n"/>
    </row>
    <row r="76" ht="13.5" customHeight="1" s="88">
      <c r="A76" s="24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  <c r="X76" s="24" t="n"/>
      <c r="Y76" s="24" t="n"/>
      <c r="Z76" s="24" t="n"/>
    </row>
    <row r="77" ht="13.5" customHeight="1" s="88">
      <c r="A77" s="24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  <c r="X77" s="24" t="n"/>
      <c r="Y77" s="24" t="n"/>
      <c r="Z77" s="24" t="n"/>
    </row>
    <row r="78" ht="13.5" customHeight="1" s="88">
      <c r="A78" s="24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  <c r="X78" s="24" t="n"/>
      <c r="Y78" s="24" t="n"/>
      <c r="Z78" s="24" t="n"/>
    </row>
    <row r="79" ht="13.5" customHeight="1" s="88">
      <c r="A79" s="24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  <c r="X79" s="24" t="n"/>
      <c r="Y79" s="24" t="n"/>
      <c r="Z79" s="24" t="n"/>
    </row>
    <row r="80" ht="13.5" customHeight="1" s="88">
      <c r="A80" s="24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  <c r="W80" s="24" t="n"/>
      <c r="X80" s="24" t="n"/>
      <c r="Y80" s="24" t="n"/>
      <c r="Z80" s="24" t="n"/>
    </row>
    <row r="81" ht="13.5" customHeight="1" s="88">
      <c r="A81" s="24" t="n"/>
      <c r="B81" s="24" t="n"/>
      <c r="C81" s="24" t="n"/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  <c r="W81" s="24" t="n"/>
      <c r="X81" s="24" t="n"/>
      <c r="Y81" s="24" t="n"/>
      <c r="Z81" s="24" t="n"/>
    </row>
    <row r="82" ht="13.5" customHeight="1" s="88">
      <c r="A82" s="24" t="n"/>
      <c r="B82" s="24" t="n"/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  <c r="W82" s="24" t="n"/>
      <c r="X82" s="24" t="n"/>
      <c r="Y82" s="24" t="n"/>
      <c r="Z82" s="24" t="n"/>
    </row>
    <row r="83" ht="13.5" customHeight="1" s="88">
      <c r="A83" s="24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n"/>
      <c r="X83" s="24" t="n"/>
      <c r="Y83" s="24" t="n"/>
      <c r="Z83" s="24" t="n"/>
    </row>
    <row r="84" ht="13.5" customHeight="1" s="88">
      <c r="A84" s="24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  <c r="W84" s="24" t="n"/>
      <c r="X84" s="24" t="n"/>
      <c r="Y84" s="24" t="n"/>
      <c r="Z84" s="24" t="n"/>
    </row>
    <row r="85" ht="13.5" customHeight="1" s="88">
      <c r="A85" s="24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  <c r="W85" s="24" t="n"/>
      <c r="X85" s="24" t="n"/>
      <c r="Y85" s="24" t="n"/>
      <c r="Z85" s="24" t="n"/>
    </row>
    <row r="86" ht="13.5" customHeight="1" s="88">
      <c r="A86" s="24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  <c r="W86" s="24" t="n"/>
      <c r="X86" s="24" t="n"/>
      <c r="Y86" s="24" t="n"/>
      <c r="Z86" s="24" t="n"/>
    </row>
    <row r="87" ht="13.5" customHeight="1" s="88">
      <c r="A87" s="24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n"/>
      <c r="X87" s="24" t="n"/>
      <c r="Y87" s="24" t="n"/>
      <c r="Z87" s="24" t="n"/>
    </row>
    <row r="88" ht="13.5" customHeight="1" s="88">
      <c r="A88" s="24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  <c r="W88" s="24" t="n"/>
      <c r="X88" s="24" t="n"/>
      <c r="Y88" s="24" t="n"/>
      <c r="Z88" s="24" t="n"/>
    </row>
    <row r="89" ht="13.5" customHeight="1" s="88">
      <c r="A89" s="24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24" t="n"/>
      <c r="S89" s="24" t="n"/>
      <c r="T89" s="24" t="n"/>
      <c r="U89" s="24" t="n"/>
      <c r="V89" s="24" t="n"/>
      <c r="W89" s="24" t="n"/>
      <c r="X89" s="24" t="n"/>
      <c r="Y89" s="24" t="n"/>
      <c r="Z89" s="24" t="n"/>
    </row>
    <row r="90" ht="13.5" customHeight="1" s="88">
      <c r="A90" s="24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  <c r="Q90" s="24" t="n"/>
      <c r="R90" s="24" t="n"/>
      <c r="S90" s="24" t="n"/>
      <c r="T90" s="24" t="n"/>
      <c r="U90" s="24" t="n"/>
      <c r="V90" s="24" t="n"/>
      <c r="W90" s="24" t="n"/>
      <c r="X90" s="24" t="n"/>
      <c r="Y90" s="24" t="n"/>
      <c r="Z90" s="24" t="n"/>
    </row>
    <row r="91" ht="13.5" customHeight="1" s="88">
      <c r="A91" s="24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R91" s="24" t="n"/>
      <c r="S91" s="24" t="n"/>
      <c r="T91" s="24" t="n"/>
      <c r="U91" s="24" t="n"/>
      <c r="V91" s="24" t="n"/>
      <c r="W91" s="24" t="n"/>
      <c r="X91" s="24" t="n"/>
      <c r="Y91" s="24" t="n"/>
      <c r="Z91" s="24" t="n"/>
    </row>
    <row r="92" ht="13.5" customHeight="1" s="88">
      <c r="A92" s="24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R92" s="24" t="n"/>
      <c r="S92" s="24" t="n"/>
      <c r="T92" s="24" t="n"/>
      <c r="U92" s="24" t="n"/>
      <c r="V92" s="24" t="n"/>
      <c r="W92" s="24" t="n"/>
      <c r="X92" s="24" t="n"/>
      <c r="Y92" s="24" t="n"/>
      <c r="Z92" s="24" t="n"/>
    </row>
    <row r="93" ht="13.5" customHeight="1" s="88">
      <c r="A93" s="24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R93" s="24" t="n"/>
      <c r="S93" s="24" t="n"/>
      <c r="T93" s="24" t="n"/>
      <c r="U93" s="24" t="n"/>
      <c r="V93" s="24" t="n"/>
      <c r="W93" s="24" t="n"/>
      <c r="X93" s="24" t="n"/>
      <c r="Y93" s="24" t="n"/>
      <c r="Z93" s="24" t="n"/>
    </row>
    <row r="94" ht="13.5" customHeight="1" s="88">
      <c r="A94" s="24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R94" s="24" t="n"/>
      <c r="S94" s="24" t="n"/>
      <c r="T94" s="24" t="n"/>
      <c r="U94" s="24" t="n"/>
      <c r="V94" s="24" t="n"/>
      <c r="W94" s="24" t="n"/>
      <c r="X94" s="24" t="n"/>
      <c r="Y94" s="24" t="n"/>
      <c r="Z94" s="24" t="n"/>
    </row>
    <row r="95" ht="13.5" customHeight="1" s="88">
      <c r="A95" s="24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R95" s="24" t="n"/>
      <c r="S95" s="24" t="n"/>
      <c r="T95" s="24" t="n"/>
      <c r="U95" s="24" t="n"/>
      <c r="V95" s="24" t="n"/>
      <c r="W95" s="24" t="n"/>
      <c r="X95" s="24" t="n"/>
      <c r="Y95" s="24" t="n"/>
      <c r="Z95" s="24" t="n"/>
    </row>
    <row r="96" ht="13.5" customHeight="1" s="88">
      <c r="A96" s="24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  <c r="Q96" s="24" t="n"/>
      <c r="R96" s="24" t="n"/>
      <c r="S96" s="24" t="n"/>
      <c r="T96" s="24" t="n"/>
      <c r="U96" s="24" t="n"/>
      <c r="V96" s="24" t="n"/>
      <c r="W96" s="24" t="n"/>
      <c r="X96" s="24" t="n"/>
      <c r="Y96" s="24" t="n"/>
      <c r="Z96" s="24" t="n"/>
    </row>
    <row r="97" ht="13.5" customHeight="1" s="88">
      <c r="A97" s="24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  <c r="Q97" s="24" t="n"/>
      <c r="R97" s="24" t="n"/>
      <c r="S97" s="24" t="n"/>
      <c r="T97" s="24" t="n"/>
      <c r="U97" s="24" t="n"/>
      <c r="V97" s="24" t="n"/>
      <c r="W97" s="24" t="n"/>
      <c r="X97" s="24" t="n"/>
      <c r="Y97" s="24" t="n"/>
      <c r="Z97" s="24" t="n"/>
    </row>
    <row r="98" ht="13.5" customHeight="1" s="88">
      <c r="A98" s="24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  <c r="Q98" s="24" t="n"/>
      <c r="R98" s="24" t="n"/>
      <c r="S98" s="24" t="n"/>
      <c r="T98" s="24" t="n"/>
      <c r="U98" s="24" t="n"/>
      <c r="V98" s="24" t="n"/>
      <c r="W98" s="24" t="n"/>
      <c r="X98" s="24" t="n"/>
      <c r="Y98" s="24" t="n"/>
      <c r="Z98" s="24" t="n"/>
    </row>
    <row r="99" ht="13.5" customHeight="1" s="88">
      <c r="A99" s="24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  <c r="Q99" s="24" t="n"/>
      <c r="R99" s="24" t="n"/>
      <c r="S99" s="24" t="n"/>
      <c r="T99" s="24" t="n"/>
      <c r="U99" s="24" t="n"/>
      <c r="V99" s="24" t="n"/>
      <c r="W99" s="24" t="n"/>
      <c r="X99" s="24" t="n"/>
      <c r="Y99" s="24" t="n"/>
      <c r="Z99" s="24" t="n"/>
    </row>
    <row r="100" ht="13.5" customHeight="1" s="88">
      <c r="A100" s="24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  <c r="Q100" s="24" t="n"/>
      <c r="R100" s="24" t="n"/>
      <c r="S100" s="24" t="n"/>
      <c r="T100" s="24" t="n"/>
      <c r="U100" s="24" t="n"/>
      <c r="V100" s="24" t="n"/>
      <c r="W100" s="24" t="n"/>
      <c r="X100" s="24" t="n"/>
      <c r="Y100" s="24" t="n"/>
      <c r="Z100" s="24" t="n"/>
    </row>
    <row r="101" ht="13.5" customHeight="1" s="88">
      <c r="A101" s="24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  <c r="Q101" s="24" t="n"/>
      <c r="R101" s="24" t="n"/>
      <c r="S101" s="24" t="n"/>
      <c r="T101" s="24" t="n"/>
      <c r="U101" s="24" t="n"/>
      <c r="V101" s="24" t="n"/>
      <c r="W101" s="24" t="n"/>
      <c r="X101" s="24" t="n"/>
      <c r="Y101" s="24" t="n"/>
      <c r="Z101" s="24" t="n"/>
    </row>
    <row r="102" ht="13.5" customHeight="1" s="88">
      <c r="A102" s="24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  <c r="Q102" s="24" t="n"/>
      <c r="R102" s="24" t="n"/>
      <c r="S102" s="24" t="n"/>
      <c r="T102" s="24" t="n"/>
      <c r="U102" s="24" t="n"/>
      <c r="V102" s="24" t="n"/>
      <c r="W102" s="24" t="n"/>
      <c r="X102" s="24" t="n"/>
      <c r="Y102" s="24" t="n"/>
      <c r="Z102" s="24" t="n"/>
    </row>
    <row r="103" ht="13.5" customHeight="1" s="88">
      <c r="A103" s="24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  <c r="Q103" s="24" t="n"/>
      <c r="R103" s="24" t="n"/>
      <c r="S103" s="24" t="n"/>
      <c r="T103" s="24" t="n"/>
      <c r="U103" s="24" t="n"/>
      <c r="V103" s="24" t="n"/>
      <c r="W103" s="24" t="n"/>
      <c r="X103" s="24" t="n"/>
      <c r="Y103" s="24" t="n"/>
      <c r="Z103" s="24" t="n"/>
    </row>
    <row r="104" ht="13.5" customHeight="1" s="88">
      <c r="A104" s="24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  <c r="Q104" s="24" t="n"/>
      <c r="R104" s="24" t="n"/>
      <c r="S104" s="24" t="n"/>
      <c r="T104" s="24" t="n"/>
      <c r="U104" s="24" t="n"/>
      <c r="V104" s="24" t="n"/>
      <c r="W104" s="24" t="n"/>
      <c r="X104" s="24" t="n"/>
      <c r="Y104" s="24" t="n"/>
      <c r="Z104" s="24" t="n"/>
    </row>
    <row r="105" ht="13.5" customHeight="1" s="88">
      <c r="A105" s="24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  <c r="Q105" s="24" t="n"/>
      <c r="R105" s="24" t="n"/>
      <c r="S105" s="24" t="n"/>
      <c r="T105" s="24" t="n"/>
      <c r="U105" s="24" t="n"/>
      <c r="V105" s="24" t="n"/>
      <c r="W105" s="24" t="n"/>
      <c r="X105" s="24" t="n"/>
      <c r="Y105" s="24" t="n"/>
      <c r="Z105" s="24" t="n"/>
    </row>
    <row r="106" ht="13.5" customHeight="1" s="88">
      <c r="A106" s="24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  <c r="Q106" s="24" t="n"/>
      <c r="R106" s="24" t="n"/>
      <c r="S106" s="24" t="n"/>
      <c r="T106" s="24" t="n"/>
      <c r="U106" s="24" t="n"/>
      <c r="V106" s="24" t="n"/>
      <c r="W106" s="24" t="n"/>
      <c r="X106" s="24" t="n"/>
      <c r="Y106" s="24" t="n"/>
      <c r="Z106" s="24" t="n"/>
    </row>
    <row r="107" ht="13.5" customHeight="1" s="88">
      <c r="A107" s="24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  <c r="Q107" s="24" t="n"/>
      <c r="R107" s="24" t="n"/>
      <c r="S107" s="24" t="n"/>
      <c r="T107" s="24" t="n"/>
      <c r="U107" s="24" t="n"/>
      <c r="V107" s="24" t="n"/>
      <c r="W107" s="24" t="n"/>
      <c r="X107" s="24" t="n"/>
      <c r="Y107" s="24" t="n"/>
      <c r="Z107" s="24" t="n"/>
    </row>
    <row r="108" ht="13.5" customHeight="1" s="88">
      <c r="A108" s="24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  <c r="Q108" s="24" t="n"/>
      <c r="R108" s="24" t="n"/>
      <c r="S108" s="24" t="n"/>
      <c r="T108" s="24" t="n"/>
      <c r="U108" s="24" t="n"/>
      <c r="V108" s="24" t="n"/>
      <c r="W108" s="24" t="n"/>
      <c r="X108" s="24" t="n"/>
      <c r="Y108" s="24" t="n"/>
      <c r="Z108" s="24" t="n"/>
    </row>
    <row r="109" ht="13.5" customHeight="1" s="88">
      <c r="A109" s="24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  <c r="Q109" s="24" t="n"/>
      <c r="R109" s="24" t="n"/>
      <c r="S109" s="24" t="n"/>
      <c r="T109" s="24" t="n"/>
      <c r="U109" s="24" t="n"/>
      <c r="V109" s="24" t="n"/>
      <c r="W109" s="24" t="n"/>
      <c r="X109" s="24" t="n"/>
      <c r="Y109" s="24" t="n"/>
      <c r="Z109" s="24" t="n"/>
    </row>
    <row r="110" ht="13.5" customHeight="1" s="88">
      <c r="A110" s="24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  <c r="Q110" s="24" t="n"/>
      <c r="R110" s="24" t="n"/>
      <c r="S110" s="24" t="n"/>
      <c r="T110" s="24" t="n"/>
      <c r="U110" s="24" t="n"/>
      <c r="V110" s="24" t="n"/>
      <c r="W110" s="24" t="n"/>
      <c r="X110" s="24" t="n"/>
      <c r="Y110" s="24" t="n"/>
      <c r="Z110" s="24" t="n"/>
    </row>
    <row r="111" ht="13.5" customHeight="1" s="88">
      <c r="A111" s="24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  <c r="Q111" s="24" t="n"/>
      <c r="R111" s="24" t="n"/>
      <c r="S111" s="24" t="n"/>
      <c r="T111" s="24" t="n"/>
      <c r="U111" s="24" t="n"/>
      <c r="V111" s="24" t="n"/>
      <c r="W111" s="24" t="n"/>
      <c r="X111" s="24" t="n"/>
      <c r="Y111" s="24" t="n"/>
      <c r="Z111" s="24" t="n"/>
    </row>
    <row r="112" ht="13.5" customHeight="1" s="88">
      <c r="A112" s="24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  <c r="Q112" s="24" t="n"/>
      <c r="R112" s="24" t="n"/>
      <c r="S112" s="24" t="n"/>
      <c r="T112" s="24" t="n"/>
      <c r="U112" s="24" t="n"/>
      <c r="V112" s="24" t="n"/>
      <c r="W112" s="24" t="n"/>
      <c r="X112" s="24" t="n"/>
      <c r="Y112" s="24" t="n"/>
      <c r="Z112" s="24" t="n"/>
    </row>
    <row r="113" ht="13.5" customHeight="1" s="88">
      <c r="A113" s="24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  <c r="Q113" s="24" t="n"/>
      <c r="R113" s="24" t="n"/>
      <c r="S113" s="24" t="n"/>
      <c r="T113" s="24" t="n"/>
      <c r="U113" s="24" t="n"/>
      <c r="V113" s="24" t="n"/>
      <c r="W113" s="24" t="n"/>
      <c r="X113" s="24" t="n"/>
      <c r="Y113" s="24" t="n"/>
      <c r="Z113" s="24" t="n"/>
    </row>
    <row r="114" ht="13.5" customHeight="1" s="88">
      <c r="A114" s="24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  <c r="Q114" s="24" t="n"/>
      <c r="R114" s="24" t="n"/>
      <c r="S114" s="24" t="n"/>
      <c r="T114" s="24" t="n"/>
      <c r="U114" s="24" t="n"/>
      <c r="V114" s="24" t="n"/>
      <c r="W114" s="24" t="n"/>
      <c r="X114" s="24" t="n"/>
      <c r="Y114" s="24" t="n"/>
      <c r="Z114" s="24" t="n"/>
    </row>
    <row r="115" ht="13.5" customHeight="1" s="88">
      <c r="A115" s="24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  <c r="Q115" s="24" t="n"/>
      <c r="R115" s="24" t="n"/>
      <c r="S115" s="24" t="n"/>
      <c r="T115" s="24" t="n"/>
      <c r="U115" s="24" t="n"/>
      <c r="V115" s="24" t="n"/>
      <c r="W115" s="24" t="n"/>
      <c r="X115" s="24" t="n"/>
      <c r="Y115" s="24" t="n"/>
      <c r="Z115" s="24" t="n"/>
    </row>
    <row r="116" ht="13.5" customHeight="1" s="88">
      <c r="A116" s="24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  <c r="Q116" s="24" t="n"/>
      <c r="R116" s="24" t="n"/>
      <c r="S116" s="24" t="n"/>
      <c r="T116" s="24" t="n"/>
      <c r="U116" s="24" t="n"/>
      <c r="V116" s="24" t="n"/>
      <c r="W116" s="24" t="n"/>
      <c r="X116" s="24" t="n"/>
      <c r="Y116" s="24" t="n"/>
      <c r="Z116" s="24" t="n"/>
    </row>
    <row r="117" ht="13.5" customHeight="1" s="88">
      <c r="A117" s="24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  <c r="Q117" s="24" t="n"/>
      <c r="R117" s="24" t="n"/>
      <c r="S117" s="24" t="n"/>
      <c r="T117" s="24" t="n"/>
      <c r="U117" s="24" t="n"/>
      <c r="V117" s="24" t="n"/>
      <c r="W117" s="24" t="n"/>
      <c r="X117" s="24" t="n"/>
      <c r="Y117" s="24" t="n"/>
      <c r="Z117" s="24" t="n"/>
    </row>
    <row r="118" ht="13.5" customHeight="1" s="88">
      <c r="A118" s="24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  <c r="Q118" s="24" t="n"/>
      <c r="R118" s="24" t="n"/>
      <c r="S118" s="24" t="n"/>
      <c r="T118" s="24" t="n"/>
      <c r="U118" s="24" t="n"/>
      <c r="V118" s="24" t="n"/>
      <c r="W118" s="24" t="n"/>
      <c r="X118" s="24" t="n"/>
      <c r="Y118" s="24" t="n"/>
      <c r="Z118" s="24" t="n"/>
    </row>
    <row r="119" ht="13.5" customHeight="1" s="88">
      <c r="A119" s="24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  <c r="Q119" s="24" t="n"/>
      <c r="R119" s="24" t="n"/>
      <c r="S119" s="24" t="n"/>
      <c r="T119" s="24" t="n"/>
      <c r="U119" s="24" t="n"/>
      <c r="V119" s="24" t="n"/>
      <c r="W119" s="24" t="n"/>
      <c r="X119" s="24" t="n"/>
      <c r="Y119" s="24" t="n"/>
      <c r="Z119" s="24" t="n"/>
    </row>
    <row r="120" ht="13.5" customHeight="1" s="88">
      <c r="A120" s="24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  <c r="Q120" s="24" t="n"/>
      <c r="R120" s="24" t="n"/>
      <c r="S120" s="24" t="n"/>
      <c r="T120" s="24" t="n"/>
      <c r="U120" s="24" t="n"/>
      <c r="V120" s="24" t="n"/>
      <c r="W120" s="24" t="n"/>
      <c r="X120" s="24" t="n"/>
      <c r="Y120" s="24" t="n"/>
      <c r="Z120" s="24" t="n"/>
    </row>
    <row r="121" ht="13.5" customHeight="1" s="88">
      <c r="A121" s="24" t="n"/>
      <c r="B121" s="24" t="n"/>
      <c r="C121" s="24" t="n"/>
      <c r="D121" s="24" t="n"/>
      <c r="E121" s="24" t="n"/>
      <c r="F121" s="24" t="n"/>
      <c r="G121" s="24" t="n"/>
      <c r="H121" s="24" t="n"/>
      <c r="I121" s="24" t="n"/>
      <c r="J121" s="24" t="n"/>
      <c r="K121" s="24" t="n"/>
      <c r="L121" s="24" t="n"/>
      <c r="M121" s="24" t="n"/>
      <c r="N121" s="24" t="n"/>
      <c r="O121" s="24" t="n"/>
      <c r="P121" s="24" t="n"/>
      <c r="Q121" s="24" t="n"/>
      <c r="R121" s="24" t="n"/>
      <c r="S121" s="24" t="n"/>
      <c r="T121" s="24" t="n"/>
      <c r="U121" s="24" t="n"/>
      <c r="V121" s="24" t="n"/>
      <c r="W121" s="24" t="n"/>
      <c r="X121" s="24" t="n"/>
      <c r="Y121" s="24" t="n"/>
      <c r="Z121" s="24" t="n"/>
    </row>
    <row r="122" ht="13.5" customHeight="1" s="88">
      <c r="A122" s="24" t="n"/>
      <c r="B122" s="24" t="n"/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  <c r="Q122" s="24" t="n"/>
      <c r="R122" s="24" t="n"/>
      <c r="S122" s="24" t="n"/>
      <c r="T122" s="24" t="n"/>
      <c r="U122" s="24" t="n"/>
      <c r="V122" s="24" t="n"/>
      <c r="W122" s="24" t="n"/>
      <c r="X122" s="24" t="n"/>
      <c r="Y122" s="24" t="n"/>
      <c r="Z122" s="24" t="n"/>
    </row>
    <row r="123" ht="13.5" customHeight="1" s="88">
      <c r="A123" s="24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  <c r="Q123" s="24" t="n"/>
      <c r="R123" s="24" t="n"/>
      <c r="S123" s="24" t="n"/>
      <c r="T123" s="24" t="n"/>
      <c r="U123" s="24" t="n"/>
      <c r="V123" s="24" t="n"/>
      <c r="W123" s="24" t="n"/>
      <c r="X123" s="24" t="n"/>
      <c r="Y123" s="24" t="n"/>
      <c r="Z123" s="24" t="n"/>
    </row>
    <row r="124" ht="13.5" customHeight="1" s="88">
      <c r="A124" s="24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  <c r="Q124" s="24" t="n"/>
      <c r="R124" s="24" t="n"/>
      <c r="S124" s="24" t="n"/>
      <c r="T124" s="24" t="n"/>
      <c r="U124" s="24" t="n"/>
      <c r="V124" s="24" t="n"/>
      <c r="W124" s="24" t="n"/>
      <c r="X124" s="24" t="n"/>
      <c r="Y124" s="24" t="n"/>
      <c r="Z124" s="24" t="n"/>
    </row>
    <row r="125" ht="13.5" customHeight="1" s="88">
      <c r="A125" s="24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  <c r="Q125" s="24" t="n"/>
      <c r="R125" s="24" t="n"/>
      <c r="S125" s="24" t="n"/>
      <c r="T125" s="24" t="n"/>
      <c r="U125" s="24" t="n"/>
      <c r="V125" s="24" t="n"/>
      <c r="W125" s="24" t="n"/>
      <c r="X125" s="24" t="n"/>
      <c r="Y125" s="24" t="n"/>
      <c r="Z125" s="24" t="n"/>
    </row>
    <row r="126" ht="13.5" customHeight="1" s="88">
      <c r="A126" s="24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  <c r="Q126" s="24" t="n"/>
      <c r="R126" s="24" t="n"/>
      <c r="S126" s="24" t="n"/>
      <c r="T126" s="24" t="n"/>
      <c r="U126" s="24" t="n"/>
      <c r="V126" s="24" t="n"/>
      <c r="W126" s="24" t="n"/>
      <c r="X126" s="24" t="n"/>
      <c r="Y126" s="24" t="n"/>
      <c r="Z126" s="24" t="n"/>
    </row>
    <row r="127" ht="13.5" customHeight="1" s="88">
      <c r="A127" s="24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  <c r="Q127" s="24" t="n"/>
      <c r="R127" s="24" t="n"/>
      <c r="S127" s="24" t="n"/>
      <c r="T127" s="24" t="n"/>
      <c r="U127" s="24" t="n"/>
      <c r="V127" s="24" t="n"/>
      <c r="W127" s="24" t="n"/>
      <c r="X127" s="24" t="n"/>
      <c r="Y127" s="24" t="n"/>
      <c r="Z127" s="24" t="n"/>
    </row>
    <row r="128" ht="13.5" customHeight="1" s="88">
      <c r="A128" s="24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  <c r="Q128" s="24" t="n"/>
      <c r="R128" s="24" t="n"/>
      <c r="S128" s="24" t="n"/>
      <c r="T128" s="24" t="n"/>
      <c r="U128" s="24" t="n"/>
      <c r="V128" s="24" t="n"/>
      <c r="W128" s="24" t="n"/>
      <c r="X128" s="24" t="n"/>
      <c r="Y128" s="24" t="n"/>
      <c r="Z128" s="24" t="n"/>
    </row>
    <row r="129" ht="13.5" customHeight="1" s="88">
      <c r="A129" s="24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  <c r="Q129" s="24" t="n"/>
      <c r="R129" s="24" t="n"/>
      <c r="S129" s="24" t="n"/>
      <c r="T129" s="24" t="n"/>
      <c r="U129" s="24" t="n"/>
      <c r="V129" s="24" t="n"/>
      <c r="W129" s="24" t="n"/>
      <c r="X129" s="24" t="n"/>
      <c r="Y129" s="24" t="n"/>
      <c r="Z129" s="24" t="n"/>
    </row>
    <row r="130" ht="13.5" customHeight="1" s="88">
      <c r="A130" s="24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  <c r="Q130" s="24" t="n"/>
      <c r="R130" s="24" t="n"/>
      <c r="S130" s="24" t="n"/>
      <c r="T130" s="24" t="n"/>
      <c r="U130" s="24" t="n"/>
      <c r="V130" s="24" t="n"/>
      <c r="W130" s="24" t="n"/>
      <c r="X130" s="24" t="n"/>
      <c r="Y130" s="24" t="n"/>
      <c r="Z130" s="24" t="n"/>
    </row>
    <row r="131" ht="13.5" customHeight="1" s="88">
      <c r="A131" s="24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  <c r="Q131" s="24" t="n"/>
      <c r="R131" s="24" t="n"/>
      <c r="S131" s="24" t="n"/>
      <c r="T131" s="24" t="n"/>
      <c r="U131" s="24" t="n"/>
      <c r="V131" s="24" t="n"/>
      <c r="W131" s="24" t="n"/>
      <c r="X131" s="24" t="n"/>
      <c r="Y131" s="24" t="n"/>
      <c r="Z131" s="24" t="n"/>
    </row>
    <row r="132" ht="13.5" customHeight="1" s="88">
      <c r="A132" s="24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  <c r="Q132" s="24" t="n"/>
      <c r="R132" s="24" t="n"/>
      <c r="S132" s="24" t="n"/>
      <c r="T132" s="24" t="n"/>
      <c r="U132" s="24" t="n"/>
      <c r="V132" s="24" t="n"/>
      <c r="W132" s="24" t="n"/>
      <c r="X132" s="24" t="n"/>
      <c r="Y132" s="24" t="n"/>
      <c r="Z132" s="24" t="n"/>
    </row>
    <row r="133" ht="13.5" customHeight="1" s="88">
      <c r="A133" s="24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  <c r="Q133" s="24" t="n"/>
      <c r="R133" s="24" t="n"/>
      <c r="S133" s="24" t="n"/>
      <c r="T133" s="24" t="n"/>
      <c r="U133" s="24" t="n"/>
      <c r="V133" s="24" t="n"/>
      <c r="W133" s="24" t="n"/>
      <c r="X133" s="24" t="n"/>
      <c r="Y133" s="24" t="n"/>
      <c r="Z133" s="24" t="n"/>
    </row>
    <row r="134" ht="13.5" customHeight="1" s="88">
      <c r="A134" s="24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  <c r="Q134" s="24" t="n"/>
      <c r="R134" s="24" t="n"/>
      <c r="S134" s="24" t="n"/>
      <c r="T134" s="24" t="n"/>
      <c r="U134" s="24" t="n"/>
      <c r="V134" s="24" t="n"/>
      <c r="W134" s="24" t="n"/>
      <c r="X134" s="24" t="n"/>
      <c r="Y134" s="24" t="n"/>
      <c r="Z134" s="24" t="n"/>
    </row>
    <row r="135" ht="13.5" customHeight="1" s="88">
      <c r="A135" s="24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  <c r="Q135" s="24" t="n"/>
      <c r="R135" s="24" t="n"/>
      <c r="S135" s="24" t="n"/>
      <c r="T135" s="24" t="n"/>
      <c r="U135" s="24" t="n"/>
      <c r="V135" s="24" t="n"/>
      <c r="W135" s="24" t="n"/>
      <c r="X135" s="24" t="n"/>
      <c r="Y135" s="24" t="n"/>
      <c r="Z135" s="24" t="n"/>
    </row>
    <row r="136" ht="13.5" customHeight="1" s="88">
      <c r="A136" s="24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  <c r="Q136" s="24" t="n"/>
      <c r="R136" s="24" t="n"/>
      <c r="S136" s="24" t="n"/>
      <c r="T136" s="24" t="n"/>
      <c r="U136" s="24" t="n"/>
      <c r="V136" s="24" t="n"/>
      <c r="W136" s="24" t="n"/>
      <c r="X136" s="24" t="n"/>
      <c r="Y136" s="24" t="n"/>
      <c r="Z136" s="24" t="n"/>
    </row>
    <row r="137" ht="13.5" customHeight="1" s="88">
      <c r="A137" s="24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  <c r="Q137" s="24" t="n"/>
      <c r="R137" s="24" t="n"/>
      <c r="S137" s="24" t="n"/>
      <c r="T137" s="24" t="n"/>
      <c r="U137" s="24" t="n"/>
      <c r="V137" s="24" t="n"/>
      <c r="W137" s="24" t="n"/>
      <c r="X137" s="24" t="n"/>
      <c r="Y137" s="24" t="n"/>
      <c r="Z137" s="24" t="n"/>
    </row>
    <row r="138" ht="13.5" customHeight="1" s="88">
      <c r="A138" s="24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  <c r="Q138" s="24" t="n"/>
      <c r="R138" s="24" t="n"/>
      <c r="S138" s="24" t="n"/>
      <c r="T138" s="24" t="n"/>
      <c r="U138" s="24" t="n"/>
      <c r="V138" s="24" t="n"/>
      <c r="W138" s="24" t="n"/>
      <c r="X138" s="24" t="n"/>
      <c r="Y138" s="24" t="n"/>
      <c r="Z138" s="24" t="n"/>
    </row>
    <row r="139" ht="13.5" customHeight="1" s="88">
      <c r="A139" s="24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  <c r="Q139" s="24" t="n"/>
      <c r="R139" s="24" t="n"/>
      <c r="S139" s="24" t="n"/>
      <c r="T139" s="24" t="n"/>
      <c r="U139" s="24" t="n"/>
      <c r="V139" s="24" t="n"/>
      <c r="W139" s="24" t="n"/>
      <c r="X139" s="24" t="n"/>
      <c r="Y139" s="24" t="n"/>
      <c r="Z139" s="24" t="n"/>
    </row>
    <row r="140" ht="13.5" customHeight="1" s="88">
      <c r="A140" s="24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  <c r="Q140" s="24" t="n"/>
      <c r="R140" s="24" t="n"/>
      <c r="S140" s="24" t="n"/>
      <c r="T140" s="24" t="n"/>
      <c r="U140" s="24" t="n"/>
      <c r="V140" s="24" t="n"/>
      <c r="W140" s="24" t="n"/>
      <c r="X140" s="24" t="n"/>
      <c r="Y140" s="24" t="n"/>
      <c r="Z140" s="24" t="n"/>
    </row>
    <row r="141" ht="13.5" customHeight="1" s="88">
      <c r="A141" s="24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  <c r="Q141" s="24" t="n"/>
      <c r="R141" s="24" t="n"/>
      <c r="S141" s="24" t="n"/>
      <c r="T141" s="24" t="n"/>
      <c r="U141" s="24" t="n"/>
      <c r="V141" s="24" t="n"/>
      <c r="W141" s="24" t="n"/>
      <c r="X141" s="24" t="n"/>
      <c r="Y141" s="24" t="n"/>
      <c r="Z141" s="24" t="n"/>
    </row>
    <row r="142" ht="13.5" customHeight="1" s="88">
      <c r="A142" s="24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  <c r="Q142" s="24" t="n"/>
      <c r="R142" s="24" t="n"/>
      <c r="S142" s="24" t="n"/>
      <c r="T142" s="24" t="n"/>
      <c r="U142" s="24" t="n"/>
      <c r="V142" s="24" t="n"/>
      <c r="W142" s="24" t="n"/>
      <c r="X142" s="24" t="n"/>
      <c r="Y142" s="24" t="n"/>
      <c r="Z142" s="24" t="n"/>
    </row>
    <row r="143" ht="13.5" customHeight="1" s="88">
      <c r="A143" s="24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  <c r="Q143" s="24" t="n"/>
      <c r="R143" s="24" t="n"/>
      <c r="S143" s="24" t="n"/>
      <c r="T143" s="24" t="n"/>
      <c r="U143" s="24" t="n"/>
      <c r="V143" s="24" t="n"/>
      <c r="W143" s="24" t="n"/>
      <c r="X143" s="24" t="n"/>
      <c r="Y143" s="24" t="n"/>
      <c r="Z143" s="24" t="n"/>
    </row>
    <row r="144" ht="13.5" customHeight="1" s="88">
      <c r="A144" s="24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  <c r="Q144" s="24" t="n"/>
      <c r="R144" s="24" t="n"/>
      <c r="S144" s="24" t="n"/>
      <c r="T144" s="24" t="n"/>
      <c r="U144" s="24" t="n"/>
      <c r="V144" s="24" t="n"/>
      <c r="W144" s="24" t="n"/>
      <c r="X144" s="24" t="n"/>
      <c r="Y144" s="24" t="n"/>
      <c r="Z144" s="24" t="n"/>
    </row>
    <row r="145" ht="13.5" customHeight="1" s="88">
      <c r="A145" s="24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  <c r="Q145" s="24" t="n"/>
      <c r="R145" s="24" t="n"/>
      <c r="S145" s="24" t="n"/>
      <c r="T145" s="24" t="n"/>
      <c r="U145" s="24" t="n"/>
      <c r="V145" s="24" t="n"/>
      <c r="W145" s="24" t="n"/>
      <c r="X145" s="24" t="n"/>
      <c r="Y145" s="24" t="n"/>
      <c r="Z145" s="24" t="n"/>
    </row>
    <row r="146" ht="13.5" customHeight="1" s="88">
      <c r="A146" s="24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  <c r="Q146" s="24" t="n"/>
      <c r="R146" s="24" t="n"/>
      <c r="S146" s="24" t="n"/>
      <c r="T146" s="24" t="n"/>
      <c r="U146" s="24" t="n"/>
      <c r="V146" s="24" t="n"/>
      <c r="W146" s="24" t="n"/>
      <c r="X146" s="24" t="n"/>
      <c r="Y146" s="24" t="n"/>
      <c r="Z146" s="24" t="n"/>
    </row>
    <row r="147" ht="13.5" customHeight="1" s="88">
      <c r="A147" s="24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  <c r="Q147" s="24" t="n"/>
      <c r="R147" s="24" t="n"/>
      <c r="S147" s="24" t="n"/>
      <c r="T147" s="24" t="n"/>
      <c r="U147" s="24" t="n"/>
      <c r="V147" s="24" t="n"/>
      <c r="W147" s="24" t="n"/>
      <c r="X147" s="24" t="n"/>
      <c r="Y147" s="24" t="n"/>
      <c r="Z147" s="24" t="n"/>
    </row>
    <row r="148" ht="13.5" customHeight="1" s="88">
      <c r="A148" s="24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  <c r="Q148" s="24" t="n"/>
      <c r="R148" s="24" t="n"/>
      <c r="S148" s="24" t="n"/>
      <c r="T148" s="24" t="n"/>
      <c r="U148" s="24" t="n"/>
      <c r="V148" s="24" t="n"/>
      <c r="W148" s="24" t="n"/>
      <c r="X148" s="24" t="n"/>
      <c r="Y148" s="24" t="n"/>
      <c r="Z148" s="24" t="n"/>
    </row>
    <row r="149" ht="13.5" customHeight="1" s="88">
      <c r="A149" s="24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  <c r="Q149" s="24" t="n"/>
      <c r="R149" s="24" t="n"/>
      <c r="S149" s="24" t="n"/>
      <c r="T149" s="24" t="n"/>
      <c r="U149" s="24" t="n"/>
      <c r="V149" s="24" t="n"/>
      <c r="W149" s="24" t="n"/>
      <c r="X149" s="24" t="n"/>
      <c r="Y149" s="24" t="n"/>
      <c r="Z149" s="24" t="n"/>
    </row>
    <row r="150" ht="13.5" customHeight="1" s="88">
      <c r="A150" s="24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  <c r="Q150" s="24" t="n"/>
      <c r="R150" s="24" t="n"/>
      <c r="S150" s="24" t="n"/>
      <c r="T150" s="24" t="n"/>
      <c r="U150" s="24" t="n"/>
      <c r="V150" s="24" t="n"/>
      <c r="W150" s="24" t="n"/>
      <c r="X150" s="24" t="n"/>
      <c r="Y150" s="24" t="n"/>
      <c r="Z150" s="24" t="n"/>
    </row>
    <row r="151" ht="13.5" customHeight="1" s="88">
      <c r="A151" s="24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  <c r="Q151" s="24" t="n"/>
      <c r="R151" s="24" t="n"/>
      <c r="S151" s="24" t="n"/>
      <c r="T151" s="24" t="n"/>
      <c r="U151" s="24" t="n"/>
      <c r="V151" s="24" t="n"/>
      <c r="W151" s="24" t="n"/>
      <c r="X151" s="24" t="n"/>
      <c r="Y151" s="24" t="n"/>
      <c r="Z151" s="24" t="n"/>
    </row>
    <row r="152" ht="13.5" customHeight="1" s="88">
      <c r="A152" s="24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  <c r="Q152" s="24" t="n"/>
      <c r="R152" s="24" t="n"/>
      <c r="S152" s="24" t="n"/>
      <c r="T152" s="24" t="n"/>
      <c r="U152" s="24" t="n"/>
      <c r="V152" s="24" t="n"/>
      <c r="W152" s="24" t="n"/>
      <c r="X152" s="24" t="n"/>
      <c r="Y152" s="24" t="n"/>
      <c r="Z152" s="24" t="n"/>
    </row>
    <row r="153" ht="13.5" customHeight="1" s="88">
      <c r="A153" s="24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  <c r="Q153" s="24" t="n"/>
      <c r="R153" s="24" t="n"/>
      <c r="S153" s="24" t="n"/>
      <c r="T153" s="24" t="n"/>
      <c r="U153" s="24" t="n"/>
      <c r="V153" s="24" t="n"/>
      <c r="W153" s="24" t="n"/>
      <c r="X153" s="24" t="n"/>
      <c r="Y153" s="24" t="n"/>
      <c r="Z153" s="24" t="n"/>
    </row>
    <row r="154" ht="13.5" customHeight="1" s="88">
      <c r="A154" s="24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  <c r="Q154" s="24" t="n"/>
      <c r="R154" s="24" t="n"/>
      <c r="S154" s="24" t="n"/>
      <c r="T154" s="24" t="n"/>
      <c r="U154" s="24" t="n"/>
      <c r="V154" s="24" t="n"/>
      <c r="W154" s="24" t="n"/>
      <c r="X154" s="24" t="n"/>
      <c r="Y154" s="24" t="n"/>
      <c r="Z154" s="24" t="n"/>
    </row>
    <row r="155" ht="13.5" customHeight="1" s="88">
      <c r="A155" s="24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  <c r="Q155" s="24" t="n"/>
      <c r="R155" s="24" t="n"/>
      <c r="S155" s="24" t="n"/>
      <c r="T155" s="24" t="n"/>
      <c r="U155" s="24" t="n"/>
      <c r="V155" s="24" t="n"/>
      <c r="W155" s="24" t="n"/>
      <c r="X155" s="24" t="n"/>
      <c r="Y155" s="24" t="n"/>
      <c r="Z155" s="24" t="n"/>
    </row>
    <row r="156" ht="13.5" customHeight="1" s="88">
      <c r="A156" s="24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  <c r="Q156" s="24" t="n"/>
      <c r="R156" s="24" t="n"/>
      <c r="S156" s="24" t="n"/>
      <c r="T156" s="24" t="n"/>
      <c r="U156" s="24" t="n"/>
      <c r="V156" s="24" t="n"/>
      <c r="W156" s="24" t="n"/>
      <c r="X156" s="24" t="n"/>
      <c r="Y156" s="24" t="n"/>
      <c r="Z156" s="24" t="n"/>
    </row>
    <row r="157" ht="13.5" customHeight="1" s="88">
      <c r="A157" s="24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  <c r="Q157" s="24" t="n"/>
      <c r="R157" s="24" t="n"/>
      <c r="S157" s="24" t="n"/>
      <c r="T157" s="24" t="n"/>
      <c r="U157" s="24" t="n"/>
      <c r="V157" s="24" t="n"/>
      <c r="W157" s="24" t="n"/>
      <c r="X157" s="24" t="n"/>
      <c r="Y157" s="24" t="n"/>
      <c r="Z157" s="24" t="n"/>
    </row>
    <row r="158" ht="13.5" customHeight="1" s="88">
      <c r="A158" s="24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  <c r="Q158" s="24" t="n"/>
      <c r="R158" s="24" t="n"/>
      <c r="S158" s="24" t="n"/>
      <c r="T158" s="24" t="n"/>
      <c r="U158" s="24" t="n"/>
      <c r="V158" s="24" t="n"/>
      <c r="W158" s="24" t="n"/>
      <c r="X158" s="24" t="n"/>
      <c r="Y158" s="24" t="n"/>
      <c r="Z158" s="24" t="n"/>
    </row>
    <row r="159" ht="13.5" customHeight="1" s="88">
      <c r="A159" s="24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  <c r="Q159" s="24" t="n"/>
      <c r="R159" s="24" t="n"/>
      <c r="S159" s="24" t="n"/>
      <c r="T159" s="24" t="n"/>
      <c r="U159" s="24" t="n"/>
      <c r="V159" s="24" t="n"/>
      <c r="W159" s="24" t="n"/>
      <c r="X159" s="24" t="n"/>
      <c r="Y159" s="24" t="n"/>
      <c r="Z159" s="24" t="n"/>
    </row>
    <row r="160" ht="13.5" customHeight="1" s="88">
      <c r="A160" s="24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  <c r="Q160" s="24" t="n"/>
      <c r="R160" s="24" t="n"/>
      <c r="S160" s="24" t="n"/>
      <c r="T160" s="24" t="n"/>
      <c r="U160" s="24" t="n"/>
      <c r="V160" s="24" t="n"/>
      <c r="W160" s="24" t="n"/>
      <c r="X160" s="24" t="n"/>
      <c r="Y160" s="24" t="n"/>
      <c r="Z160" s="24" t="n"/>
    </row>
    <row r="161" ht="13.5" customHeight="1" s="88">
      <c r="A161" s="24" t="n"/>
      <c r="B161" s="24" t="n"/>
      <c r="C161" s="24" t="n"/>
      <c r="D161" s="24" t="n"/>
      <c r="E161" s="24" t="n"/>
      <c r="F161" s="24" t="n"/>
      <c r="G161" s="24" t="n"/>
      <c r="H161" s="24" t="n"/>
      <c r="I161" s="24" t="n"/>
      <c r="J161" s="24" t="n"/>
      <c r="K161" s="24" t="n"/>
      <c r="L161" s="24" t="n"/>
      <c r="M161" s="24" t="n"/>
      <c r="N161" s="24" t="n"/>
      <c r="O161" s="24" t="n"/>
      <c r="P161" s="24" t="n"/>
      <c r="Q161" s="24" t="n"/>
      <c r="R161" s="24" t="n"/>
      <c r="S161" s="24" t="n"/>
      <c r="T161" s="24" t="n"/>
      <c r="U161" s="24" t="n"/>
      <c r="V161" s="24" t="n"/>
      <c r="W161" s="24" t="n"/>
      <c r="X161" s="24" t="n"/>
      <c r="Y161" s="24" t="n"/>
      <c r="Z161" s="24" t="n"/>
    </row>
    <row r="162" ht="13.5" customHeight="1" s="88">
      <c r="A162" s="24" t="n"/>
      <c r="B162" s="24" t="n"/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  <c r="Q162" s="24" t="n"/>
      <c r="R162" s="24" t="n"/>
      <c r="S162" s="24" t="n"/>
      <c r="T162" s="24" t="n"/>
      <c r="U162" s="24" t="n"/>
      <c r="V162" s="24" t="n"/>
      <c r="W162" s="24" t="n"/>
      <c r="X162" s="24" t="n"/>
      <c r="Y162" s="24" t="n"/>
      <c r="Z162" s="24" t="n"/>
    </row>
    <row r="163" ht="13.5" customHeight="1" s="88">
      <c r="A163" s="24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  <c r="Q163" s="24" t="n"/>
      <c r="R163" s="24" t="n"/>
      <c r="S163" s="24" t="n"/>
      <c r="T163" s="24" t="n"/>
      <c r="U163" s="24" t="n"/>
      <c r="V163" s="24" t="n"/>
      <c r="W163" s="24" t="n"/>
      <c r="X163" s="24" t="n"/>
      <c r="Y163" s="24" t="n"/>
      <c r="Z163" s="24" t="n"/>
    </row>
    <row r="164" ht="13.5" customHeight="1" s="88">
      <c r="A164" s="24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  <c r="Q164" s="24" t="n"/>
      <c r="R164" s="24" t="n"/>
      <c r="S164" s="24" t="n"/>
      <c r="T164" s="24" t="n"/>
      <c r="U164" s="24" t="n"/>
      <c r="V164" s="24" t="n"/>
      <c r="W164" s="24" t="n"/>
      <c r="X164" s="24" t="n"/>
      <c r="Y164" s="24" t="n"/>
      <c r="Z164" s="24" t="n"/>
    </row>
    <row r="165" ht="13.5" customHeight="1" s="88">
      <c r="A165" s="24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  <c r="Q165" s="24" t="n"/>
      <c r="R165" s="24" t="n"/>
      <c r="S165" s="24" t="n"/>
      <c r="T165" s="24" t="n"/>
      <c r="U165" s="24" t="n"/>
      <c r="V165" s="24" t="n"/>
      <c r="W165" s="24" t="n"/>
      <c r="X165" s="24" t="n"/>
      <c r="Y165" s="24" t="n"/>
      <c r="Z165" s="24" t="n"/>
    </row>
    <row r="166" ht="13.5" customHeight="1" s="88">
      <c r="A166" s="24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  <c r="Q166" s="24" t="n"/>
      <c r="R166" s="24" t="n"/>
      <c r="S166" s="24" t="n"/>
      <c r="T166" s="24" t="n"/>
      <c r="U166" s="24" t="n"/>
      <c r="V166" s="24" t="n"/>
      <c r="W166" s="24" t="n"/>
      <c r="X166" s="24" t="n"/>
      <c r="Y166" s="24" t="n"/>
      <c r="Z166" s="24" t="n"/>
    </row>
    <row r="167" ht="13.5" customHeight="1" s="88">
      <c r="A167" s="24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  <c r="Q167" s="24" t="n"/>
      <c r="R167" s="24" t="n"/>
      <c r="S167" s="24" t="n"/>
      <c r="T167" s="24" t="n"/>
      <c r="U167" s="24" t="n"/>
      <c r="V167" s="24" t="n"/>
      <c r="W167" s="24" t="n"/>
      <c r="X167" s="24" t="n"/>
      <c r="Y167" s="24" t="n"/>
      <c r="Z167" s="24" t="n"/>
    </row>
    <row r="168" ht="13.5" customHeight="1" s="88">
      <c r="A168" s="24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  <c r="Q168" s="24" t="n"/>
      <c r="R168" s="24" t="n"/>
      <c r="S168" s="24" t="n"/>
      <c r="T168" s="24" t="n"/>
      <c r="U168" s="24" t="n"/>
      <c r="V168" s="24" t="n"/>
      <c r="W168" s="24" t="n"/>
      <c r="X168" s="24" t="n"/>
      <c r="Y168" s="24" t="n"/>
      <c r="Z168" s="24" t="n"/>
    </row>
    <row r="169" ht="13.5" customHeight="1" s="88">
      <c r="A169" s="24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  <c r="Q169" s="24" t="n"/>
      <c r="R169" s="24" t="n"/>
      <c r="S169" s="24" t="n"/>
      <c r="T169" s="24" t="n"/>
      <c r="U169" s="24" t="n"/>
      <c r="V169" s="24" t="n"/>
      <c r="W169" s="24" t="n"/>
      <c r="X169" s="24" t="n"/>
      <c r="Y169" s="24" t="n"/>
      <c r="Z169" s="24" t="n"/>
    </row>
    <row r="170" ht="13.5" customHeight="1" s="88">
      <c r="A170" s="24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  <c r="Q170" s="24" t="n"/>
      <c r="R170" s="24" t="n"/>
      <c r="S170" s="24" t="n"/>
      <c r="T170" s="24" t="n"/>
      <c r="U170" s="24" t="n"/>
      <c r="V170" s="24" t="n"/>
      <c r="W170" s="24" t="n"/>
      <c r="X170" s="24" t="n"/>
      <c r="Y170" s="24" t="n"/>
      <c r="Z170" s="24" t="n"/>
    </row>
    <row r="171" ht="13.5" customHeight="1" s="88">
      <c r="A171" s="24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  <c r="Q171" s="24" t="n"/>
      <c r="R171" s="24" t="n"/>
      <c r="S171" s="24" t="n"/>
      <c r="T171" s="24" t="n"/>
      <c r="U171" s="24" t="n"/>
      <c r="V171" s="24" t="n"/>
      <c r="W171" s="24" t="n"/>
      <c r="X171" s="24" t="n"/>
      <c r="Y171" s="24" t="n"/>
      <c r="Z171" s="24" t="n"/>
    </row>
    <row r="172" ht="13.5" customHeight="1" s="88">
      <c r="A172" s="24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  <c r="Q172" s="24" t="n"/>
      <c r="R172" s="24" t="n"/>
      <c r="S172" s="24" t="n"/>
      <c r="T172" s="24" t="n"/>
      <c r="U172" s="24" t="n"/>
      <c r="V172" s="24" t="n"/>
      <c r="W172" s="24" t="n"/>
      <c r="X172" s="24" t="n"/>
      <c r="Y172" s="24" t="n"/>
      <c r="Z172" s="24" t="n"/>
    </row>
    <row r="173" ht="13.5" customHeight="1" s="88">
      <c r="A173" s="24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  <c r="Q173" s="24" t="n"/>
      <c r="R173" s="24" t="n"/>
      <c r="S173" s="24" t="n"/>
      <c r="T173" s="24" t="n"/>
      <c r="U173" s="24" t="n"/>
      <c r="V173" s="24" t="n"/>
      <c r="W173" s="24" t="n"/>
      <c r="X173" s="24" t="n"/>
      <c r="Y173" s="24" t="n"/>
      <c r="Z173" s="24" t="n"/>
    </row>
    <row r="174" ht="13.5" customHeight="1" s="88">
      <c r="A174" s="24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  <c r="Q174" s="24" t="n"/>
      <c r="R174" s="24" t="n"/>
      <c r="S174" s="24" t="n"/>
      <c r="T174" s="24" t="n"/>
      <c r="U174" s="24" t="n"/>
      <c r="V174" s="24" t="n"/>
      <c r="W174" s="24" t="n"/>
      <c r="X174" s="24" t="n"/>
      <c r="Y174" s="24" t="n"/>
      <c r="Z174" s="24" t="n"/>
    </row>
    <row r="175" ht="13.5" customHeight="1" s="88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Q175" s="24" t="n"/>
      <c r="R175" s="24" t="n"/>
      <c r="S175" s="24" t="n"/>
      <c r="T175" s="24" t="n"/>
      <c r="U175" s="24" t="n"/>
      <c r="V175" s="24" t="n"/>
      <c r="W175" s="24" t="n"/>
      <c r="X175" s="24" t="n"/>
      <c r="Y175" s="24" t="n"/>
      <c r="Z175" s="24" t="n"/>
    </row>
    <row r="176" ht="13.5" customHeight="1" s="88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Q176" s="24" t="n"/>
      <c r="R176" s="24" t="n"/>
      <c r="S176" s="24" t="n"/>
      <c r="T176" s="24" t="n"/>
      <c r="U176" s="24" t="n"/>
      <c r="V176" s="24" t="n"/>
      <c r="W176" s="24" t="n"/>
      <c r="X176" s="24" t="n"/>
      <c r="Y176" s="24" t="n"/>
      <c r="Z176" s="24" t="n"/>
    </row>
    <row r="177" ht="13.5" customHeight="1" s="88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Q177" s="24" t="n"/>
      <c r="R177" s="24" t="n"/>
      <c r="S177" s="24" t="n"/>
      <c r="T177" s="24" t="n"/>
      <c r="U177" s="24" t="n"/>
      <c r="V177" s="24" t="n"/>
      <c r="W177" s="24" t="n"/>
      <c r="X177" s="24" t="n"/>
      <c r="Y177" s="24" t="n"/>
      <c r="Z177" s="24" t="n"/>
    </row>
    <row r="178" ht="13.5" customHeight="1" s="8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Q178" s="24" t="n"/>
      <c r="R178" s="24" t="n"/>
      <c r="S178" s="24" t="n"/>
      <c r="T178" s="24" t="n"/>
      <c r="U178" s="24" t="n"/>
      <c r="V178" s="24" t="n"/>
      <c r="W178" s="24" t="n"/>
      <c r="X178" s="24" t="n"/>
      <c r="Y178" s="24" t="n"/>
      <c r="Z178" s="24" t="n"/>
    </row>
    <row r="179" ht="13.5" customHeight="1" s="88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Q179" s="24" t="n"/>
      <c r="R179" s="24" t="n"/>
      <c r="S179" s="24" t="n"/>
      <c r="T179" s="24" t="n"/>
      <c r="U179" s="24" t="n"/>
      <c r="V179" s="24" t="n"/>
      <c r="W179" s="24" t="n"/>
      <c r="X179" s="24" t="n"/>
      <c r="Y179" s="24" t="n"/>
      <c r="Z179" s="24" t="n"/>
    </row>
    <row r="180" ht="13.5" customHeight="1" s="88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Q180" s="24" t="n"/>
      <c r="R180" s="24" t="n"/>
      <c r="S180" s="24" t="n"/>
      <c r="T180" s="24" t="n"/>
      <c r="U180" s="24" t="n"/>
      <c r="V180" s="24" t="n"/>
      <c r="W180" s="24" t="n"/>
      <c r="X180" s="24" t="n"/>
      <c r="Y180" s="24" t="n"/>
      <c r="Z180" s="24" t="n"/>
    </row>
    <row r="181" ht="13.5" customHeight="1" s="88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Q181" s="24" t="n"/>
      <c r="R181" s="24" t="n"/>
      <c r="S181" s="24" t="n"/>
      <c r="T181" s="24" t="n"/>
      <c r="U181" s="24" t="n"/>
      <c r="V181" s="24" t="n"/>
      <c r="W181" s="24" t="n"/>
      <c r="X181" s="24" t="n"/>
      <c r="Y181" s="24" t="n"/>
      <c r="Z181" s="24" t="n"/>
    </row>
    <row r="182" ht="13.5" customHeight="1" s="88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Q182" s="24" t="n"/>
      <c r="R182" s="24" t="n"/>
      <c r="S182" s="24" t="n"/>
      <c r="T182" s="24" t="n"/>
      <c r="U182" s="24" t="n"/>
      <c r="V182" s="24" t="n"/>
      <c r="W182" s="24" t="n"/>
      <c r="X182" s="24" t="n"/>
      <c r="Y182" s="24" t="n"/>
      <c r="Z182" s="24" t="n"/>
    </row>
    <row r="183" ht="13.5" customHeight="1" s="88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Q183" s="24" t="n"/>
      <c r="R183" s="24" t="n"/>
      <c r="S183" s="24" t="n"/>
      <c r="T183" s="24" t="n"/>
      <c r="U183" s="24" t="n"/>
      <c r="V183" s="24" t="n"/>
      <c r="W183" s="24" t="n"/>
      <c r="X183" s="24" t="n"/>
      <c r="Y183" s="24" t="n"/>
      <c r="Z183" s="24" t="n"/>
    </row>
    <row r="184" ht="13.5" customHeight="1" s="88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Q184" s="24" t="n"/>
      <c r="R184" s="24" t="n"/>
      <c r="S184" s="24" t="n"/>
      <c r="T184" s="24" t="n"/>
      <c r="U184" s="24" t="n"/>
      <c r="V184" s="24" t="n"/>
      <c r="W184" s="24" t="n"/>
      <c r="X184" s="24" t="n"/>
      <c r="Y184" s="24" t="n"/>
      <c r="Z184" s="24" t="n"/>
    </row>
    <row r="185" ht="13.5" customHeight="1" s="88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Q185" s="24" t="n"/>
      <c r="R185" s="24" t="n"/>
      <c r="S185" s="24" t="n"/>
      <c r="T185" s="24" t="n"/>
      <c r="U185" s="24" t="n"/>
      <c r="V185" s="24" t="n"/>
      <c r="W185" s="24" t="n"/>
      <c r="X185" s="24" t="n"/>
      <c r="Y185" s="24" t="n"/>
      <c r="Z185" s="24" t="n"/>
    </row>
    <row r="186" ht="13.5" customHeight="1" s="88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Q186" s="24" t="n"/>
      <c r="R186" s="24" t="n"/>
      <c r="S186" s="24" t="n"/>
      <c r="T186" s="24" t="n"/>
      <c r="U186" s="24" t="n"/>
      <c r="V186" s="24" t="n"/>
      <c r="W186" s="24" t="n"/>
      <c r="X186" s="24" t="n"/>
      <c r="Y186" s="24" t="n"/>
      <c r="Z186" s="24" t="n"/>
    </row>
    <row r="187" ht="13.5" customHeight="1" s="88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Q187" s="24" t="n"/>
      <c r="R187" s="24" t="n"/>
      <c r="S187" s="24" t="n"/>
      <c r="T187" s="24" t="n"/>
      <c r="U187" s="24" t="n"/>
      <c r="V187" s="24" t="n"/>
      <c r="W187" s="24" t="n"/>
      <c r="X187" s="24" t="n"/>
      <c r="Y187" s="24" t="n"/>
      <c r="Z187" s="24" t="n"/>
    </row>
    <row r="188" ht="13.5" customHeight="1" s="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Q188" s="24" t="n"/>
      <c r="R188" s="24" t="n"/>
      <c r="S188" s="24" t="n"/>
      <c r="T188" s="24" t="n"/>
      <c r="U188" s="24" t="n"/>
      <c r="V188" s="24" t="n"/>
      <c r="W188" s="24" t="n"/>
      <c r="X188" s="24" t="n"/>
      <c r="Y188" s="24" t="n"/>
      <c r="Z188" s="24" t="n"/>
    </row>
    <row r="189" ht="13.5" customHeight="1" s="88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  <c r="Q189" s="24" t="n"/>
      <c r="R189" s="24" t="n"/>
      <c r="S189" s="24" t="n"/>
      <c r="T189" s="24" t="n"/>
      <c r="U189" s="24" t="n"/>
      <c r="V189" s="24" t="n"/>
      <c r="W189" s="24" t="n"/>
      <c r="X189" s="24" t="n"/>
      <c r="Y189" s="24" t="n"/>
      <c r="Z189" s="24" t="n"/>
    </row>
    <row r="190" ht="13.5" customHeight="1" s="88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  <c r="Q190" s="24" t="n"/>
      <c r="R190" s="24" t="n"/>
      <c r="S190" s="24" t="n"/>
      <c r="T190" s="24" t="n"/>
      <c r="U190" s="24" t="n"/>
      <c r="V190" s="24" t="n"/>
      <c r="W190" s="24" t="n"/>
      <c r="X190" s="24" t="n"/>
      <c r="Y190" s="24" t="n"/>
      <c r="Z190" s="24" t="n"/>
    </row>
    <row r="191" ht="13.5" customHeight="1" s="88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  <c r="Q191" s="24" t="n"/>
      <c r="R191" s="24" t="n"/>
      <c r="S191" s="24" t="n"/>
      <c r="T191" s="24" t="n"/>
      <c r="U191" s="24" t="n"/>
      <c r="V191" s="24" t="n"/>
      <c r="W191" s="24" t="n"/>
      <c r="X191" s="24" t="n"/>
      <c r="Y191" s="24" t="n"/>
      <c r="Z191" s="24" t="n"/>
    </row>
    <row r="192" ht="13.5" customHeight="1" s="88">
      <c r="A192" s="24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  <c r="Q192" s="24" t="n"/>
      <c r="R192" s="24" t="n"/>
      <c r="S192" s="24" t="n"/>
      <c r="T192" s="24" t="n"/>
      <c r="U192" s="24" t="n"/>
      <c r="V192" s="24" t="n"/>
      <c r="W192" s="24" t="n"/>
      <c r="X192" s="24" t="n"/>
      <c r="Y192" s="24" t="n"/>
      <c r="Z192" s="24" t="n"/>
    </row>
    <row r="193" ht="13.5" customHeight="1" s="88">
      <c r="A193" s="24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  <c r="Q193" s="24" t="n"/>
      <c r="R193" s="24" t="n"/>
      <c r="S193" s="24" t="n"/>
      <c r="T193" s="24" t="n"/>
      <c r="U193" s="24" t="n"/>
      <c r="V193" s="24" t="n"/>
      <c r="W193" s="24" t="n"/>
      <c r="X193" s="24" t="n"/>
      <c r="Y193" s="24" t="n"/>
      <c r="Z193" s="24" t="n"/>
    </row>
    <row r="194" ht="13.5" customHeight="1" s="88">
      <c r="A194" s="24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  <c r="Q194" s="24" t="n"/>
      <c r="R194" s="24" t="n"/>
      <c r="S194" s="24" t="n"/>
      <c r="T194" s="24" t="n"/>
      <c r="U194" s="24" t="n"/>
      <c r="V194" s="24" t="n"/>
      <c r="W194" s="24" t="n"/>
      <c r="X194" s="24" t="n"/>
      <c r="Y194" s="24" t="n"/>
      <c r="Z194" s="24" t="n"/>
    </row>
    <row r="195" ht="13.5" customHeight="1" s="88">
      <c r="A195" s="24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  <c r="Q195" s="24" t="n"/>
      <c r="R195" s="24" t="n"/>
      <c r="S195" s="24" t="n"/>
      <c r="T195" s="24" t="n"/>
      <c r="U195" s="24" t="n"/>
      <c r="V195" s="24" t="n"/>
      <c r="W195" s="24" t="n"/>
      <c r="X195" s="24" t="n"/>
      <c r="Y195" s="24" t="n"/>
      <c r="Z195" s="24" t="n"/>
    </row>
    <row r="196" ht="15.75" customHeight="1" s="88"/>
    <row r="197" ht="15.75" customHeight="1" s="88"/>
    <row r="198" ht="15.75" customHeight="1" s="88"/>
    <row r="199" ht="15.75" customHeight="1" s="88"/>
    <row r="200" ht="15.75" customHeight="1" s="88"/>
    <row r="201" ht="15.75" customHeight="1" s="88"/>
    <row r="202" ht="15.75" customHeight="1" s="88"/>
    <row r="203" ht="15.75" customHeight="1" s="88"/>
    <row r="204" ht="15.75" customHeight="1" s="88"/>
    <row r="205" ht="15.75" customHeight="1" s="88"/>
    <row r="206" ht="15.75" customHeight="1" s="88"/>
    <row r="207" ht="15.75" customHeight="1" s="88"/>
    <row r="208" ht="15.75" customHeight="1" s="88"/>
    <row r="209" ht="15.75" customHeight="1" s="88"/>
    <row r="210" ht="15.75" customHeight="1" s="88"/>
    <row r="211" ht="15.75" customHeight="1" s="88"/>
    <row r="212" ht="15.75" customHeight="1" s="88"/>
    <row r="213" ht="15.75" customHeight="1" s="88"/>
    <row r="214" ht="15.75" customHeight="1" s="88"/>
    <row r="215" ht="15.75" customHeight="1" s="88"/>
    <row r="216" ht="15.75" customHeight="1" s="88"/>
    <row r="217" ht="15.75" customHeight="1" s="88"/>
    <row r="218" ht="15.75" customHeight="1" s="88"/>
    <row r="219" ht="15.75" customHeight="1" s="88"/>
    <row r="220" ht="15.75" customHeight="1" s="88"/>
    <row r="221" ht="15.75" customHeight="1" s="88"/>
    <row r="222" ht="15.75" customHeight="1" s="88"/>
    <row r="223" ht="15.75" customHeight="1" s="88"/>
    <row r="224" ht="15.75" customHeight="1" s="88"/>
    <row r="225" ht="15.75" customHeight="1" s="88"/>
    <row r="226" ht="15.75" customHeight="1" s="88"/>
    <row r="227" ht="15.75" customHeight="1" s="88"/>
    <row r="228" ht="15.75" customHeight="1" s="88"/>
    <row r="229" ht="15.75" customHeight="1" s="88"/>
    <row r="230" ht="15.75" customHeight="1" s="88"/>
    <row r="231" ht="15.75" customHeight="1" s="88"/>
    <row r="232" ht="15.75" customHeight="1" s="88"/>
    <row r="233" ht="15.75" customHeight="1" s="88"/>
    <row r="234" ht="15.75" customHeight="1" s="88"/>
    <row r="235" ht="15.75" customHeight="1" s="88"/>
    <row r="236" ht="15.75" customHeight="1" s="88"/>
    <row r="237" ht="15.75" customHeight="1" s="88"/>
    <row r="238" ht="15.75" customHeight="1" s="88"/>
    <row r="239" ht="15.75" customHeight="1" s="88"/>
    <row r="240" ht="15.75" customHeight="1" s="88"/>
    <row r="241" ht="15.75" customHeight="1" s="88"/>
    <row r="242" ht="15.75" customHeight="1" s="88"/>
    <row r="243" ht="15.75" customHeight="1" s="88"/>
    <row r="244" ht="15.75" customHeight="1" s="88"/>
    <row r="245" ht="15.75" customHeight="1" s="88"/>
    <row r="246" ht="15.75" customHeight="1" s="88"/>
    <row r="247" ht="15.75" customHeight="1" s="88"/>
    <row r="248" ht="15.75" customHeight="1" s="88"/>
    <row r="249" ht="15.75" customHeight="1" s="88"/>
    <row r="250" ht="15.75" customHeight="1" s="88"/>
    <row r="251" ht="15.75" customHeight="1" s="88"/>
    <row r="252" ht="15.75" customHeight="1" s="88"/>
    <row r="253" ht="15.75" customHeight="1" s="88"/>
    <row r="254" ht="15.75" customHeight="1" s="88"/>
    <row r="255" ht="15.75" customHeight="1" s="88"/>
    <row r="256" ht="15.75" customHeight="1" s="88"/>
    <row r="257" ht="15.75" customHeight="1" s="88"/>
    <row r="258" ht="15.75" customHeight="1" s="88"/>
    <row r="259" ht="15.75" customHeight="1" s="88"/>
    <row r="260" ht="15.75" customHeight="1" s="88"/>
    <row r="261" ht="15.75" customHeight="1" s="88"/>
    <row r="262" ht="15.75" customHeight="1" s="88"/>
    <row r="263" ht="15.75" customHeight="1" s="88"/>
    <row r="264" ht="15.75" customHeight="1" s="88"/>
    <row r="265" ht="15.75" customHeight="1" s="88"/>
    <row r="266" ht="15.75" customHeight="1" s="88"/>
    <row r="267" ht="15.75" customHeight="1" s="88"/>
    <row r="268" ht="15.75" customHeight="1" s="88"/>
    <row r="269" ht="15.75" customHeight="1" s="88"/>
    <row r="270" ht="15.75" customHeight="1" s="88"/>
    <row r="271" ht="15.75" customHeight="1" s="88"/>
    <row r="272" ht="15.75" customHeight="1" s="88"/>
    <row r="273" ht="15.75" customHeight="1" s="88"/>
    <row r="274" ht="15.75" customHeight="1" s="88"/>
    <row r="275" ht="15.75" customHeight="1" s="88"/>
    <row r="276" ht="15.75" customHeight="1" s="88"/>
    <row r="277" ht="15.75" customHeight="1" s="88"/>
    <row r="278" ht="15.75" customHeight="1" s="88"/>
    <row r="279" ht="15.75" customHeight="1" s="88"/>
    <row r="280" ht="15.75" customHeight="1" s="88"/>
    <row r="281" ht="15.75" customHeight="1" s="88"/>
    <row r="282" ht="15.75" customHeight="1" s="88"/>
    <row r="283" ht="15.75" customHeight="1" s="88"/>
    <row r="284" ht="15.75" customHeight="1" s="88"/>
    <row r="285" ht="15.75" customHeight="1" s="88"/>
    <row r="286" ht="15.75" customHeight="1" s="88"/>
    <row r="287" ht="15.75" customHeight="1" s="88"/>
    <row r="288" ht="15.75" customHeight="1" s="88"/>
    <row r="289" ht="15.75" customHeight="1" s="88"/>
    <row r="290" ht="15.75" customHeight="1" s="88"/>
    <row r="291" ht="15.75" customHeight="1" s="88"/>
    <row r="292" ht="15.75" customHeight="1" s="88"/>
    <row r="293" ht="15.75" customHeight="1" s="88"/>
    <row r="294" ht="15.75" customHeight="1" s="88"/>
    <row r="295" ht="15.75" customHeight="1" s="88"/>
    <row r="296" ht="15.75" customHeight="1" s="88"/>
    <row r="297" ht="15.75" customHeight="1" s="88"/>
    <row r="298" ht="15.75" customHeight="1" s="88"/>
    <row r="299" ht="15.75" customHeight="1" s="88"/>
    <row r="300" ht="15.75" customHeight="1" s="88"/>
    <row r="301" ht="15.75" customHeight="1" s="88"/>
    <row r="302" ht="15.75" customHeight="1" s="88"/>
    <row r="303" ht="15.75" customHeight="1" s="88"/>
    <row r="304" ht="15.75" customHeight="1" s="88"/>
    <row r="305" ht="15.75" customHeight="1" s="88"/>
    <row r="306" ht="15.75" customHeight="1" s="88"/>
    <row r="307" ht="15.75" customHeight="1" s="88"/>
    <row r="308" ht="15.75" customHeight="1" s="88"/>
    <row r="309" ht="15.75" customHeight="1" s="88"/>
    <row r="310" ht="15.75" customHeight="1" s="88"/>
    <row r="311" ht="15.75" customHeight="1" s="88"/>
    <row r="312" ht="15.75" customHeight="1" s="88"/>
    <row r="313" ht="15.75" customHeight="1" s="88"/>
    <row r="314" ht="15.75" customHeight="1" s="88"/>
    <row r="315" ht="15.75" customHeight="1" s="88"/>
    <row r="316" ht="15.75" customHeight="1" s="88"/>
    <row r="317" ht="15.75" customHeight="1" s="88"/>
    <row r="318" ht="15.75" customHeight="1" s="88"/>
    <row r="319" ht="15.75" customHeight="1" s="88"/>
    <row r="320" ht="15.75" customHeight="1" s="88"/>
    <row r="321" ht="15.75" customHeight="1" s="88"/>
    <row r="322" ht="15.75" customHeight="1" s="88"/>
    <row r="323" ht="15.75" customHeight="1" s="88"/>
    <row r="324" ht="15.75" customHeight="1" s="88"/>
    <row r="325" ht="15.75" customHeight="1" s="88"/>
    <row r="326" ht="15.75" customHeight="1" s="88"/>
    <row r="327" ht="15.75" customHeight="1" s="88"/>
    <row r="328" ht="15.75" customHeight="1" s="88"/>
    <row r="329" ht="15.75" customHeight="1" s="88"/>
    <row r="330" ht="15.75" customHeight="1" s="88"/>
    <row r="331" ht="15.75" customHeight="1" s="88"/>
    <row r="332" ht="15.75" customHeight="1" s="88"/>
    <row r="333" ht="15.75" customHeight="1" s="88"/>
    <row r="334" ht="15.75" customHeight="1" s="88"/>
    <row r="335" ht="15.75" customHeight="1" s="88"/>
    <row r="336" ht="15.75" customHeight="1" s="88"/>
    <row r="337" ht="15.75" customHeight="1" s="88"/>
    <row r="338" ht="15.75" customHeight="1" s="88"/>
    <row r="339" ht="15.75" customHeight="1" s="88"/>
    <row r="340" ht="15.75" customHeight="1" s="88"/>
    <row r="341" ht="15.75" customHeight="1" s="88"/>
    <row r="342" ht="15.75" customHeight="1" s="88"/>
    <row r="343" ht="15.75" customHeight="1" s="88"/>
    <row r="344" ht="15.75" customHeight="1" s="88"/>
    <row r="345" ht="15.75" customHeight="1" s="88"/>
    <row r="346" ht="15.75" customHeight="1" s="88"/>
    <row r="347" ht="15.75" customHeight="1" s="88"/>
    <row r="348" ht="15.75" customHeight="1" s="88"/>
    <row r="349" ht="15.75" customHeight="1" s="88"/>
    <row r="350" ht="15.75" customHeight="1" s="88"/>
    <row r="351" ht="15.75" customHeight="1" s="88"/>
    <row r="352" ht="15.75" customHeight="1" s="88"/>
    <row r="353" ht="15.75" customHeight="1" s="88"/>
    <row r="354" ht="15.75" customHeight="1" s="88"/>
    <row r="355" ht="15.75" customHeight="1" s="88"/>
    <row r="356" ht="15.75" customHeight="1" s="88"/>
    <row r="357" ht="15.75" customHeight="1" s="88"/>
    <row r="358" ht="15.75" customHeight="1" s="88"/>
    <row r="359" ht="15.75" customHeight="1" s="88"/>
    <row r="360" ht="15.75" customHeight="1" s="88"/>
    <row r="361" ht="15.75" customHeight="1" s="88"/>
    <row r="362" ht="15.75" customHeight="1" s="88"/>
    <row r="363" ht="15.75" customHeight="1" s="88"/>
    <row r="364" ht="15.75" customHeight="1" s="88"/>
    <row r="365" ht="15.75" customHeight="1" s="88"/>
    <row r="366" ht="15.75" customHeight="1" s="88"/>
    <row r="367" ht="15.75" customHeight="1" s="88"/>
    <row r="368" ht="15.75" customHeight="1" s="88"/>
    <row r="369" ht="15.75" customHeight="1" s="88"/>
    <row r="370" ht="15.75" customHeight="1" s="88"/>
    <row r="371" ht="15.75" customHeight="1" s="88"/>
    <row r="372" ht="15.75" customHeight="1" s="88"/>
    <row r="373" ht="15.75" customHeight="1" s="88"/>
    <row r="374" ht="15.75" customHeight="1" s="88"/>
    <row r="375" ht="15.75" customHeight="1" s="88"/>
    <row r="376" ht="15.75" customHeight="1" s="88"/>
    <row r="377" ht="15.75" customHeight="1" s="88"/>
    <row r="378" ht="15.75" customHeight="1" s="88"/>
    <row r="379" ht="15.75" customHeight="1" s="88"/>
    <row r="380" ht="15.75" customHeight="1" s="88"/>
    <row r="381" ht="15.75" customHeight="1" s="88"/>
    <row r="382" ht="15.75" customHeight="1" s="88"/>
    <row r="383" ht="15.75" customHeight="1" s="88"/>
    <row r="384" ht="15.75" customHeight="1" s="88"/>
    <row r="385" ht="15.75" customHeight="1" s="88"/>
    <row r="386" ht="15.75" customHeight="1" s="88"/>
    <row r="387" ht="15.75" customHeight="1" s="88"/>
    <row r="388" ht="15.75" customHeight="1" s="88"/>
    <row r="389" ht="15.75" customHeight="1" s="88"/>
    <row r="390" ht="15.75" customHeight="1" s="88"/>
    <row r="391" ht="15.75" customHeight="1" s="88"/>
    <row r="392" ht="15.75" customHeight="1" s="88"/>
    <row r="393" ht="15.75" customHeight="1" s="88"/>
    <row r="394" ht="15.75" customHeight="1" s="88"/>
    <row r="395" ht="15.75" customHeight="1" s="88"/>
    <row r="396" ht="15.75" customHeight="1" s="88"/>
    <row r="397" ht="15.75" customHeight="1" s="88"/>
    <row r="398" ht="15.75" customHeight="1" s="88"/>
    <row r="399" ht="15.75" customHeight="1" s="88"/>
    <row r="400" ht="15.75" customHeight="1" s="88"/>
    <row r="401" ht="15.75" customHeight="1" s="88"/>
    <row r="402" ht="15.75" customHeight="1" s="88"/>
    <row r="403" ht="15.75" customHeight="1" s="88"/>
    <row r="404" ht="15.75" customHeight="1" s="88"/>
    <row r="405" ht="15.75" customHeight="1" s="88"/>
    <row r="406" ht="15.75" customHeight="1" s="88"/>
    <row r="407" ht="15.75" customHeight="1" s="88"/>
    <row r="408" ht="15.75" customHeight="1" s="88"/>
    <row r="409" ht="15.75" customHeight="1" s="88"/>
    <row r="410" ht="15.75" customHeight="1" s="88"/>
    <row r="411" ht="15.75" customHeight="1" s="88"/>
    <row r="412" ht="15.75" customHeight="1" s="88"/>
    <row r="413" ht="15.75" customHeight="1" s="88"/>
    <row r="414" ht="15.75" customHeight="1" s="88"/>
    <row r="415" ht="15.75" customHeight="1" s="88"/>
    <row r="416" ht="15.75" customHeight="1" s="88"/>
    <row r="417" ht="15.75" customHeight="1" s="88"/>
    <row r="418" ht="15.75" customHeight="1" s="88"/>
    <row r="419" ht="15.75" customHeight="1" s="88"/>
    <row r="420" ht="15.75" customHeight="1" s="88"/>
    <row r="421" ht="15.75" customHeight="1" s="88"/>
    <row r="422" ht="15.75" customHeight="1" s="88"/>
    <row r="423" ht="15.75" customHeight="1" s="88"/>
    <row r="424" ht="15.75" customHeight="1" s="88"/>
    <row r="425" ht="15.75" customHeight="1" s="88"/>
    <row r="426" ht="15.75" customHeight="1" s="88"/>
    <row r="427" ht="15.75" customHeight="1" s="88"/>
    <row r="428" ht="15.75" customHeight="1" s="88"/>
    <row r="429" ht="15.75" customHeight="1" s="88"/>
    <row r="430" ht="15.75" customHeight="1" s="88"/>
    <row r="431" ht="15.75" customHeight="1" s="88"/>
    <row r="432" ht="15.75" customHeight="1" s="88"/>
    <row r="433" ht="15.75" customHeight="1" s="88"/>
    <row r="434" ht="15.75" customHeight="1" s="88"/>
    <row r="435" ht="15.75" customHeight="1" s="88"/>
    <row r="436" ht="15.75" customHeight="1" s="88"/>
    <row r="437" ht="15.75" customHeight="1" s="88"/>
    <row r="438" ht="15.75" customHeight="1" s="88"/>
    <row r="439" ht="15.75" customHeight="1" s="88"/>
    <row r="440" ht="15.75" customHeight="1" s="88"/>
    <row r="441" ht="15.75" customHeight="1" s="88"/>
    <row r="442" ht="15.75" customHeight="1" s="88"/>
    <row r="443" ht="15.75" customHeight="1" s="88"/>
    <row r="444" ht="15.75" customHeight="1" s="88"/>
    <row r="445" ht="15.75" customHeight="1" s="88"/>
    <row r="446" ht="15.75" customHeight="1" s="88"/>
    <row r="447" ht="15.75" customHeight="1" s="88"/>
    <row r="448" ht="15.75" customHeight="1" s="88"/>
    <row r="449" ht="15.75" customHeight="1" s="88"/>
    <row r="450" ht="15.75" customHeight="1" s="88"/>
    <row r="451" ht="15.75" customHeight="1" s="88"/>
    <row r="452" ht="15.75" customHeight="1" s="88"/>
    <row r="453" ht="15.75" customHeight="1" s="88"/>
    <row r="454" ht="15.75" customHeight="1" s="88"/>
    <row r="455" ht="15.75" customHeight="1" s="88"/>
    <row r="456" ht="15.75" customHeight="1" s="88"/>
    <row r="457" ht="15.75" customHeight="1" s="88"/>
    <row r="458" ht="15.75" customHeight="1" s="88"/>
    <row r="459" ht="15.75" customHeight="1" s="88"/>
    <row r="460" ht="15.75" customHeight="1" s="88"/>
    <row r="461" ht="15.75" customHeight="1" s="88"/>
    <row r="462" ht="15.75" customHeight="1" s="88"/>
    <row r="463" ht="15.75" customHeight="1" s="88"/>
    <row r="464" ht="15.75" customHeight="1" s="88"/>
    <row r="465" ht="15.75" customHeight="1" s="88"/>
    <row r="466" ht="15.75" customHeight="1" s="88"/>
    <row r="467" ht="15.75" customHeight="1" s="88"/>
    <row r="468" ht="15.75" customHeight="1" s="88"/>
    <row r="469" ht="15.75" customHeight="1" s="88"/>
    <row r="470" ht="15.75" customHeight="1" s="88"/>
    <row r="471" ht="15.75" customHeight="1" s="88"/>
    <row r="472" ht="15.75" customHeight="1" s="88"/>
    <row r="473" ht="15.75" customHeight="1" s="88"/>
    <row r="474" ht="15.75" customHeight="1" s="88"/>
    <row r="475" ht="15.75" customHeight="1" s="88"/>
    <row r="476" ht="15.75" customHeight="1" s="88"/>
    <row r="477" ht="15.75" customHeight="1" s="88"/>
    <row r="478" ht="15.75" customHeight="1" s="88"/>
    <row r="479" ht="15.75" customHeight="1" s="88"/>
    <row r="480" ht="15.75" customHeight="1" s="88"/>
    <row r="481" ht="15.75" customHeight="1" s="88"/>
    <row r="482" ht="15.75" customHeight="1" s="88"/>
    <row r="483" ht="15.75" customHeight="1" s="88"/>
    <row r="484" ht="15.75" customHeight="1" s="88"/>
    <row r="485" ht="15.75" customHeight="1" s="88"/>
    <row r="486" ht="15.75" customHeight="1" s="88"/>
    <row r="487" ht="15.75" customHeight="1" s="88"/>
    <row r="488" ht="15.75" customHeight="1" s="88"/>
    <row r="489" ht="15.75" customHeight="1" s="88"/>
    <row r="490" ht="15.75" customHeight="1" s="88"/>
    <row r="491" ht="15.75" customHeight="1" s="88"/>
    <row r="492" ht="15.75" customHeight="1" s="88"/>
    <row r="493" ht="15.75" customHeight="1" s="88"/>
    <row r="494" ht="15.75" customHeight="1" s="88"/>
    <row r="495" ht="15.75" customHeight="1" s="88"/>
    <row r="496" ht="15.75" customHeight="1" s="88"/>
    <row r="497" ht="15.75" customHeight="1" s="88"/>
    <row r="498" ht="15.75" customHeight="1" s="88"/>
    <row r="499" ht="15.75" customHeight="1" s="88"/>
    <row r="500" ht="15.75" customHeight="1" s="88"/>
    <row r="501" ht="15.75" customHeight="1" s="88"/>
    <row r="502" ht="15.75" customHeight="1" s="88"/>
    <row r="503" ht="15.75" customHeight="1" s="88"/>
    <row r="504" ht="15.75" customHeight="1" s="88"/>
    <row r="505" ht="15.75" customHeight="1" s="88"/>
    <row r="506" ht="15.75" customHeight="1" s="88"/>
    <row r="507" ht="15.75" customHeight="1" s="88"/>
    <row r="508" ht="15.75" customHeight="1" s="88"/>
    <row r="509" ht="15.75" customHeight="1" s="88"/>
    <row r="510" ht="15.75" customHeight="1" s="88"/>
    <row r="511" ht="15.75" customHeight="1" s="88"/>
    <row r="512" ht="15.75" customHeight="1" s="88"/>
    <row r="513" ht="15.75" customHeight="1" s="88"/>
    <row r="514" ht="15.75" customHeight="1" s="88"/>
    <row r="515" ht="15.75" customHeight="1" s="88"/>
    <row r="516" ht="15.75" customHeight="1" s="88"/>
    <row r="517" ht="15.75" customHeight="1" s="88"/>
    <row r="518" ht="15.75" customHeight="1" s="88"/>
    <row r="519" ht="15.75" customHeight="1" s="88"/>
    <row r="520" ht="15.75" customHeight="1" s="88"/>
    <row r="521" ht="15.75" customHeight="1" s="88"/>
    <row r="522" ht="15.75" customHeight="1" s="88"/>
    <row r="523" ht="15.75" customHeight="1" s="88"/>
    <row r="524" ht="15.75" customHeight="1" s="88"/>
    <row r="525" ht="15.75" customHeight="1" s="88"/>
    <row r="526" ht="15.75" customHeight="1" s="88"/>
    <row r="527" ht="15.75" customHeight="1" s="88"/>
    <row r="528" ht="15.75" customHeight="1" s="88"/>
    <row r="529" ht="15.75" customHeight="1" s="88"/>
    <row r="530" ht="15.75" customHeight="1" s="88"/>
    <row r="531" ht="15.75" customHeight="1" s="88"/>
    <row r="532" ht="15.75" customHeight="1" s="88"/>
    <row r="533" ht="15.75" customHeight="1" s="88"/>
    <row r="534" ht="15.75" customHeight="1" s="88"/>
    <row r="535" ht="15.75" customHeight="1" s="88"/>
    <row r="536" ht="15.75" customHeight="1" s="88"/>
    <row r="537" ht="15.75" customHeight="1" s="88"/>
    <row r="538" ht="15.75" customHeight="1" s="88"/>
    <row r="539" ht="15.75" customHeight="1" s="88"/>
    <row r="540" ht="15.75" customHeight="1" s="88"/>
    <row r="541" ht="15.75" customHeight="1" s="88"/>
    <row r="542" ht="15.75" customHeight="1" s="88"/>
    <row r="543" ht="15.75" customHeight="1" s="88"/>
    <row r="544" ht="15.75" customHeight="1" s="88"/>
    <row r="545" ht="15.75" customHeight="1" s="88"/>
    <row r="546" ht="15.75" customHeight="1" s="88"/>
    <row r="547" ht="15.75" customHeight="1" s="88"/>
    <row r="548" ht="15.75" customHeight="1" s="88"/>
    <row r="549" ht="15.75" customHeight="1" s="88"/>
    <row r="550" ht="15.75" customHeight="1" s="88"/>
    <row r="551" ht="15.75" customHeight="1" s="88"/>
    <row r="552" ht="15.75" customHeight="1" s="88"/>
    <row r="553" ht="15.75" customHeight="1" s="88"/>
    <row r="554" ht="15.75" customHeight="1" s="88"/>
    <row r="555" ht="15.75" customHeight="1" s="88"/>
    <row r="556" ht="15.75" customHeight="1" s="88"/>
    <row r="557" ht="15.75" customHeight="1" s="88"/>
    <row r="558" ht="15.75" customHeight="1" s="88"/>
    <row r="559" ht="15.75" customHeight="1" s="88"/>
    <row r="560" ht="15.75" customHeight="1" s="88"/>
    <row r="561" ht="15.75" customHeight="1" s="88"/>
    <row r="562" ht="15.75" customHeight="1" s="88"/>
    <row r="563" ht="15.75" customHeight="1" s="88"/>
    <row r="564" ht="15.75" customHeight="1" s="88"/>
    <row r="565" ht="15.75" customHeight="1" s="88"/>
    <row r="566" ht="15.75" customHeight="1" s="88"/>
    <row r="567" ht="15.75" customHeight="1" s="88"/>
    <row r="568" ht="15.75" customHeight="1" s="88"/>
    <row r="569" ht="15.75" customHeight="1" s="88"/>
    <row r="570" ht="15.75" customHeight="1" s="88"/>
    <row r="571" ht="15.75" customHeight="1" s="88"/>
    <row r="572" ht="15.75" customHeight="1" s="88"/>
    <row r="573" ht="15.75" customHeight="1" s="88"/>
    <row r="574" ht="15.75" customHeight="1" s="88"/>
    <row r="575" ht="15.75" customHeight="1" s="88"/>
    <row r="576" ht="15.75" customHeight="1" s="88"/>
    <row r="577" ht="15.75" customHeight="1" s="88"/>
    <row r="578" ht="15.75" customHeight="1" s="88"/>
    <row r="579" ht="15.75" customHeight="1" s="88"/>
    <row r="580" ht="15.75" customHeight="1" s="88"/>
    <row r="581" ht="15.75" customHeight="1" s="88"/>
    <row r="582" ht="15.75" customHeight="1" s="88"/>
    <row r="583" ht="15.75" customHeight="1" s="88"/>
    <row r="584" ht="15.75" customHeight="1" s="88"/>
    <row r="585" ht="15.75" customHeight="1" s="88"/>
    <row r="586" ht="15.75" customHeight="1" s="88"/>
    <row r="587" ht="15.75" customHeight="1" s="88"/>
    <row r="588" ht="15.75" customHeight="1" s="88"/>
    <row r="589" ht="15.75" customHeight="1" s="88"/>
    <row r="590" ht="15.75" customHeight="1" s="88"/>
    <row r="591" ht="15.75" customHeight="1" s="88"/>
    <row r="592" ht="15.75" customHeight="1" s="88"/>
    <row r="593" ht="15.75" customHeight="1" s="88"/>
    <row r="594" ht="15.75" customHeight="1" s="88"/>
    <row r="595" ht="15.75" customHeight="1" s="88"/>
    <row r="596" ht="15.75" customHeight="1" s="88"/>
    <row r="597" ht="15.75" customHeight="1" s="88"/>
    <row r="598" ht="15.75" customHeight="1" s="88"/>
    <row r="599" ht="15.75" customHeight="1" s="88"/>
    <row r="600" ht="15.75" customHeight="1" s="88"/>
    <row r="601" ht="15.75" customHeight="1" s="88"/>
    <row r="602" ht="15.75" customHeight="1" s="88"/>
    <row r="603" ht="15.75" customHeight="1" s="88"/>
    <row r="604" ht="15.75" customHeight="1" s="88"/>
    <row r="605" ht="15.75" customHeight="1" s="88"/>
    <row r="606" ht="15.75" customHeight="1" s="88"/>
    <row r="607" ht="15.75" customHeight="1" s="88"/>
    <row r="608" ht="15.75" customHeight="1" s="88"/>
    <row r="609" ht="15.75" customHeight="1" s="88"/>
    <row r="610" ht="15.75" customHeight="1" s="88"/>
    <row r="611" ht="15.75" customHeight="1" s="88"/>
    <row r="612" ht="15.75" customHeight="1" s="88"/>
    <row r="613" ht="15.75" customHeight="1" s="88"/>
    <row r="614" ht="15.75" customHeight="1" s="88"/>
    <row r="615" ht="15.75" customHeight="1" s="88"/>
    <row r="616" ht="15.75" customHeight="1" s="88"/>
    <row r="617" ht="15.75" customHeight="1" s="88"/>
    <row r="618" ht="15.75" customHeight="1" s="88"/>
    <row r="619" ht="15.75" customHeight="1" s="88"/>
    <row r="620" ht="15.75" customHeight="1" s="88"/>
    <row r="621" ht="15.75" customHeight="1" s="88"/>
    <row r="622" ht="15.75" customHeight="1" s="88"/>
    <row r="623" ht="15.75" customHeight="1" s="88"/>
    <row r="624" ht="15.75" customHeight="1" s="88"/>
    <row r="625" ht="15.75" customHeight="1" s="88"/>
    <row r="626" ht="15.75" customHeight="1" s="88"/>
    <row r="627" ht="15.75" customHeight="1" s="88"/>
    <row r="628" ht="15.75" customHeight="1" s="88"/>
    <row r="629" ht="15.75" customHeight="1" s="88"/>
    <row r="630" ht="15.75" customHeight="1" s="88"/>
    <row r="631" ht="15.75" customHeight="1" s="88"/>
    <row r="632" ht="15.75" customHeight="1" s="88"/>
    <row r="633" ht="15.75" customHeight="1" s="88"/>
    <row r="634" ht="15.75" customHeight="1" s="88"/>
    <row r="635" ht="15.75" customHeight="1" s="88"/>
    <row r="636" ht="15.75" customHeight="1" s="88"/>
    <row r="637" ht="15.75" customHeight="1" s="88"/>
    <row r="638" ht="15.75" customHeight="1" s="88"/>
    <row r="639" ht="15.75" customHeight="1" s="88"/>
    <row r="640" ht="15.75" customHeight="1" s="88"/>
    <row r="641" ht="15.75" customHeight="1" s="88"/>
    <row r="642" ht="15.75" customHeight="1" s="88"/>
    <row r="643" ht="15.75" customHeight="1" s="88"/>
    <row r="644" ht="15.75" customHeight="1" s="88"/>
    <row r="645" ht="15.75" customHeight="1" s="88"/>
    <row r="646" ht="15.75" customHeight="1" s="88"/>
    <row r="647" ht="15.75" customHeight="1" s="88"/>
    <row r="648" ht="15.75" customHeight="1" s="88"/>
    <row r="649" ht="15.75" customHeight="1" s="88"/>
    <row r="650" ht="15.75" customHeight="1" s="88"/>
    <row r="651" ht="15.75" customHeight="1" s="88"/>
    <row r="652" ht="15.75" customHeight="1" s="88"/>
    <row r="653" ht="15.75" customHeight="1" s="88"/>
    <row r="654" ht="15.75" customHeight="1" s="88"/>
    <row r="655" ht="15.75" customHeight="1" s="88"/>
    <row r="656" ht="15.75" customHeight="1" s="88"/>
    <row r="657" ht="15.75" customHeight="1" s="88"/>
    <row r="658" ht="15.75" customHeight="1" s="88"/>
    <row r="659" ht="15.75" customHeight="1" s="88"/>
    <row r="660" ht="15.75" customHeight="1" s="88"/>
    <row r="661" ht="15.75" customHeight="1" s="88"/>
    <row r="662" ht="15.75" customHeight="1" s="88"/>
    <row r="663" ht="15.75" customHeight="1" s="88"/>
    <row r="664" ht="15.75" customHeight="1" s="88"/>
    <row r="665" ht="15.75" customHeight="1" s="88"/>
    <row r="666" ht="15.75" customHeight="1" s="88"/>
    <row r="667" ht="15.75" customHeight="1" s="88"/>
    <row r="668" ht="15.75" customHeight="1" s="88"/>
    <row r="669" ht="15.75" customHeight="1" s="88"/>
    <row r="670" ht="15.75" customHeight="1" s="88"/>
    <row r="671" ht="15.75" customHeight="1" s="88"/>
    <row r="672" ht="15.75" customHeight="1" s="88"/>
    <row r="673" ht="15.75" customHeight="1" s="88"/>
    <row r="674" ht="15.75" customHeight="1" s="88"/>
    <row r="675" ht="15.75" customHeight="1" s="88"/>
    <row r="676" ht="15.75" customHeight="1" s="88"/>
    <row r="677" ht="15.75" customHeight="1" s="88"/>
    <row r="678" ht="15.75" customHeight="1" s="88"/>
    <row r="679" ht="15.75" customHeight="1" s="88"/>
    <row r="680" ht="15.75" customHeight="1" s="88"/>
    <row r="681" ht="15.75" customHeight="1" s="88"/>
    <row r="682" ht="15.75" customHeight="1" s="88"/>
    <row r="683" ht="15.75" customHeight="1" s="88"/>
    <row r="684" ht="15.75" customHeight="1" s="88"/>
    <row r="685" ht="15.75" customHeight="1" s="88"/>
    <row r="686" ht="15.75" customHeight="1" s="88"/>
    <row r="687" ht="15.75" customHeight="1" s="88"/>
    <row r="688" ht="15.75" customHeight="1" s="88"/>
    <row r="689" ht="15.75" customHeight="1" s="88"/>
    <row r="690" ht="15.75" customHeight="1" s="88"/>
    <row r="691" ht="15.75" customHeight="1" s="88"/>
    <row r="692" ht="15.75" customHeight="1" s="88"/>
    <row r="693" ht="15.75" customHeight="1" s="88"/>
    <row r="694" ht="15.75" customHeight="1" s="88"/>
    <row r="695" ht="15.75" customHeight="1" s="88"/>
    <row r="696" ht="15.75" customHeight="1" s="88"/>
    <row r="697" ht="15.75" customHeight="1" s="88"/>
    <row r="698" ht="15.75" customHeight="1" s="88"/>
    <row r="699" ht="15.75" customHeight="1" s="88"/>
    <row r="700" ht="15.75" customHeight="1" s="88"/>
    <row r="701" ht="15.75" customHeight="1" s="88"/>
    <row r="702" ht="15.75" customHeight="1" s="88"/>
    <row r="703" ht="15.75" customHeight="1" s="88"/>
    <row r="704" ht="15.75" customHeight="1" s="88"/>
    <row r="705" ht="15.75" customHeight="1" s="88"/>
    <row r="706" ht="15.75" customHeight="1" s="88"/>
    <row r="707" ht="15.75" customHeight="1" s="88"/>
    <row r="708" ht="15.75" customHeight="1" s="88"/>
    <row r="709" ht="15.75" customHeight="1" s="88"/>
    <row r="710" ht="15.75" customHeight="1" s="88"/>
    <row r="711" ht="15.75" customHeight="1" s="88"/>
    <row r="712" ht="15.75" customHeight="1" s="88"/>
    <row r="713" ht="15.75" customHeight="1" s="88"/>
    <row r="714" ht="15.75" customHeight="1" s="88"/>
    <row r="715" ht="15.75" customHeight="1" s="88"/>
    <row r="716" ht="15.75" customHeight="1" s="88"/>
    <row r="717" ht="15.75" customHeight="1" s="88"/>
    <row r="718" ht="15.75" customHeight="1" s="88"/>
    <row r="719" ht="15.75" customHeight="1" s="88"/>
    <row r="720" ht="15.75" customHeight="1" s="88"/>
    <row r="721" ht="15.75" customHeight="1" s="88"/>
    <row r="722" ht="15.75" customHeight="1" s="88"/>
    <row r="723" ht="15.75" customHeight="1" s="88"/>
    <row r="724" ht="15.75" customHeight="1" s="88"/>
    <row r="725" ht="15.75" customHeight="1" s="88"/>
    <row r="726" ht="15.75" customHeight="1" s="88"/>
    <row r="727" ht="15.75" customHeight="1" s="88"/>
    <row r="728" ht="15.75" customHeight="1" s="88"/>
    <row r="729" ht="15.75" customHeight="1" s="88"/>
    <row r="730" ht="15.75" customHeight="1" s="88"/>
    <row r="731" ht="15.75" customHeight="1" s="88"/>
    <row r="732" ht="15.75" customHeight="1" s="88"/>
    <row r="733" ht="15.75" customHeight="1" s="88"/>
    <row r="734" ht="15.75" customHeight="1" s="88"/>
    <row r="735" ht="15.75" customHeight="1" s="88"/>
    <row r="736" ht="15.75" customHeight="1" s="88"/>
    <row r="737" ht="15.75" customHeight="1" s="88"/>
    <row r="738" ht="15.75" customHeight="1" s="88"/>
    <row r="739" ht="15.75" customHeight="1" s="88"/>
    <row r="740" ht="15.75" customHeight="1" s="88"/>
    <row r="741" ht="15.75" customHeight="1" s="88"/>
    <row r="742" ht="15.75" customHeight="1" s="88"/>
    <row r="743" ht="15.75" customHeight="1" s="88"/>
    <row r="744" ht="15.75" customHeight="1" s="88"/>
    <row r="745" ht="15.75" customHeight="1" s="88"/>
    <row r="746" ht="15.75" customHeight="1" s="88"/>
    <row r="747" ht="15.75" customHeight="1" s="88"/>
    <row r="748" ht="15.75" customHeight="1" s="88"/>
    <row r="749" ht="15.75" customHeight="1" s="88"/>
    <row r="750" ht="15.75" customHeight="1" s="88"/>
    <row r="751" ht="15.75" customHeight="1" s="88"/>
    <row r="752" ht="15.75" customHeight="1" s="88"/>
    <row r="753" ht="15.75" customHeight="1" s="88"/>
    <row r="754" ht="15.75" customHeight="1" s="88"/>
    <row r="755" ht="15.75" customHeight="1" s="88"/>
    <row r="756" ht="15.75" customHeight="1" s="88"/>
    <row r="757" ht="15.75" customHeight="1" s="88"/>
    <row r="758" ht="15.75" customHeight="1" s="88"/>
    <row r="759" ht="15.75" customHeight="1" s="88"/>
    <row r="760" ht="15.75" customHeight="1" s="88"/>
    <row r="761" ht="15.75" customHeight="1" s="88"/>
    <row r="762" ht="15.75" customHeight="1" s="88"/>
    <row r="763" ht="15.75" customHeight="1" s="88"/>
    <row r="764" ht="15.75" customHeight="1" s="88"/>
    <row r="765" ht="15.75" customHeight="1" s="88"/>
    <row r="766" ht="15.75" customHeight="1" s="88"/>
    <row r="767" ht="15.75" customHeight="1" s="88"/>
    <row r="768" ht="15.75" customHeight="1" s="88"/>
    <row r="769" ht="15.75" customHeight="1" s="88"/>
    <row r="770" ht="15.75" customHeight="1" s="88"/>
    <row r="771" ht="15.75" customHeight="1" s="88"/>
    <row r="772" ht="15.75" customHeight="1" s="88"/>
    <row r="773" ht="15.75" customHeight="1" s="88"/>
    <row r="774" ht="15.75" customHeight="1" s="88"/>
    <row r="775" ht="15.75" customHeight="1" s="88"/>
    <row r="776" ht="15.75" customHeight="1" s="88"/>
    <row r="777" ht="15.75" customHeight="1" s="88"/>
    <row r="778" ht="15.75" customHeight="1" s="88"/>
    <row r="779" ht="15.75" customHeight="1" s="88"/>
    <row r="780" ht="15.75" customHeight="1" s="88"/>
    <row r="781" ht="15.75" customHeight="1" s="88"/>
    <row r="782" ht="15.75" customHeight="1" s="88"/>
    <row r="783" ht="15.75" customHeight="1" s="88"/>
    <row r="784" ht="15.75" customHeight="1" s="88"/>
    <row r="785" ht="15.75" customHeight="1" s="88"/>
    <row r="786" ht="15.75" customHeight="1" s="88"/>
    <row r="787" ht="15.75" customHeight="1" s="88"/>
    <row r="788" ht="15.75" customHeight="1" s="88"/>
    <row r="789" ht="15.75" customHeight="1" s="88"/>
    <row r="790" ht="15.75" customHeight="1" s="88"/>
    <row r="791" ht="15.75" customHeight="1" s="88"/>
    <row r="792" ht="15.75" customHeight="1" s="88"/>
    <row r="793" ht="15.75" customHeight="1" s="88"/>
    <row r="794" ht="15.75" customHeight="1" s="88"/>
    <row r="795" ht="15.75" customHeight="1" s="88"/>
    <row r="796" ht="15.75" customHeight="1" s="88"/>
    <row r="797" ht="15.75" customHeight="1" s="88"/>
    <row r="798" ht="15.75" customHeight="1" s="88"/>
    <row r="799" ht="15.75" customHeight="1" s="88"/>
    <row r="800" ht="15.75" customHeight="1" s="88"/>
    <row r="801" ht="15.75" customHeight="1" s="88"/>
    <row r="802" ht="15.75" customHeight="1" s="88"/>
    <row r="803" ht="15.75" customHeight="1" s="88"/>
    <row r="804" ht="15.75" customHeight="1" s="88"/>
    <row r="805" ht="15.75" customHeight="1" s="88"/>
    <row r="806" ht="15.75" customHeight="1" s="88"/>
    <row r="807" ht="15.75" customHeight="1" s="88"/>
    <row r="808" ht="15.75" customHeight="1" s="88"/>
    <row r="809" ht="15.75" customHeight="1" s="88"/>
    <row r="810" ht="15.75" customHeight="1" s="88"/>
    <row r="811" ht="15.75" customHeight="1" s="88"/>
    <row r="812" ht="15.75" customHeight="1" s="88"/>
    <row r="813" ht="15.75" customHeight="1" s="88"/>
    <row r="814" ht="15.75" customHeight="1" s="88"/>
    <row r="815" ht="15.75" customHeight="1" s="88"/>
  </sheetData>
  <autoFilter ref="A2:E32"/>
  <mergeCells count="1">
    <mergeCell ref="A1:E1"/>
  </mergeCells>
  <conditionalFormatting sqref="E3:E32">
    <cfRule type="cellIs" priority="1" operator="equal" dxfId="2">
      <formula>"Y"</formula>
    </cfRule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5"/>
  <sheetViews>
    <sheetView tabSelected="1" topLeftCell="A31" workbookViewId="0">
      <selection activeCell="A41" sqref="A41:O44"/>
    </sheetView>
  </sheetViews>
  <sheetFormatPr baseColWidth="8" defaultColWidth="12.59765625" defaultRowHeight="15" customHeight="1"/>
  <cols>
    <col width="5.69921875" customWidth="1" style="88" min="1" max="1"/>
    <col width="13.5" customWidth="1" style="88" min="2" max="2"/>
    <col width="27.8984375" customWidth="1" style="88" min="3" max="3"/>
    <col width="14.3984375" customWidth="1" style="88" min="4" max="4"/>
    <col width="12.19921875" customWidth="1" style="88" min="5" max="13"/>
    <col width="8" customWidth="1" style="88" min="14" max="15"/>
    <col width="7.69921875" customWidth="1" style="88" min="16" max="25"/>
    <col width="12.69921875" customWidth="1" style="88" min="26" max="26"/>
  </cols>
  <sheetData>
    <row r="1" ht="19.5" customHeight="1" s="88">
      <c r="A1" s="101">
        <f>'CO-PO Mapping'!A1:P1</f>
        <v/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</row>
    <row r="2" ht="19.5" customHeight="1" s="88">
      <c r="A2" s="101" t="inlineStr">
        <is>
          <t>Course Outcome Attainment Sheet (Sessional)</t>
        </is>
      </c>
      <c r="B2" s="123" t="n"/>
      <c r="C2" s="123" t="n"/>
      <c r="D2" s="123" t="n"/>
      <c r="E2" s="123" t="n"/>
      <c r="F2" s="123" t="n"/>
      <c r="G2" s="123" t="n"/>
      <c r="H2" s="123" t="n"/>
      <c r="I2" s="123" t="n"/>
      <c r="J2" s="123" t="n"/>
      <c r="K2" s="123" t="n"/>
      <c r="L2" s="123" t="n"/>
      <c r="M2" s="123" t="n"/>
      <c r="N2" s="123" t="n"/>
      <c r="O2" s="123" t="n"/>
    </row>
    <row r="3" ht="19.5" customHeight="1" s="88">
      <c r="A3" s="101">
        <f>'CO-PO Mapping'!A3:P3</f>
        <v/>
      </c>
      <c r="B3" s="123" t="n"/>
      <c r="C3" s="123" t="n"/>
      <c r="D3" s="123" t="n"/>
      <c r="E3" s="123" t="n"/>
      <c r="F3" s="123" t="n"/>
      <c r="G3" s="123" t="n"/>
      <c r="H3" s="123" t="n"/>
      <c r="I3" s="123" t="n"/>
      <c r="J3" s="123" t="n"/>
      <c r="K3" s="123" t="n"/>
      <c r="L3" s="123" t="n"/>
      <c r="M3" s="123" t="n"/>
      <c r="N3" s="123" t="n"/>
      <c r="O3" s="123" t="n"/>
    </row>
    <row r="4" ht="19.5" customHeight="1" s="88">
      <c r="A4" s="101">
        <f>'CO-PO Mapping'!A4:P4</f>
        <v/>
      </c>
      <c r="B4" s="123" t="n"/>
      <c r="C4" s="123" t="n"/>
      <c r="D4" s="123" t="n"/>
      <c r="E4" s="123" t="n"/>
      <c r="F4" s="123" t="n"/>
      <c r="G4" s="123" t="n"/>
      <c r="H4" s="123" t="n"/>
      <c r="I4" s="123" t="n"/>
      <c r="J4" s="123" t="n"/>
      <c r="K4" s="123" t="n"/>
      <c r="L4" s="123" t="n"/>
      <c r="M4" s="123" t="n"/>
      <c r="N4" s="123" t="n"/>
      <c r="O4" s="123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</row>
    <row r="5" ht="19.5" customHeight="1" s="88">
      <c r="A5" s="15" t="inlineStr">
        <is>
          <t>S.NO.</t>
        </is>
      </c>
      <c r="B5" s="12" t="inlineStr">
        <is>
          <t>RTU ROLL NUMBER</t>
        </is>
      </c>
      <c r="C5" s="15" t="inlineStr">
        <is>
          <t>NAME OF STUDENT</t>
        </is>
      </c>
      <c r="D5" s="15" t="inlineStr">
        <is>
          <t>CO23CS201.1</t>
        </is>
      </c>
      <c r="E5" s="15" t="inlineStr">
        <is>
          <t>CO23CS201.2</t>
        </is>
      </c>
      <c r="F5" s="15" t="inlineStr">
        <is>
          <t>CO23CS201.3</t>
        </is>
      </c>
      <c r="G5" s="15" t="inlineStr">
        <is>
          <t>CO23CS201.4</t>
        </is>
      </c>
      <c r="H5" s="15" t="inlineStr">
        <is>
          <t>CO23CS201.5</t>
        </is>
      </c>
      <c r="I5" s="15" t="inlineStr">
        <is>
          <t>Course Attainment with Target in %</t>
        </is>
      </c>
      <c r="J5" s="123" t="n"/>
      <c r="K5" s="123" t="n"/>
      <c r="L5" s="123" t="n"/>
      <c r="M5" s="124" t="n"/>
      <c r="N5" s="15" t="inlineStr">
        <is>
          <t>TOTAL</t>
        </is>
      </c>
      <c r="O5" s="15" t="inlineStr">
        <is>
          <t>TOTAL</t>
        </is>
      </c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</row>
    <row r="6" ht="19.5" customHeight="1" s="88">
      <c r="A6" s="134" t="n"/>
      <c r="B6" s="134" t="n"/>
      <c r="C6" s="15" t="inlineStr">
        <is>
          <t>CO MAPPED</t>
        </is>
      </c>
      <c r="D6" s="125" t="n"/>
      <c r="E6" s="125" t="n"/>
      <c r="F6" s="125" t="n"/>
      <c r="G6" s="125" t="n"/>
      <c r="H6" s="125" t="n"/>
      <c r="I6" s="15" t="inlineStr">
        <is>
          <t>CO23CS201.1</t>
        </is>
      </c>
      <c r="J6" s="15" t="inlineStr">
        <is>
          <t>CO23CS201.2</t>
        </is>
      </c>
      <c r="K6" s="15" t="inlineStr">
        <is>
          <t>CO23CS201.3</t>
        </is>
      </c>
      <c r="L6" s="15" t="inlineStr">
        <is>
          <t>CO23CS201.4</t>
        </is>
      </c>
      <c r="M6" s="15" t="inlineStr">
        <is>
          <t>CO23CS201.5</t>
        </is>
      </c>
      <c r="N6" s="134" t="n"/>
      <c r="O6" s="134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9.5" customHeight="1" s="88">
      <c r="A7" s="134" t="n"/>
      <c r="B7" s="134" t="n"/>
      <c r="C7" s="15" t="n"/>
      <c r="D7" s="15" t="inlineStr">
        <is>
          <t>TOTAL</t>
        </is>
      </c>
      <c r="E7" s="15" t="inlineStr">
        <is>
          <t>TOTAL</t>
        </is>
      </c>
      <c r="F7" s="15" t="inlineStr">
        <is>
          <t>TOTAL</t>
        </is>
      </c>
      <c r="G7" s="15" t="inlineStr">
        <is>
          <t>TOTAL</t>
        </is>
      </c>
      <c r="H7" s="15" t="inlineStr">
        <is>
          <t>TOTAL</t>
        </is>
      </c>
      <c r="I7" s="125" t="n"/>
      <c r="J7" s="125" t="n"/>
      <c r="K7" s="125" t="n"/>
      <c r="L7" s="125" t="n"/>
      <c r="M7" s="125" t="n"/>
      <c r="N7" s="125" t="n"/>
      <c r="O7" s="125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9.5" customHeight="1" s="88">
      <c r="A8" s="125" t="n"/>
      <c r="B8" s="125" t="n"/>
      <c r="C8" s="15" t="inlineStr">
        <is>
          <t>MAX MARKS</t>
        </is>
      </c>
      <c r="D8" s="15">
        <f>'MID Term 1'!D6+'MID Term 2'!D6</f>
        <v/>
      </c>
      <c r="E8" s="15">
        <f>'MID Term 1'!H6+'MID Term 2'!E6</f>
        <v/>
      </c>
      <c r="F8" s="15">
        <f>'MID Term 1'!L6+'MID Term 2'!F6</f>
        <v/>
      </c>
      <c r="G8" s="15">
        <f>'MID Term 1'!P6+'MID Term 2'!J6</f>
        <v/>
      </c>
      <c r="H8" s="15">
        <f>'MID Term 1'!Q6+'MID Term 2'!N6</f>
        <v/>
      </c>
      <c r="I8" s="19" t="n">
        <v>0.75</v>
      </c>
      <c r="J8" s="19" t="n">
        <v>0.75</v>
      </c>
      <c r="K8" s="19" t="n">
        <v>0.75</v>
      </c>
      <c r="L8" s="19" t="n">
        <v>0.75</v>
      </c>
      <c r="M8" s="19" t="n">
        <v>0.75</v>
      </c>
      <c r="N8" s="15">
        <f>SUM(D8:H8)</f>
        <v/>
      </c>
      <c r="O8" s="15">
        <f>ROUND(N8/2,0)</f>
        <v/>
      </c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9.5" customHeight="1" s="88">
      <c r="A9" s="15" t="inlineStr">
        <is>
          <t>Set Target Level</t>
        </is>
      </c>
      <c r="B9" s="123" t="n"/>
      <c r="C9" s="124" t="n"/>
      <c r="D9" s="19" t="n">
        <v>0.75</v>
      </c>
      <c r="E9" s="19" t="n">
        <v>0.75</v>
      </c>
      <c r="F9" s="19" t="n">
        <v>0.75</v>
      </c>
      <c r="G9" s="19" t="n">
        <v>0.75</v>
      </c>
      <c r="H9" s="19" t="n">
        <v>0.75</v>
      </c>
      <c r="I9" s="125" t="n"/>
      <c r="J9" s="125" t="n"/>
      <c r="K9" s="125" t="n"/>
      <c r="L9" s="125" t="n"/>
      <c r="M9" s="125" t="n"/>
      <c r="N9" s="125" t="n"/>
      <c r="O9" s="125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9.5" customHeight="1" s="88">
      <c r="A10" s="47">
        <f>'Sessional + End Term Assessment'!A8</f>
        <v/>
      </c>
      <c r="B10" s="73">
        <f>'Sessional + End Term Assessment'!B8</f>
        <v/>
      </c>
      <c r="C10" s="73">
        <f>'Sessional + End Term Assessment'!C8</f>
        <v/>
      </c>
      <c r="D10" s="21">
        <f>'MID Term 1'!D7+'MID Term 2'!D7</f>
        <v/>
      </c>
      <c r="E10" s="21">
        <f>'MID Term 1'!H7+'MID Term 2'!E7</f>
        <v/>
      </c>
      <c r="F10" s="21">
        <f>'MID Term 1'!L7+'MID Term 2'!F7</f>
        <v/>
      </c>
      <c r="G10" s="21">
        <f>'MID Term 1'!P7+'MID Term 2'!J7</f>
        <v/>
      </c>
      <c r="H10" s="21">
        <f>'MID Term 1'!Q7+'MID Term 2'!N7</f>
        <v/>
      </c>
      <c r="I10" s="23">
        <f>IF((D10/$D$8)&gt;=$I$8,1,0)</f>
        <v/>
      </c>
      <c r="J10" s="23">
        <f>IF((E10/$E$8)&gt;=$J$8,1,0)</f>
        <v/>
      </c>
      <c r="K10" s="23">
        <f>IF((F10/$F$8)&gt;=$K$8,1,0)</f>
        <v/>
      </c>
      <c r="L10" s="23">
        <f>IF((G10/$G$8)&gt;=$L$8,1,0)</f>
        <v/>
      </c>
      <c r="M10" s="23">
        <f>IF((H10/$H$8)&gt;=$M$8,1,0)</f>
        <v/>
      </c>
      <c r="N10" s="21">
        <f>SUM(D10:H10)</f>
        <v/>
      </c>
      <c r="O10" s="23">
        <f>ROUND(N10/2,0)</f>
        <v/>
      </c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9.5" customHeight="1" s="88">
      <c r="A11" s="47">
        <f>'Sessional + End Term Assessment'!A9</f>
        <v/>
      </c>
      <c r="B11" s="73">
        <f>'Sessional + End Term Assessment'!B9</f>
        <v/>
      </c>
      <c r="C11" s="73">
        <f>'Sessional + End Term Assessment'!C9</f>
        <v/>
      </c>
      <c r="D11" s="21">
        <f>'MID Term 1'!D8+'MID Term 2'!D8</f>
        <v/>
      </c>
      <c r="E11" s="21">
        <f>'MID Term 1'!H8+'MID Term 2'!E8</f>
        <v/>
      </c>
      <c r="F11" s="21">
        <f>'MID Term 1'!L8+'MID Term 2'!F8</f>
        <v/>
      </c>
      <c r="G11" s="21">
        <f>'MID Term 1'!P8+'MID Term 2'!J8</f>
        <v/>
      </c>
      <c r="H11" s="21">
        <f>'MID Term 1'!Q8+'MID Term 2'!N8</f>
        <v/>
      </c>
      <c r="I11" s="23">
        <f>IF((D11/$D$8)&gt;=$I$8,1,0)</f>
        <v/>
      </c>
      <c r="J11" s="23">
        <f>IF((E11/$E$8)&gt;=$J$8,1,0)</f>
        <v/>
      </c>
      <c r="K11" s="23">
        <f>IF((F11/$F$8)&gt;=$K$8,1,0)</f>
        <v/>
      </c>
      <c r="L11" s="23">
        <f>IF((G11/$G$8)&gt;=$L$8,1,0)</f>
        <v/>
      </c>
      <c r="M11" s="23">
        <f>IF((H11/$H$8)&gt;=$M$8,1,0)</f>
        <v/>
      </c>
      <c r="N11" s="21">
        <f>SUM(D11:H11)</f>
        <v/>
      </c>
      <c r="O11" s="23">
        <f>ROUND(N11/2,0)</f>
        <v/>
      </c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9.5" customHeight="1" s="88">
      <c r="A12" s="47">
        <f>'Sessional + End Term Assessment'!A10</f>
        <v/>
      </c>
      <c r="B12" s="73">
        <f>'Sessional + End Term Assessment'!B10</f>
        <v/>
      </c>
      <c r="C12" s="73">
        <f>'Sessional + End Term Assessment'!C10</f>
        <v/>
      </c>
      <c r="D12" s="21">
        <f>'MID Term 1'!D9+'MID Term 2'!D9</f>
        <v/>
      </c>
      <c r="E12" s="21">
        <f>'MID Term 1'!H9+'MID Term 2'!E9</f>
        <v/>
      </c>
      <c r="F12" s="21">
        <f>'MID Term 1'!L9+'MID Term 2'!F9</f>
        <v/>
      </c>
      <c r="G12" s="21">
        <f>'MID Term 1'!P9+'MID Term 2'!J9</f>
        <v/>
      </c>
      <c r="H12" s="21">
        <f>'MID Term 1'!Q9+'MID Term 2'!N9</f>
        <v/>
      </c>
      <c r="I12" s="23">
        <f>IF((D12/$D$8)&gt;=$I$8,1,0)</f>
        <v/>
      </c>
      <c r="J12" s="23">
        <f>IF((E12/$E$8)&gt;=$J$8,1,0)</f>
        <v/>
      </c>
      <c r="K12" s="23">
        <f>IF((F12/$F$8)&gt;=$K$8,1,0)</f>
        <v/>
      </c>
      <c r="L12" s="23">
        <f>IF((G12/$G$8)&gt;=$L$8,1,0)</f>
        <v/>
      </c>
      <c r="M12" s="23">
        <f>IF((H12/$H$8)&gt;=$M$8,1,0)</f>
        <v/>
      </c>
      <c r="N12" s="21">
        <f>SUM(D12:H12)</f>
        <v/>
      </c>
      <c r="O12" s="23">
        <f>ROUND(N12/2,0)</f>
        <v/>
      </c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9.5" customHeight="1" s="88">
      <c r="A13" s="47">
        <f>'Sessional + End Term Assessment'!A11</f>
        <v/>
      </c>
      <c r="B13" s="73">
        <f>'Sessional + End Term Assessment'!B11</f>
        <v/>
      </c>
      <c r="C13" s="73">
        <f>'Sessional + End Term Assessment'!C11</f>
        <v/>
      </c>
      <c r="D13" s="21">
        <f>'MID Term 1'!D10+'MID Term 2'!D10</f>
        <v/>
      </c>
      <c r="E13" s="21">
        <f>'MID Term 1'!H10+'MID Term 2'!E10</f>
        <v/>
      </c>
      <c r="F13" s="21">
        <f>'MID Term 1'!L10+'MID Term 2'!F10</f>
        <v/>
      </c>
      <c r="G13" s="21">
        <f>'MID Term 1'!P10+'MID Term 2'!J10</f>
        <v/>
      </c>
      <c r="H13" s="21">
        <f>'MID Term 1'!Q10+'MID Term 2'!N10</f>
        <v/>
      </c>
      <c r="I13" s="23">
        <f>IF((D13/$D$8)&gt;=$I$8,1,0)</f>
        <v/>
      </c>
      <c r="J13" s="23">
        <f>IF((E13/$E$8)&gt;=$J$8,1,0)</f>
        <v/>
      </c>
      <c r="K13" s="23">
        <f>IF((F13/$F$8)&gt;=$K$8,1,0)</f>
        <v/>
      </c>
      <c r="L13" s="23">
        <f>IF((G13/$G$8)&gt;=$L$8,1,0)</f>
        <v/>
      </c>
      <c r="M13" s="23">
        <f>IF((H13/$H$8)&gt;=$M$8,1,0)</f>
        <v/>
      </c>
      <c r="N13" s="21">
        <f>SUM(D13:H13)</f>
        <v/>
      </c>
      <c r="O13" s="23">
        <f>ROUND(N13/2,0)</f>
        <v/>
      </c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9.5" customHeight="1" s="88">
      <c r="A14" s="47">
        <f>'Sessional + End Term Assessment'!A12</f>
        <v/>
      </c>
      <c r="B14" s="73">
        <f>'Sessional + End Term Assessment'!B12</f>
        <v/>
      </c>
      <c r="C14" s="73">
        <f>'Sessional + End Term Assessment'!C12</f>
        <v/>
      </c>
      <c r="D14" s="21">
        <f>'MID Term 1'!D11+'MID Term 2'!D11</f>
        <v/>
      </c>
      <c r="E14" s="21">
        <f>'MID Term 1'!H11+'MID Term 2'!E11</f>
        <v/>
      </c>
      <c r="F14" s="21">
        <f>'MID Term 1'!L11+'MID Term 2'!F11</f>
        <v/>
      </c>
      <c r="G14" s="21">
        <f>'MID Term 1'!P11+'MID Term 2'!J11</f>
        <v/>
      </c>
      <c r="H14" s="21">
        <f>'MID Term 1'!Q11+'MID Term 2'!N11</f>
        <v/>
      </c>
      <c r="I14" s="23">
        <f>IF((D14/$D$8)&gt;=$I$8,1,0)</f>
        <v/>
      </c>
      <c r="J14" s="23">
        <f>IF((E14/$E$8)&gt;=$J$8,1,0)</f>
        <v/>
      </c>
      <c r="K14" s="23">
        <f>IF((F14/$F$8)&gt;=$K$8,1,0)</f>
        <v/>
      </c>
      <c r="L14" s="23">
        <f>IF((G14/$G$8)&gt;=$L$8,1,0)</f>
        <v/>
      </c>
      <c r="M14" s="23">
        <f>IF((H14/$H$8)&gt;=$M$8,1,0)</f>
        <v/>
      </c>
      <c r="N14" s="21">
        <f>SUM(D14:H14)</f>
        <v/>
      </c>
      <c r="O14" s="23">
        <f>ROUND(N14/2,0)</f>
        <v/>
      </c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9.5" customHeight="1" s="88">
      <c r="A15" s="47">
        <f>'Sessional + End Term Assessment'!A13</f>
        <v/>
      </c>
      <c r="B15" s="73">
        <f>'Sessional + End Term Assessment'!B13</f>
        <v/>
      </c>
      <c r="C15" s="73">
        <f>'Sessional + End Term Assessment'!C13</f>
        <v/>
      </c>
      <c r="D15" s="21">
        <f>'MID Term 1'!D12+'MID Term 2'!D12</f>
        <v/>
      </c>
      <c r="E15" s="21">
        <f>'MID Term 1'!H12+'MID Term 2'!E12</f>
        <v/>
      </c>
      <c r="F15" s="21">
        <f>'MID Term 1'!L12+'MID Term 2'!F12</f>
        <v/>
      </c>
      <c r="G15" s="21">
        <f>'MID Term 1'!P12+'MID Term 2'!J12</f>
        <v/>
      </c>
      <c r="H15" s="21">
        <f>'MID Term 1'!Q12+'MID Term 2'!N12</f>
        <v/>
      </c>
      <c r="I15" s="23">
        <f>IF((D15/$D$8)&gt;=$I$8,1,0)</f>
        <v/>
      </c>
      <c r="J15" s="23">
        <f>IF((E15/$E$8)&gt;=$J$8,1,0)</f>
        <v/>
      </c>
      <c r="K15" s="23">
        <f>IF((F15/$F$8)&gt;=$K$8,1,0)</f>
        <v/>
      </c>
      <c r="L15" s="23">
        <f>IF((G15/$G$8)&gt;=$L$8,1,0)</f>
        <v/>
      </c>
      <c r="M15" s="23">
        <f>IF((H15/$H$8)&gt;=$M$8,1,0)</f>
        <v/>
      </c>
      <c r="N15" s="21">
        <f>SUM(D15:H15)</f>
        <v/>
      </c>
      <c r="O15" s="23">
        <f>ROUND(N15/2,0)</f>
        <v/>
      </c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9.5" customHeight="1" s="88">
      <c r="A16" s="47">
        <f>'Sessional + End Term Assessment'!A14</f>
        <v/>
      </c>
      <c r="B16" s="73">
        <f>'Sessional + End Term Assessment'!B14</f>
        <v/>
      </c>
      <c r="C16" s="73">
        <f>'Sessional + End Term Assessment'!C14</f>
        <v/>
      </c>
      <c r="D16" s="21">
        <f>'MID Term 1'!D13+'MID Term 2'!D13</f>
        <v/>
      </c>
      <c r="E16" s="21">
        <f>'MID Term 1'!H13+'MID Term 2'!E13</f>
        <v/>
      </c>
      <c r="F16" s="21">
        <f>'MID Term 1'!L13+'MID Term 2'!F13</f>
        <v/>
      </c>
      <c r="G16" s="21">
        <f>'MID Term 1'!P13+'MID Term 2'!J13</f>
        <v/>
      </c>
      <c r="H16" s="21">
        <f>'MID Term 1'!Q13+'MID Term 2'!N13</f>
        <v/>
      </c>
      <c r="I16" s="23">
        <f>IF((D16/$D$8)&gt;=$I$8,1,0)</f>
        <v/>
      </c>
      <c r="J16" s="23">
        <f>IF((E16/$E$8)&gt;=$J$8,1,0)</f>
        <v/>
      </c>
      <c r="K16" s="23">
        <f>IF((F16/$F$8)&gt;=$K$8,1,0)</f>
        <v/>
      </c>
      <c r="L16" s="23">
        <f>IF((G16/$G$8)&gt;=$L$8,1,0)</f>
        <v/>
      </c>
      <c r="M16" s="23">
        <f>IF((H16/$H$8)&gt;=$M$8,1,0)</f>
        <v/>
      </c>
      <c r="N16" s="21">
        <f>SUM(D16:H16)</f>
        <v/>
      </c>
      <c r="O16" s="23">
        <f>ROUND(N16/2,0)</f>
        <v/>
      </c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9.5" customHeight="1" s="88">
      <c r="A17" s="47">
        <f>'Sessional + End Term Assessment'!A15</f>
        <v/>
      </c>
      <c r="B17" s="73">
        <f>'Sessional + End Term Assessment'!B15</f>
        <v/>
      </c>
      <c r="C17" s="73">
        <f>'Sessional + End Term Assessment'!C15</f>
        <v/>
      </c>
      <c r="D17" s="21">
        <f>'MID Term 1'!D14+'MID Term 2'!D14</f>
        <v/>
      </c>
      <c r="E17" s="21">
        <f>'MID Term 1'!H14+'MID Term 2'!E14</f>
        <v/>
      </c>
      <c r="F17" s="21">
        <f>'MID Term 1'!L14+'MID Term 2'!F14</f>
        <v/>
      </c>
      <c r="G17" s="21">
        <f>'MID Term 1'!P14+'MID Term 2'!J14</f>
        <v/>
      </c>
      <c r="H17" s="21">
        <f>'MID Term 1'!Q14+'MID Term 2'!N14</f>
        <v/>
      </c>
      <c r="I17" s="23">
        <f>IF((D17/$D$8)&gt;=$I$8,1,0)</f>
        <v/>
      </c>
      <c r="J17" s="23">
        <f>IF((E17/$E$8)&gt;=$J$8,1,0)</f>
        <v/>
      </c>
      <c r="K17" s="23">
        <f>IF((F17/$F$8)&gt;=$K$8,1,0)</f>
        <v/>
      </c>
      <c r="L17" s="23">
        <f>IF((G17/$G$8)&gt;=$L$8,1,0)</f>
        <v/>
      </c>
      <c r="M17" s="23">
        <f>IF((H17/$H$8)&gt;=$M$8,1,0)</f>
        <v/>
      </c>
      <c r="N17" s="21">
        <f>SUM(D17:H17)</f>
        <v/>
      </c>
      <c r="O17" s="23">
        <f>ROUND(N17/2,0)</f>
        <v/>
      </c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9.5" customHeight="1" s="88">
      <c r="A18" s="47">
        <f>'Sessional + End Term Assessment'!A16</f>
        <v/>
      </c>
      <c r="B18" s="73">
        <f>'Sessional + End Term Assessment'!B16</f>
        <v/>
      </c>
      <c r="C18" s="73">
        <f>'Sessional + End Term Assessment'!C16</f>
        <v/>
      </c>
      <c r="D18" s="21">
        <f>'MID Term 1'!D15+'MID Term 2'!D15</f>
        <v/>
      </c>
      <c r="E18" s="21">
        <f>'MID Term 1'!H15+'MID Term 2'!E15</f>
        <v/>
      </c>
      <c r="F18" s="21">
        <f>'MID Term 1'!L15+'MID Term 2'!F15</f>
        <v/>
      </c>
      <c r="G18" s="21">
        <f>'MID Term 1'!P15+'MID Term 2'!J15</f>
        <v/>
      </c>
      <c r="H18" s="21">
        <f>'MID Term 1'!Q15+'MID Term 2'!N15</f>
        <v/>
      </c>
      <c r="I18" s="23">
        <f>IF((D18/$D$8)&gt;=$I$8,1,0)</f>
        <v/>
      </c>
      <c r="J18" s="23">
        <f>IF((E18/$E$8)&gt;=$J$8,1,0)</f>
        <v/>
      </c>
      <c r="K18" s="23">
        <f>IF((F18/$F$8)&gt;=$K$8,1,0)</f>
        <v/>
      </c>
      <c r="L18" s="23">
        <f>IF((G18/$G$8)&gt;=$L$8,1,0)</f>
        <v/>
      </c>
      <c r="M18" s="23">
        <f>IF((H18/$H$8)&gt;=$M$8,1,0)</f>
        <v/>
      </c>
      <c r="N18" s="21">
        <f>SUM(D18:H18)</f>
        <v/>
      </c>
      <c r="O18" s="23">
        <f>ROUND(N18/2,0)</f>
        <v/>
      </c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9.5" customHeight="1" s="88">
      <c r="A19" s="47">
        <f>'Sessional + End Term Assessment'!A17</f>
        <v/>
      </c>
      <c r="B19" s="73">
        <f>'Sessional + End Term Assessment'!B17</f>
        <v/>
      </c>
      <c r="C19" s="73">
        <f>'Sessional + End Term Assessment'!C17</f>
        <v/>
      </c>
      <c r="D19" s="21">
        <f>'MID Term 1'!D16+'MID Term 2'!D16</f>
        <v/>
      </c>
      <c r="E19" s="21">
        <f>'MID Term 1'!H16+'MID Term 2'!E16</f>
        <v/>
      </c>
      <c r="F19" s="21">
        <f>'MID Term 1'!L16+'MID Term 2'!F16</f>
        <v/>
      </c>
      <c r="G19" s="21">
        <f>'MID Term 1'!P16+'MID Term 2'!J16</f>
        <v/>
      </c>
      <c r="H19" s="21">
        <f>'MID Term 1'!Q16+'MID Term 2'!N16</f>
        <v/>
      </c>
      <c r="I19" s="23">
        <f>IF((D19/$D$8)&gt;=$I$8,1,0)</f>
        <v/>
      </c>
      <c r="J19" s="23">
        <f>IF((E19/$E$8)&gt;=$J$8,1,0)</f>
        <v/>
      </c>
      <c r="K19" s="23">
        <f>IF((F19/$F$8)&gt;=$K$8,1,0)</f>
        <v/>
      </c>
      <c r="L19" s="23">
        <f>IF((G19/$G$8)&gt;=$L$8,1,0)</f>
        <v/>
      </c>
      <c r="M19" s="23">
        <f>IF((H19/$H$8)&gt;=$M$8,1,0)</f>
        <v/>
      </c>
      <c r="N19" s="21">
        <f>SUM(D19:H19)</f>
        <v/>
      </c>
      <c r="O19" s="23">
        <f>ROUND(N19/2,0)</f>
        <v/>
      </c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9.5" customHeight="1" s="88">
      <c r="A20" s="47">
        <f>'Sessional + End Term Assessment'!A18</f>
        <v/>
      </c>
      <c r="B20" s="73">
        <f>'Sessional + End Term Assessment'!B18</f>
        <v/>
      </c>
      <c r="C20" s="73">
        <f>'Sessional + End Term Assessment'!C18</f>
        <v/>
      </c>
      <c r="D20" s="21">
        <f>'MID Term 1'!D17+'MID Term 2'!D17</f>
        <v/>
      </c>
      <c r="E20" s="21">
        <f>'MID Term 1'!H17+'MID Term 2'!E17</f>
        <v/>
      </c>
      <c r="F20" s="21">
        <f>'MID Term 1'!L17+'MID Term 2'!F17</f>
        <v/>
      </c>
      <c r="G20" s="21">
        <f>'MID Term 1'!P17+'MID Term 2'!J17</f>
        <v/>
      </c>
      <c r="H20" s="21">
        <f>'MID Term 1'!Q17+'MID Term 2'!N17</f>
        <v/>
      </c>
      <c r="I20" s="23">
        <f>IF((D20/$D$8)&gt;=$I$8,1,0)</f>
        <v/>
      </c>
      <c r="J20" s="23">
        <f>IF((E20/$E$8)&gt;=$J$8,1,0)</f>
        <v/>
      </c>
      <c r="K20" s="23">
        <f>IF((F20/$F$8)&gt;=$K$8,1,0)</f>
        <v/>
      </c>
      <c r="L20" s="23">
        <f>IF((G20/$G$8)&gt;=$L$8,1,0)</f>
        <v/>
      </c>
      <c r="M20" s="23">
        <f>IF((H20/$H$8)&gt;=$M$8,1,0)</f>
        <v/>
      </c>
      <c r="N20" s="21">
        <f>SUM(D20:H20)</f>
        <v/>
      </c>
      <c r="O20" s="23">
        <f>ROUND(N20/2,0)</f>
        <v/>
      </c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</row>
    <row r="21" ht="19.5" customHeight="1" s="88">
      <c r="A21" s="47">
        <f>'Sessional + End Term Assessment'!A19</f>
        <v/>
      </c>
      <c r="B21" s="73">
        <f>'Sessional + End Term Assessment'!B19</f>
        <v/>
      </c>
      <c r="C21" s="73">
        <f>'Sessional + End Term Assessment'!C19</f>
        <v/>
      </c>
      <c r="D21" s="21">
        <f>'MID Term 1'!D18+'MID Term 2'!D18</f>
        <v/>
      </c>
      <c r="E21" s="21">
        <f>'MID Term 1'!H18+'MID Term 2'!E18</f>
        <v/>
      </c>
      <c r="F21" s="21">
        <f>'MID Term 1'!L18+'MID Term 2'!F18</f>
        <v/>
      </c>
      <c r="G21" s="21">
        <f>'MID Term 1'!P18+'MID Term 2'!J18</f>
        <v/>
      </c>
      <c r="H21" s="21">
        <f>'MID Term 1'!Q18+'MID Term 2'!N18</f>
        <v/>
      </c>
      <c r="I21" s="23">
        <f>IF((D21/$D$8)&gt;=$I$8,1,0)</f>
        <v/>
      </c>
      <c r="J21" s="23">
        <f>IF((E21/$E$8)&gt;=$J$8,1,0)</f>
        <v/>
      </c>
      <c r="K21" s="23">
        <f>IF((F21/$F$8)&gt;=$K$8,1,0)</f>
        <v/>
      </c>
      <c r="L21" s="23">
        <f>IF((G21/$G$8)&gt;=$L$8,1,0)</f>
        <v/>
      </c>
      <c r="M21" s="23">
        <f>IF((H21/$H$8)&gt;=$M$8,1,0)</f>
        <v/>
      </c>
      <c r="N21" s="21">
        <f>SUM(D21:H21)</f>
        <v/>
      </c>
      <c r="O21" s="23">
        <f>ROUND(N21/2,0)</f>
        <v/>
      </c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</row>
    <row r="22" ht="19.5" customHeight="1" s="88">
      <c r="A22" s="47">
        <f>'Sessional + End Term Assessment'!A20</f>
        <v/>
      </c>
      <c r="B22" s="73">
        <f>'Sessional + End Term Assessment'!B20</f>
        <v/>
      </c>
      <c r="C22" s="73">
        <f>'Sessional + End Term Assessment'!C20</f>
        <v/>
      </c>
      <c r="D22" s="21">
        <f>'MID Term 1'!D19+'MID Term 2'!D19</f>
        <v/>
      </c>
      <c r="E22" s="21">
        <f>'MID Term 1'!H19+'MID Term 2'!E19</f>
        <v/>
      </c>
      <c r="F22" s="21">
        <f>'MID Term 1'!L19+'MID Term 2'!F19</f>
        <v/>
      </c>
      <c r="G22" s="21">
        <f>'MID Term 1'!P19+'MID Term 2'!J19</f>
        <v/>
      </c>
      <c r="H22" s="21">
        <f>'MID Term 1'!Q19+'MID Term 2'!N19</f>
        <v/>
      </c>
      <c r="I22" s="23">
        <f>IF((D22/$D$8)&gt;=$I$8,1,0)</f>
        <v/>
      </c>
      <c r="J22" s="23">
        <f>IF((E22/$E$8)&gt;=$J$8,1,0)</f>
        <v/>
      </c>
      <c r="K22" s="23">
        <f>IF((F22/$F$8)&gt;=$K$8,1,0)</f>
        <v/>
      </c>
      <c r="L22" s="23">
        <f>IF((G22/$G$8)&gt;=$L$8,1,0)</f>
        <v/>
      </c>
      <c r="M22" s="23">
        <f>IF((H22/$H$8)&gt;=$M$8,1,0)</f>
        <v/>
      </c>
      <c r="N22" s="21">
        <f>SUM(D22:H22)</f>
        <v/>
      </c>
      <c r="O22" s="23">
        <f>ROUND(N22/2,0)</f>
        <v/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9.5" customHeight="1" s="88">
      <c r="A23" s="47">
        <f>'Sessional + End Term Assessment'!A21</f>
        <v/>
      </c>
      <c r="B23" s="73">
        <f>'Sessional + End Term Assessment'!B21</f>
        <v/>
      </c>
      <c r="C23" s="73">
        <f>'Sessional + End Term Assessment'!C21</f>
        <v/>
      </c>
      <c r="D23" s="21">
        <f>'MID Term 1'!D20+'MID Term 2'!D20</f>
        <v/>
      </c>
      <c r="E23" s="21">
        <f>'MID Term 1'!H20+'MID Term 2'!E20</f>
        <v/>
      </c>
      <c r="F23" s="21">
        <f>'MID Term 1'!L20+'MID Term 2'!F20</f>
        <v/>
      </c>
      <c r="G23" s="21">
        <f>'MID Term 1'!P20+'MID Term 2'!J20</f>
        <v/>
      </c>
      <c r="H23" s="21">
        <f>'MID Term 1'!Q20+'MID Term 2'!N20</f>
        <v/>
      </c>
      <c r="I23" s="23">
        <f>IF((D23/$D$8)&gt;=$I$8,1,0)</f>
        <v/>
      </c>
      <c r="J23" s="23">
        <f>IF((E23/$E$8)&gt;=$J$8,1,0)</f>
        <v/>
      </c>
      <c r="K23" s="23">
        <f>IF((F23/$F$8)&gt;=$K$8,1,0)</f>
        <v/>
      </c>
      <c r="L23" s="23">
        <f>IF((G23/$G$8)&gt;=$L$8,1,0)</f>
        <v/>
      </c>
      <c r="M23" s="23">
        <f>IF((H23/$H$8)&gt;=$M$8,1,0)</f>
        <v/>
      </c>
      <c r="N23" s="21">
        <f>SUM(D23:H23)</f>
        <v/>
      </c>
      <c r="O23" s="23">
        <f>ROUND(N23/2,0)</f>
        <v/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9.5" customHeight="1" s="88">
      <c r="A24" s="47">
        <f>'Sessional + End Term Assessment'!A22</f>
        <v/>
      </c>
      <c r="B24" s="73">
        <f>'Sessional + End Term Assessment'!B22</f>
        <v/>
      </c>
      <c r="C24" s="73">
        <f>'Sessional + End Term Assessment'!C22</f>
        <v/>
      </c>
      <c r="D24" s="21">
        <f>'MID Term 1'!D21+'MID Term 2'!D21</f>
        <v/>
      </c>
      <c r="E24" s="21">
        <f>'MID Term 1'!H21+'MID Term 2'!E21</f>
        <v/>
      </c>
      <c r="F24" s="21">
        <f>'MID Term 1'!L21+'MID Term 2'!F21</f>
        <v/>
      </c>
      <c r="G24" s="21">
        <f>'MID Term 1'!P21+'MID Term 2'!J21</f>
        <v/>
      </c>
      <c r="H24" s="21">
        <f>'MID Term 1'!Q21+'MID Term 2'!N21</f>
        <v/>
      </c>
      <c r="I24" s="23">
        <f>IF((D24/$D$8)&gt;=$I$8,1,0)</f>
        <v/>
      </c>
      <c r="J24" s="23">
        <f>IF((E24/$E$8)&gt;=$J$8,1,0)</f>
        <v/>
      </c>
      <c r="K24" s="23">
        <f>IF((F24/$F$8)&gt;=$K$8,1,0)</f>
        <v/>
      </c>
      <c r="L24" s="23">
        <f>IF((G24/$G$8)&gt;=$L$8,1,0)</f>
        <v/>
      </c>
      <c r="M24" s="23">
        <f>IF((H24/$H$8)&gt;=$M$8,1,0)</f>
        <v/>
      </c>
      <c r="N24" s="21">
        <f>SUM(D24:H24)</f>
        <v/>
      </c>
      <c r="O24" s="23">
        <f>ROUND(N24/2,0)</f>
        <v/>
      </c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9.5" customHeight="1" s="88">
      <c r="A25" s="47">
        <f>'Sessional + End Term Assessment'!A23</f>
        <v/>
      </c>
      <c r="B25" s="73">
        <f>'Sessional + End Term Assessment'!B23</f>
        <v/>
      </c>
      <c r="C25" s="73">
        <f>'Sessional + End Term Assessment'!C23</f>
        <v/>
      </c>
      <c r="D25" s="21">
        <f>'MID Term 1'!D22+'MID Term 2'!D22</f>
        <v/>
      </c>
      <c r="E25" s="21">
        <f>'MID Term 1'!H22+'MID Term 2'!E22</f>
        <v/>
      </c>
      <c r="F25" s="21">
        <f>'MID Term 1'!L22+'MID Term 2'!F22</f>
        <v/>
      </c>
      <c r="G25" s="21">
        <f>'MID Term 1'!P22+'MID Term 2'!J22</f>
        <v/>
      </c>
      <c r="H25" s="21">
        <f>'MID Term 1'!Q22+'MID Term 2'!N22</f>
        <v/>
      </c>
      <c r="I25" s="23">
        <f>IF((D25/$D$8)&gt;=$I$8,1,0)</f>
        <v/>
      </c>
      <c r="J25" s="23">
        <f>IF((E25/$E$8)&gt;=$J$8,1,0)</f>
        <v/>
      </c>
      <c r="K25" s="23">
        <f>IF((F25/$F$8)&gt;=$K$8,1,0)</f>
        <v/>
      </c>
      <c r="L25" s="23">
        <f>IF((G25/$G$8)&gt;=$L$8,1,0)</f>
        <v/>
      </c>
      <c r="M25" s="23">
        <f>IF((H25/$H$8)&gt;=$M$8,1,0)</f>
        <v/>
      </c>
      <c r="N25" s="21">
        <f>SUM(D25:H25)</f>
        <v/>
      </c>
      <c r="O25" s="23">
        <f>ROUND(N25/2,0)</f>
        <v/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9.5" customHeight="1" s="88">
      <c r="A26" s="47">
        <f>'Sessional + End Term Assessment'!A24</f>
        <v/>
      </c>
      <c r="B26" s="73">
        <f>'Sessional + End Term Assessment'!B24</f>
        <v/>
      </c>
      <c r="C26" s="73">
        <f>'Sessional + End Term Assessment'!C24</f>
        <v/>
      </c>
      <c r="D26" s="21">
        <f>'MID Term 1'!D23+'MID Term 2'!D23</f>
        <v/>
      </c>
      <c r="E26" s="21">
        <f>'MID Term 1'!H23+'MID Term 2'!E23</f>
        <v/>
      </c>
      <c r="F26" s="21">
        <f>'MID Term 1'!L23+'MID Term 2'!F23</f>
        <v/>
      </c>
      <c r="G26" s="21">
        <f>'MID Term 1'!P23+'MID Term 2'!J23</f>
        <v/>
      </c>
      <c r="H26" s="21">
        <f>'MID Term 1'!Q23+'MID Term 2'!N23</f>
        <v/>
      </c>
      <c r="I26" s="23">
        <f>IF((D26/$D$8)&gt;=$I$8,1,0)</f>
        <v/>
      </c>
      <c r="J26" s="23">
        <f>IF((E26/$E$8)&gt;=$J$8,1,0)</f>
        <v/>
      </c>
      <c r="K26" s="23">
        <f>IF((F26/$F$8)&gt;=$K$8,1,0)</f>
        <v/>
      </c>
      <c r="L26" s="23">
        <f>IF((G26/$G$8)&gt;=$L$8,1,0)</f>
        <v/>
      </c>
      <c r="M26" s="23">
        <f>IF((H26/$H$8)&gt;=$M$8,1,0)</f>
        <v/>
      </c>
      <c r="N26" s="21">
        <f>SUM(D26:H26)</f>
        <v/>
      </c>
      <c r="O26" s="23">
        <f>ROUND(N26/2,0)</f>
        <v/>
      </c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9.5" customHeight="1" s="88">
      <c r="A27" s="47">
        <f>'Sessional + End Term Assessment'!A25</f>
        <v/>
      </c>
      <c r="B27" s="73">
        <f>'Sessional + End Term Assessment'!B25</f>
        <v/>
      </c>
      <c r="C27" s="73">
        <f>'Sessional + End Term Assessment'!C25</f>
        <v/>
      </c>
      <c r="D27" s="21">
        <f>'MID Term 1'!D24+'MID Term 2'!D24</f>
        <v/>
      </c>
      <c r="E27" s="21">
        <f>'MID Term 1'!H24+'MID Term 2'!E24</f>
        <v/>
      </c>
      <c r="F27" s="21">
        <f>'MID Term 1'!L24+'MID Term 2'!F24</f>
        <v/>
      </c>
      <c r="G27" s="21">
        <f>'MID Term 1'!P24+'MID Term 2'!J24</f>
        <v/>
      </c>
      <c r="H27" s="21">
        <f>'MID Term 1'!Q24+'MID Term 2'!N24</f>
        <v/>
      </c>
      <c r="I27" s="23">
        <f>IF((D27/$D$8)&gt;=$I$8,1,0)</f>
        <v/>
      </c>
      <c r="J27" s="23">
        <f>IF((E27/$E$8)&gt;=$J$8,1,0)</f>
        <v/>
      </c>
      <c r="K27" s="23">
        <f>IF((F27/$F$8)&gt;=$K$8,1,0)</f>
        <v/>
      </c>
      <c r="L27" s="23">
        <f>IF((G27/$G$8)&gt;=$L$8,1,0)</f>
        <v/>
      </c>
      <c r="M27" s="23">
        <f>IF((H27/$H$8)&gt;=$M$8,1,0)</f>
        <v/>
      </c>
      <c r="N27" s="21">
        <f>SUM(D27:H27)</f>
        <v/>
      </c>
      <c r="O27" s="23">
        <f>ROUND(N27/2,0)</f>
        <v/>
      </c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9.5" customHeight="1" s="88">
      <c r="A28" s="47">
        <f>'Sessional + End Term Assessment'!A26</f>
        <v/>
      </c>
      <c r="B28" s="73">
        <f>'Sessional + End Term Assessment'!B26</f>
        <v/>
      </c>
      <c r="C28" s="73">
        <f>'Sessional + End Term Assessment'!C26</f>
        <v/>
      </c>
      <c r="D28" s="21">
        <f>'MID Term 1'!D25+'MID Term 2'!D25</f>
        <v/>
      </c>
      <c r="E28" s="21">
        <f>'MID Term 1'!H25+'MID Term 2'!E25</f>
        <v/>
      </c>
      <c r="F28" s="21">
        <f>'MID Term 1'!L25+'MID Term 2'!F25</f>
        <v/>
      </c>
      <c r="G28" s="21">
        <f>'MID Term 1'!P25+'MID Term 2'!J25</f>
        <v/>
      </c>
      <c r="H28" s="21">
        <f>'MID Term 1'!Q25+'MID Term 2'!N25</f>
        <v/>
      </c>
      <c r="I28" s="23">
        <f>IF((D28/$D$8)&gt;=$I$8,1,0)</f>
        <v/>
      </c>
      <c r="J28" s="23">
        <f>IF((E28/$E$8)&gt;=$J$8,1,0)</f>
        <v/>
      </c>
      <c r="K28" s="23">
        <f>IF((F28/$F$8)&gt;=$K$8,1,0)</f>
        <v/>
      </c>
      <c r="L28" s="23">
        <f>IF((G28/$G$8)&gt;=$L$8,1,0)</f>
        <v/>
      </c>
      <c r="M28" s="23">
        <f>IF((H28/$H$8)&gt;=$M$8,1,0)</f>
        <v/>
      </c>
      <c r="N28" s="21">
        <f>SUM(D28:H28)</f>
        <v/>
      </c>
      <c r="O28" s="23">
        <f>ROUND(N28/2,0)</f>
        <v/>
      </c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9.5" customHeight="1" s="88">
      <c r="A29" s="47">
        <f>'Sessional + End Term Assessment'!A27</f>
        <v/>
      </c>
      <c r="B29" s="73">
        <f>'Sessional + End Term Assessment'!B27</f>
        <v/>
      </c>
      <c r="C29" s="73">
        <f>'Sessional + End Term Assessment'!C27</f>
        <v/>
      </c>
      <c r="D29" s="21">
        <f>'MID Term 1'!D26+'MID Term 2'!D26</f>
        <v/>
      </c>
      <c r="E29" s="21">
        <f>'MID Term 1'!H26+'MID Term 2'!E26</f>
        <v/>
      </c>
      <c r="F29" s="21">
        <f>'MID Term 1'!L26+'MID Term 2'!F26</f>
        <v/>
      </c>
      <c r="G29" s="21">
        <f>'MID Term 1'!P26+'MID Term 2'!J26</f>
        <v/>
      </c>
      <c r="H29" s="21">
        <f>'MID Term 1'!Q26+'MID Term 2'!N26</f>
        <v/>
      </c>
      <c r="I29" s="23">
        <f>IF((D29/$D$8)&gt;=$I$8,1,0)</f>
        <v/>
      </c>
      <c r="J29" s="23">
        <f>IF((E29/$E$8)&gt;=$J$8,1,0)</f>
        <v/>
      </c>
      <c r="K29" s="23">
        <f>IF((F29/$F$8)&gt;=$K$8,1,0)</f>
        <v/>
      </c>
      <c r="L29" s="23">
        <f>IF((G29/$G$8)&gt;=$L$8,1,0)</f>
        <v/>
      </c>
      <c r="M29" s="23">
        <f>IF((H29/$H$8)&gt;=$M$8,1,0)</f>
        <v/>
      </c>
      <c r="N29" s="21">
        <f>SUM(D29:H29)</f>
        <v/>
      </c>
      <c r="O29" s="23">
        <f>ROUND(N29/2,0)</f>
        <v/>
      </c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9.5" customHeight="1" s="88">
      <c r="A30" s="47">
        <f>'Sessional + End Term Assessment'!A28</f>
        <v/>
      </c>
      <c r="B30" s="73">
        <f>'Sessional + End Term Assessment'!B28</f>
        <v/>
      </c>
      <c r="C30" s="73">
        <f>'Sessional + End Term Assessment'!C28</f>
        <v/>
      </c>
      <c r="D30" s="21">
        <f>'MID Term 1'!D27+'MID Term 2'!D27</f>
        <v/>
      </c>
      <c r="E30" s="21">
        <f>'MID Term 1'!H27+'MID Term 2'!E27</f>
        <v/>
      </c>
      <c r="F30" s="21">
        <f>'MID Term 1'!L27+'MID Term 2'!F27</f>
        <v/>
      </c>
      <c r="G30" s="21">
        <f>'MID Term 1'!P27+'MID Term 2'!J27</f>
        <v/>
      </c>
      <c r="H30" s="21">
        <f>'MID Term 1'!Q27+'MID Term 2'!N27</f>
        <v/>
      </c>
      <c r="I30" s="23">
        <f>IF((D30/$D$8)&gt;=$I$8,1,0)</f>
        <v/>
      </c>
      <c r="J30" s="23">
        <f>IF((E30/$E$8)&gt;=$J$8,1,0)</f>
        <v/>
      </c>
      <c r="K30" s="23">
        <f>IF((F30/$F$8)&gt;=$K$8,1,0)</f>
        <v/>
      </c>
      <c r="L30" s="23">
        <f>IF((G30/$G$8)&gt;=$L$8,1,0)</f>
        <v/>
      </c>
      <c r="M30" s="23">
        <f>IF((H30/$H$8)&gt;=$M$8,1,0)</f>
        <v/>
      </c>
      <c r="N30" s="21">
        <f>SUM(D30:H30)</f>
        <v/>
      </c>
      <c r="O30" s="23">
        <f>ROUND(N30/2,0)</f>
        <v/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9.5" customHeight="1" s="88">
      <c r="A31" s="47">
        <f>'Sessional + End Term Assessment'!A29</f>
        <v/>
      </c>
      <c r="B31" s="73">
        <f>'Sessional + End Term Assessment'!B29</f>
        <v/>
      </c>
      <c r="C31" s="73">
        <f>'Sessional + End Term Assessment'!C29</f>
        <v/>
      </c>
      <c r="D31" s="21">
        <f>'MID Term 1'!D28+'MID Term 2'!D28</f>
        <v/>
      </c>
      <c r="E31" s="21">
        <f>'MID Term 1'!H28+'MID Term 2'!E28</f>
        <v/>
      </c>
      <c r="F31" s="21">
        <f>'MID Term 1'!L28+'MID Term 2'!F28</f>
        <v/>
      </c>
      <c r="G31" s="21">
        <f>'MID Term 1'!P28+'MID Term 2'!J28</f>
        <v/>
      </c>
      <c r="H31" s="21">
        <f>'MID Term 1'!Q28+'MID Term 2'!N28</f>
        <v/>
      </c>
      <c r="I31" s="23">
        <f>IF((D31/$D$8)&gt;=$I$8,1,0)</f>
        <v/>
      </c>
      <c r="J31" s="23">
        <f>IF((E31/$E$8)&gt;=$J$8,1,0)</f>
        <v/>
      </c>
      <c r="K31" s="23">
        <f>IF((F31/$F$8)&gt;=$K$8,1,0)</f>
        <v/>
      </c>
      <c r="L31" s="23">
        <f>IF((G31/$G$8)&gt;=$L$8,1,0)</f>
        <v/>
      </c>
      <c r="M31" s="23">
        <f>IF((H31/$H$8)&gt;=$M$8,1,0)</f>
        <v/>
      </c>
      <c r="N31" s="21">
        <f>SUM(D31:H31)</f>
        <v/>
      </c>
      <c r="O31" s="23">
        <f>ROUND(N31/2,0)</f>
        <v/>
      </c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9.5" customHeight="1" s="88">
      <c r="A32" s="47">
        <f>'Sessional + End Term Assessment'!A30</f>
        <v/>
      </c>
      <c r="B32" s="73">
        <f>'Sessional + End Term Assessment'!B30</f>
        <v/>
      </c>
      <c r="C32" s="73">
        <f>'Sessional + End Term Assessment'!C30</f>
        <v/>
      </c>
      <c r="D32" s="21">
        <f>'MID Term 1'!D29+'MID Term 2'!D29</f>
        <v/>
      </c>
      <c r="E32" s="21">
        <f>'MID Term 1'!H29+'MID Term 2'!E29</f>
        <v/>
      </c>
      <c r="F32" s="21">
        <f>'MID Term 1'!L29+'MID Term 2'!F29</f>
        <v/>
      </c>
      <c r="G32" s="21">
        <f>'MID Term 1'!P29+'MID Term 2'!J29</f>
        <v/>
      </c>
      <c r="H32" s="21">
        <f>'MID Term 1'!Q29+'MID Term 2'!N29</f>
        <v/>
      </c>
      <c r="I32" s="23">
        <f>IF((D32/$D$8)&gt;=$I$8,1,0)</f>
        <v/>
      </c>
      <c r="J32" s="23">
        <f>IF((E32/$E$8)&gt;=$J$8,1,0)</f>
        <v/>
      </c>
      <c r="K32" s="23">
        <f>IF((F32/$F$8)&gt;=$K$8,1,0)</f>
        <v/>
      </c>
      <c r="L32" s="23">
        <f>IF((G32/$G$8)&gt;=$L$8,1,0)</f>
        <v/>
      </c>
      <c r="M32" s="23">
        <f>IF((H32/$H$8)&gt;=$M$8,1,0)</f>
        <v/>
      </c>
      <c r="N32" s="21">
        <f>SUM(D32:H32)</f>
        <v/>
      </c>
      <c r="O32" s="23">
        <f>ROUND(N32/2,0)</f>
        <v/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9.5" customHeight="1" s="88">
      <c r="A33" s="47">
        <f>'Sessional + End Term Assessment'!A31</f>
        <v/>
      </c>
      <c r="B33" s="73">
        <f>'Sessional + End Term Assessment'!B31</f>
        <v/>
      </c>
      <c r="C33" s="73">
        <f>'Sessional + End Term Assessment'!C31</f>
        <v/>
      </c>
      <c r="D33" s="21">
        <f>'MID Term 1'!D30+'MID Term 2'!D30</f>
        <v/>
      </c>
      <c r="E33" s="21">
        <f>'MID Term 1'!H30+'MID Term 2'!E30</f>
        <v/>
      </c>
      <c r="F33" s="21">
        <f>'MID Term 1'!L30+'MID Term 2'!F30</f>
        <v/>
      </c>
      <c r="G33" s="21">
        <f>'MID Term 1'!P30+'MID Term 2'!J30</f>
        <v/>
      </c>
      <c r="H33" s="21">
        <f>'MID Term 1'!Q30+'MID Term 2'!N30</f>
        <v/>
      </c>
      <c r="I33" s="23">
        <f>IF((D33/$D$8)&gt;=$I$8,1,0)</f>
        <v/>
      </c>
      <c r="J33" s="23">
        <f>IF((E33/$E$8)&gt;=$J$8,1,0)</f>
        <v/>
      </c>
      <c r="K33" s="23">
        <f>IF((F33/$F$8)&gt;=$K$8,1,0)</f>
        <v/>
      </c>
      <c r="L33" s="23">
        <f>IF((G33/$G$8)&gt;=$L$8,1,0)</f>
        <v/>
      </c>
      <c r="M33" s="23">
        <f>IF((H33/$H$8)&gt;=$M$8,1,0)</f>
        <v/>
      </c>
      <c r="N33" s="21">
        <f>SUM(D33:H33)</f>
        <v/>
      </c>
      <c r="O33" s="23">
        <f>ROUND(N33/2,0)</f>
        <v/>
      </c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9.5" customHeight="1" s="88">
      <c r="A34" s="47">
        <f>'Sessional + End Term Assessment'!A32</f>
        <v/>
      </c>
      <c r="B34" s="73">
        <f>'Sessional + End Term Assessment'!B32</f>
        <v/>
      </c>
      <c r="C34" s="73">
        <f>'Sessional + End Term Assessment'!C32</f>
        <v/>
      </c>
      <c r="D34" s="21">
        <f>'MID Term 1'!D31+'MID Term 2'!D31</f>
        <v/>
      </c>
      <c r="E34" s="21">
        <f>'MID Term 1'!H31+'MID Term 2'!E31</f>
        <v/>
      </c>
      <c r="F34" s="21">
        <f>'MID Term 1'!L31+'MID Term 2'!F31</f>
        <v/>
      </c>
      <c r="G34" s="21">
        <f>'MID Term 1'!P31+'MID Term 2'!J31</f>
        <v/>
      </c>
      <c r="H34" s="21">
        <f>'MID Term 1'!Q31+'MID Term 2'!N31</f>
        <v/>
      </c>
      <c r="I34" s="23">
        <f>IF((D34/$D$8)&gt;=$I$8,1,0)</f>
        <v/>
      </c>
      <c r="J34" s="23">
        <f>IF((E34/$E$8)&gt;=$J$8,1,0)</f>
        <v/>
      </c>
      <c r="K34" s="23">
        <f>IF((F34/$F$8)&gt;=$K$8,1,0)</f>
        <v/>
      </c>
      <c r="L34" s="23">
        <f>IF((G34/$G$8)&gt;=$L$8,1,0)</f>
        <v/>
      </c>
      <c r="M34" s="23">
        <f>IF((H34/$H$8)&gt;=$M$8,1,0)</f>
        <v/>
      </c>
      <c r="N34" s="21">
        <f>SUM(D34:H34)</f>
        <v/>
      </c>
      <c r="O34" s="23">
        <f>ROUND(N34/2,0)</f>
        <v/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9.5" customHeight="1" s="88">
      <c r="A35" s="47">
        <f>'Sessional + End Term Assessment'!A33</f>
        <v/>
      </c>
      <c r="B35" s="73">
        <f>'Sessional + End Term Assessment'!B33</f>
        <v/>
      </c>
      <c r="C35" s="73">
        <f>'Sessional + End Term Assessment'!C33</f>
        <v/>
      </c>
      <c r="D35" s="21">
        <f>'MID Term 1'!D32+'MID Term 2'!D32</f>
        <v/>
      </c>
      <c r="E35" s="21">
        <f>'MID Term 1'!H32+'MID Term 2'!E32</f>
        <v/>
      </c>
      <c r="F35" s="21">
        <f>'MID Term 1'!L32+'MID Term 2'!F32</f>
        <v/>
      </c>
      <c r="G35" s="21">
        <f>'MID Term 1'!P32+'MID Term 2'!J32</f>
        <v/>
      </c>
      <c r="H35" s="21">
        <f>'MID Term 1'!Q32+'MID Term 2'!N32</f>
        <v/>
      </c>
      <c r="I35" s="23">
        <f>IF((D35/$D$8)&gt;=$I$8,1,0)</f>
        <v/>
      </c>
      <c r="J35" s="23">
        <f>IF((E35/$E$8)&gt;=$J$8,1,0)</f>
        <v/>
      </c>
      <c r="K35" s="23">
        <f>IF((F35/$F$8)&gt;=$K$8,1,0)</f>
        <v/>
      </c>
      <c r="L35" s="23">
        <f>IF((G35/$G$8)&gt;=$L$8,1,0)</f>
        <v/>
      </c>
      <c r="M35" s="23">
        <f>IF((H35/$H$8)&gt;=$M$8,1,0)</f>
        <v/>
      </c>
      <c r="N35" s="21">
        <f>SUM(D35:H35)</f>
        <v/>
      </c>
      <c r="O35" s="23">
        <f>ROUND(N35/2,0)</f>
        <v/>
      </c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9.5" customHeight="1" s="88">
      <c r="A36" s="47">
        <f>'Sessional + End Term Assessment'!A34</f>
        <v/>
      </c>
      <c r="B36" s="73">
        <f>'Sessional + End Term Assessment'!B34</f>
        <v/>
      </c>
      <c r="C36" s="73">
        <f>'Sessional + End Term Assessment'!C34</f>
        <v/>
      </c>
      <c r="D36" s="21">
        <f>'MID Term 1'!D33+'MID Term 2'!D33</f>
        <v/>
      </c>
      <c r="E36" s="21">
        <f>'MID Term 1'!H33+'MID Term 2'!E33</f>
        <v/>
      </c>
      <c r="F36" s="21">
        <f>'MID Term 1'!L33+'MID Term 2'!F33</f>
        <v/>
      </c>
      <c r="G36" s="21">
        <f>'MID Term 1'!P33+'MID Term 2'!J33</f>
        <v/>
      </c>
      <c r="H36" s="21">
        <f>'MID Term 1'!Q33+'MID Term 2'!N33</f>
        <v/>
      </c>
      <c r="I36" s="23">
        <f>IF((D36/$D$8)&gt;=$I$8,1,0)</f>
        <v/>
      </c>
      <c r="J36" s="23">
        <f>IF((E36/$E$8)&gt;=$J$8,1,0)</f>
        <v/>
      </c>
      <c r="K36" s="23">
        <f>IF((F36/$F$8)&gt;=$K$8,1,0)</f>
        <v/>
      </c>
      <c r="L36" s="23">
        <f>IF((G36/$G$8)&gt;=$L$8,1,0)</f>
        <v/>
      </c>
      <c r="M36" s="23">
        <f>IF((H36/$H$8)&gt;=$M$8,1,0)</f>
        <v/>
      </c>
      <c r="N36" s="21">
        <f>SUM(D36:H36)</f>
        <v/>
      </c>
      <c r="O36" s="23">
        <f>ROUND(N36/2,0)</f>
        <v/>
      </c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9.5" customHeight="1" s="88">
      <c r="A37" s="47">
        <f>'Sessional + End Term Assessment'!A35</f>
        <v/>
      </c>
      <c r="B37" s="73">
        <f>'Sessional + End Term Assessment'!B35</f>
        <v/>
      </c>
      <c r="C37" s="73">
        <f>'Sessional + End Term Assessment'!C35</f>
        <v/>
      </c>
      <c r="D37" s="21">
        <f>'MID Term 1'!D34+'MID Term 2'!D34</f>
        <v/>
      </c>
      <c r="E37" s="21">
        <f>'MID Term 1'!H34+'MID Term 2'!E34</f>
        <v/>
      </c>
      <c r="F37" s="21">
        <f>'MID Term 1'!L34+'MID Term 2'!F34</f>
        <v/>
      </c>
      <c r="G37" s="21">
        <f>'MID Term 1'!P34+'MID Term 2'!J34</f>
        <v/>
      </c>
      <c r="H37" s="21">
        <f>'MID Term 1'!Q34+'MID Term 2'!N34</f>
        <v/>
      </c>
      <c r="I37" s="23">
        <f>IF((D37/$D$8)&gt;=$I$8,1,0)</f>
        <v/>
      </c>
      <c r="J37" s="23">
        <f>IF((E37/$E$8)&gt;=$J$8,1,0)</f>
        <v/>
      </c>
      <c r="K37" s="23">
        <f>IF((F37/$F$8)&gt;=$K$8,1,0)</f>
        <v/>
      </c>
      <c r="L37" s="23">
        <f>IF((G37/$G$8)&gt;=$L$8,1,0)</f>
        <v/>
      </c>
      <c r="M37" s="23">
        <f>IF((H37/$H$8)&gt;=$M$8,1,0)</f>
        <v/>
      </c>
      <c r="N37" s="21">
        <f>SUM(D37:H37)</f>
        <v/>
      </c>
      <c r="O37" s="23">
        <f>ROUND(N37/2,0)</f>
        <v/>
      </c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9.5" customHeight="1" s="88">
      <c r="A38" s="47">
        <f>'Sessional + End Term Assessment'!A36</f>
        <v/>
      </c>
      <c r="B38" s="73">
        <f>'Sessional + End Term Assessment'!B36</f>
        <v/>
      </c>
      <c r="C38" s="73">
        <f>'Sessional + End Term Assessment'!C36</f>
        <v/>
      </c>
      <c r="D38" s="21">
        <f>'MID Term 1'!D35+'MID Term 2'!D35</f>
        <v/>
      </c>
      <c r="E38" s="21">
        <f>'MID Term 1'!H35+'MID Term 2'!E35</f>
        <v/>
      </c>
      <c r="F38" s="21">
        <f>'MID Term 1'!L35+'MID Term 2'!F35</f>
        <v/>
      </c>
      <c r="G38" s="21">
        <f>'MID Term 1'!P35+'MID Term 2'!J35</f>
        <v/>
      </c>
      <c r="H38" s="21">
        <f>'MID Term 1'!Q35+'MID Term 2'!N35</f>
        <v/>
      </c>
      <c r="I38" s="23">
        <f>IF((D38/$D$8)&gt;=$I$8,1,0)</f>
        <v/>
      </c>
      <c r="J38" s="23">
        <f>IF((E38/$E$8)&gt;=$J$8,1,0)</f>
        <v/>
      </c>
      <c r="K38" s="23">
        <f>IF((F38/$F$8)&gt;=$K$8,1,0)</f>
        <v/>
      </c>
      <c r="L38" s="23">
        <f>IF((G38/$G$8)&gt;=$L$8,1,0)</f>
        <v/>
      </c>
      <c r="M38" s="23">
        <f>IF((H38/$H$8)&gt;=$M$8,1,0)</f>
        <v/>
      </c>
      <c r="N38" s="21">
        <f>SUM(D38:H38)</f>
        <v/>
      </c>
      <c r="O38" s="23">
        <f>ROUND(N38/2,0)</f>
        <v/>
      </c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9.5" customHeight="1" s="88">
      <c r="A39" s="47">
        <f>'Sessional + End Term Assessment'!A37</f>
        <v/>
      </c>
      <c r="B39" s="73">
        <f>'Sessional + End Term Assessment'!B37</f>
        <v/>
      </c>
      <c r="C39" s="73">
        <f>'Sessional + End Term Assessment'!C37</f>
        <v/>
      </c>
      <c r="D39" s="21">
        <f>'MID Term 1'!D36+'MID Term 2'!D36</f>
        <v/>
      </c>
      <c r="E39" s="21">
        <f>'MID Term 1'!H36+'MID Term 2'!E36</f>
        <v/>
      </c>
      <c r="F39" s="21">
        <f>'MID Term 1'!L36+'MID Term 2'!F36</f>
        <v/>
      </c>
      <c r="G39" s="21">
        <f>'MID Term 1'!P36+'MID Term 2'!J36</f>
        <v/>
      </c>
      <c r="H39" s="21">
        <f>'MID Term 1'!Q36+'MID Term 2'!N36</f>
        <v/>
      </c>
      <c r="I39" s="23">
        <f>IF((D39/$D$8)&gt;=$I$8,1,0)</f>
        <v/>
      </c>
      <c r="J39" s="23">
        <f>IF((E39/$E$8)&gt;=$J$8,1,0)</f>
        <v/>
      </c>
      <c r="K39" s="23">
        <f>IF((F39/$F$8)&gt;=$K$8,1,0)</f>
        <v/>
      </c>
      <c r="L39" s="23">
        <f>IF((G39/$G$8)&gt;=$L$8,1,0)</f>
        <v/>
      </c>
      <c r="M39" s="23">
        <f>IF((H39/$H$8)&gt;=$M$8,1,0)</f>
        <v/>
      </c>
      <c r="N39" s="21">
        <f>SUM(D39:H39)</f>
        <v/>
      </c>
      <c r="O39" s="23">
        <f>ROUND(N39/2,0)</f>
        <v/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9.5" customHeight="1" s="88">
      <c r="A40" s="15" t="n"/>
      <c r="B40" s="15" t="n"/>
      <c r="C40" s="15" t="inlineStr">
        <is>
          <t>Total No. of Students</t>
        </is>
      </c>
      <c r="D40" s="55" t="n">
        <v>30</v>
      </c>
      <c r="E40" s="55" t="n">
        <v>30</v>
      </c>
      <c r="F40" s="55" t="n">
        <v>30</v>
      </c>
      <c r="G40" s="55" t="n">
        <v>30</v>
      </c>
      <c r="H40" s="55" t="n">
        <v>30</v>
      </c>
      <c r="I40" s="55">
        <f>SUM(I10:I39)</f>
        <v/>
      </c>
      <c r="J40" s="55">
        <f>SUM(J10:J39)</f>
        <v/>
      </c>
      <c r="K40" s="55">
        <f>SUM(K10:K39)</f>
        <v/>
      </c>
      <c r="L40" s="55">
        <f>SUM(L10:L39)</f>
        <v/>
      </c>
      <c r="M40" s="55">
        <f>SUM(M10:M39)</f>
        <v/>
      </c>
      <c r="N40" s="55" t="n"/>
      <c r="O40" s="55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9.5" customHeight="1" s="88">
      <c r="A41" s="135" t="inlineStr">
        <is>
          <t>Rationale:
-While setting up the question paper choice was gIIIen within the same CO with same complexity/difficulty level and no CO is missed out.
-If the student obtains target set for CO in terms of %age, score of 1 is gIIIen and if not zero is gIIIen
-Those students who were found poor in achieving Course outcome, remedial classes are subjected to be scheduled.</t>
        </is>
      </c>
      <c r="B41" s="126" t="n"/>
      <c r="C41" s="126" t="n"/>
      <c r="D41" s="126" t="n"/>
      <c r="E41" s="126" t="n"/>
      <c r="F41" s="126" t="n"/>
      <c r="G41" s="126" t="n"/>
      <c r="H41" s="126" t="n"/>
      <c r="I41" s="126" t="n"/>
      <c r="J41" s="126" t="n"/>
      <c r="K41" s="126" t="n"/>
      <c r="L41" s="126" t="n"/>
      <c r="M41" s="126" t="n"/>
      <c r="N41" s="126" t="n"/>
      <c r="O41" s="126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9.5" customHeight="1" s="88">
      <c r="A42" s="128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9.5" customHeight="1" s="88">
      <c r="A43" s="128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9.5" customHeight="1" s="88">
      <c r="A44" s="130" t="n"/>
      <c r="B44" s="131" t="n"/>
      <c r="C44" s="131" t="n"/>
      <c r="D44" s="131" t="n"/>
      <c r="E44" s="131" t="n"/>
      <c r="F44" s="131" t="n"/>
      <c r="G44" s="131" t="n"/>
      <c r="H44" s="131" t="n"/>
      <c r="I44" s="131" t="n"/>
      <c r="J44" s="131" t="n"/>
      <c r="K44" s="131" t="n"/>
      <c r="L44" s="131" t="n"/>
      <c r="M44" s="131" t="n"/>
      <c r="N44" s="131" t="n"/>
      <c r="O44" s="13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88">
      <c r="A45" s="33" t="inlineStr">
        <is>
          <t>CO Attainment Calculation</t>
        </is>
      </c>
      <c r="B45" s="123" t="n"/>
      <c r="C45" s="124" t="n"/>
      <c r="D45" s="32" t="inlineStr">
        <is>
          <t>% of students get &gt;= Target %</t>
        </is>
      </c>
      <c r="E45" s="32" t="inlineStr">
        <is>
          <t>CO Attainment Level</t>
        </is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9.5" customHeight="1" s="88">
      <c r="A46" s="33" t="inlineStr">
        <is>
          <t>No. of Students Attained CO23CS201.1</t>
        </is>
      </c>
      <c r="B46" s="123" t="n"/>
      <c r="C46" s="124" t="n"/>
      <c r="D46" s="33">
        <f>ROUND((I40/D40*100),0)</f>
        <v/>
      </c>
      <c r="E46" s="32">
        <f>IF(D46&gt;100,"ERROR",IF(D46&gt;=61,3,IF(D46&gt;=46,2,IF(D46&gt;=16,1,IF(D46&gt;15,0,0)))))</f>
        <v/>
      </c>
      <c r="F46" s="33">
        <f>E46*0.2</f>
        <v/>
      </c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9.5" customHeight="1" s="88">
      <c r="A47" s="33" t="inlineStr">
        <is>
          <t>No. of Students Attained CO23CS201.2</t>
        </is>
      </c>
      <c r="B47" s="123" t="n"/>
      <c r="C47" s="124" t="n"/>
      <c r="D47" s="33">
        <f>ROUND((J40/E40*100),0)</f>
        <v/>
      </c>
      <c r="E47" s="32">
        <f>IF(D47&gt;100,"ERROR",IF(D47&gt;=61,3,IF(D47&gt;=46,2,IF(D47&gt;=16,1,IF(D47&gt;15,0,0)))))</f>
        <v/>
      </c>
      <c r="F47" s="33">
        <f>E47*0.2</f>
        <v/>
      </c>
      <c r="G47" s="33" t="n"/>
      <c r="H47" s="136" t="inlineStr">
        <is>
          <t>CO Achieved</t>
        </is>
      </c>
      <c r="I47" s="137" t="n"/>
      <c r="J47" s="56">
        <f>SUM(F46:F50)</f>
        <v/>
      </c>
      <c r="K47" s="33" t="n"/>
      <c r="L47" s="33" t="n"/>
      <c r="M47" s="33" t="n"/>
      <c r="N47" s="33" t="n"/>
      <c r="O47" s="33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9.5" customHeight="1" s="88">
      <c r="A48" s="33" t="inlineStr">
        <is>
          <t>No. of Students Attained CO23CS201.3</t>
        </is>
      </c>
      <c r="B48" s="123" t="n"/>
      <c r="C48" s="124" t="n"/>
      <c r="D48" s="33">
        <f>ROUND((K40/F40*100),0)</f>
        <v/>
      </c>
      <c r="E48" s="32">
        <f>IF(D48&gt;100,"ERROR",IF(D48&gt;=61,3,IF(D48&gt;=46,2,IF(D48&gt;=16,1,IF(D48&gt;15,0,0)))))</f>
        <v/>
      </c>
      <c r="F48" s="33">
        <f>E48*0.2</f>
        <v/>
      </c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9.5" customHeight="1" s="88">
      <c r="A49" s="33" t="inlineStr">
        <is>
          <t>No. of Students Attained CO23CS201.4</t>
        </is>
      </c>
      <c r="B49" s="123" t="n"/>
      <c r="C49" s="124" t="n"/>
      <c r="D49" s="33">
        <f>ROUND((L40/G40*100),0)</f>
        <v/>
      </c>
      <c r="E49" s="32">
        <f>IF(D49&gt;100,"ERROR",IF(D49&gt;=61,3,IF(D49&gt;=46,2,IF(D49&gt;=16,1,IF(D49&gt;15,0,0)))))</f>
        <v/>
      </c>
      <c r="F49" s="33">
        <f>E49*0.2</f>
        <v/>
      </c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9.5" customHeight="1" s="88">
      <c r="A50" s="33" t="inlineStr">
        <is>
          <t>No. of Students Attained CO23CS201.5</t>
        </is>
      </c>
      <c r="B50" s="123" t="n"/>
      <c r="C50" s="124" t="n"/>
      <c r="D50" s="33">
        <f>ROUND((M40/H40*100),0)</f>
        <v/>
      </c>
      <c r="E50" s="32">
        <f>IF(D50&gt;100,"ERROR",IF(D50&gt;=61,3,IF(D50&gt;=46,2,IF(D50&gt;=16,1,IF(D50&gt;15,0,0)))))</f>
        <v/>
      </c>
      <c r="F50" s="33">
        <f>E50*0.2</f>
        <v/>
      </c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9.5" customHeight="1" s="88">
      <c r="A51" s="138" t="inlineStr">
        <is>
          <t>Rationale:
If 0-15% Students get &gt;=Target % then Attainment Level=0
If 15-45% Students get &gt;=Target % then Attainment Level=1
If 45-60% Students get &gt;=Target % then Attainment Level=2
If 60-100% Students get &gt;=Target % then Attainment Level=3</t>
        </is>
      </c>
      <c r="B51" s="126" t="n"/>
      <c r="C51" s="126" t="n"/>
      <c r="D51" s="126" t="n"/>
      <c r="E51" s="126" t="n"/>
      <c r="F51" s="126" t="n"/>
      <c r="G51" s="126" t="n"/>
      <c r="H51" s="127" t="n"/>
      <c r="I51" s="135" t="inlineStr">
        <is>
          <t>Signature Subject Teacher:</t>
        </is>
      </c>
      <c r="J51" s="126" t="n"/>
      <c r="K51" s="126" t="n"/>
      <c r="L51" s="126" t="n"/>
      <c r="M51" s="126" t="n"/>
      <c r="N51" s="126" t="n"/>
      <c r="O51" s="126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9.5" customHeight="1" s="88">
      <c r="A52" s="128" t="n"/>
      <c r="H52" s="129" t="n"/>
      <c r="I52" s="128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9.5" customHeight="1" s="88">
      <c r="A53" s="128" t="n"/>
      <c r="H53" s="129" t="n"/>
      <c r="I53" s="128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9.5" customHeight="1" s="88">
      <c r="A54" s="130" t="n"/>
      <c r="B54" s="131" t="n"/>
      <c r="C54" s="131" t="n"/>
      <c r="D54" s="131" t="n"/>
      <c r="E54" s="131" t="n"/>
      <c r="F54" s="131" t="n"/>
      <c r="G54" s="131" t="n"/>
      <c r="H54" s="132" t="n"/>
      <c r="I54" s="130" t="n"/>
      <c r="J54" s="131" t="n"/>
      <c r="K54" s="131" t="n"/>
      <c r="L54" s="131" t="n"/>
      <c r="M54" s="131" t="n"/>
      <c r="N54" s="131" t="n"/>
      <c r="O54" s="13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88">
      <c r="C55" s="50" t="n"/>
    </row>
    <row r="56" ht="15.75" customHeight="1" s="88"/>
    <row r="57" ht="15.75" customHeight="1" s="88"/>
    <row r="58" ht="15.75" customHeight="1" s="88"/>
    <row r="59" ht="15.75" customHeight="1" s="88"/>
    <row r="60" ht="15.75" customHeight="1" s="88"/>
    <row r="61" ht="15.75" customHeight="1" s="88"/>
    <row r="62" ht="15.75" customHeight="1" s="88"/>
    <row r="63" ht="15.75" customHeight="1" s="88"/>
    <row r="64" ht="15.75" customHeight="1" s="88"/>
    <row r="65" ht="15.75" customHeight="1" s="88"/>
    <row r="66" ht="15.75" customHeight="1" s="88"/>
    <row r="67" ht="15.75" customHeight="1" s="88"/>
    <row r="68" ht="15.75" customHeight="1" s="88"/>
    <row r="69" ht="15.75" customHeight="1" s="88"/>
    <row r="70" ht="15.75" customHeight="1" s="88"/>
    <row r="71" ht="15.75" customHeight="1" s="88"/>
    <row r="72" ht="15.75" customHeight="1" s="88"/>
    <row r="73" ht="15.75" customHeight="1" s="88"/>
    <row r="74" ht="15.75" customHeight="1" s="88"/>
    <row r="75" ht="15.75" customHeight="1" s="88"/>
    <row r="76" ht="15.75" customHeight="1" s="88"/>
    <row r="77" ht="15.75" customHeight="1" s="88"/>
    <row r="78" ht="15.75" customHeight="1" s="88"/>
    <row r="79" ht="15.75" customHeight="1" s="88"/>
    <row r="80" ht="15.75" customHeight="1" s="88"/>
    <row r="81" ht="15.75" customHeight="1" s="88"/>
    <row r="82" ht="15.75" customHeight="1" s="88"/>
    <row r="83" ht="15.75" customHeight="1" s="88"/>
    <row r="84" ht="15.75" customHeight="1" s="88"/>
    <row r="85" ht="15.75" customHeight="1" s="88"/>
    <row r="86" ht="15.75" customHeight="1" s="88"/>
    <row r="87" ht="15.75" customHeight="1" s="88"/>
    <row r="88" ht="15.75" customHeight="1" s="88"/>
    <row r="89" ht="15.75" customHeight="1" s="88"/>
    <row r="90" ht="15.75" customHeight="1" s="88"/>
    <row r="91" ht="15.75" customHeight="1" s="88"/>
    <row r="92" ht="15.75" customHeight="1" s="88"/>
    <row r="93" ht="15.75" customHeight="1" s="88"/>
    <row r="94" ht="15.75" customHeight="1" s="88"/>
    <row r="95" ht="15.75" customHeight="1" s="88"/>
    <row r="96" ht="15.75" customHeight="1" s="88"/>
    <row r="97" ht="15.75" customHeight="1" s="88"/>
    <row r="98" ht="15.75" customHeight="1" s="88"/>
    <row r="99" ht="15.75" customHeight="1" s="88"/>
    <row r="100" ht="15.75" customHeight="1" s="88"/>
    <row r="101" ht="15.75" customHeight="1" s="88"/>
    <row r="102" ht="15.75" customHeight="1" s="88"/>
    <row r="103" ht="15.75" customHeight="1" s="88"/>
    <row r="104" ht="15.75" customHeight="1" s="88"/>
    <row r="105" ht="15.75" customHeight="1" s="88"/>
    <row r="106" ht="15.75" customHeight="1" s="88"/>
    <row r="107" ht="15.75" customHeight="1" s="88"/>
    <row r="108" ht="15.75" customHeight="1" s="88"/>
    <row r="109" ht="15.75" customHeight="1" s="88"/>
    <row r="110" ht="15.75" customHeight="1" s="88"/>
    <row r="111" ht="15.75" customHeight="1" s="88"/>
    <row r="112" ht="15.75" customHeight="1" s="88"/>
    <row r="113" ht="15.75" customHeight="1" s="88"/>
    <row r="114" ht="15.75" customHeight="1" s="88"/>
    <row r="115" ht="15.75" customHeight="1" s="88"/>
    <row r="116" ht="15.75" customHeight="1" s="88"/>
    <row r="117" ht="15.75" customHeight="1" s="88"/>
    <row r="118" ht="15.75" customHeight="1" s="88"/>
    <row r="119" ht="15.75" customHeight="1" s="88"/>
    <row r="120" ht="15.75" customHeight="1" s="88"/>
    <row r="121" ht="15.75" customHeight="1" s="88"/>
    <row r="122" ht="15.75" customHeight="1" s="88"/>
    <row r="123" ht="15.75" customHeight="1" s="88"/>
    <row r="124" ht="15.75" customHeight="1" s="88"/>
    <row r="125" ht="15.75" customHeight="1" s="88"/>
    <row r="126" ht="15.75" customHeight="1" s="88"/>
    <row r="127" ht="15.75" customHeight="1" s="88"/>
    <row r="128" ht="15.75" customHeight="1" s="88"/>
    <row r="129" ht="15.75" customHeight="1" s="88"/>
    <row r="130" ht="15.75" customHeight="1" s="88"/>
    <row r="131" ht="15.75" customHeight="1" s="88"/>
    <row r="132" ht="15.75" customHeight="1" s="88"/>
    <row r="133" ht="15.75" customHeight="1" s="88"/>
    <row r="134" ht="15.75" customHeight="1" s="88"/>
    <row r="135" ht="15.75" customHeight="1" s="88"/>
    <row r="136" ht="15.75" customHeight="1" s="88"/>
    <row r="137" ht="15.75" customHeight="1" s="88"/>
    <row r="138" ht="15.75" customHeight="1" s="88"/>
    <row r="139" ht="15.75" customHeight="1" s="88"/>
    <row r="140" ht="15.75" customHeight="1" s="88"/>
    <row r="141" ht="15.75" customHeight="1" s="88"/>
    <row r="142" ht="15.75" customHeight="1" s="88"/>
    <row r="143" ht="15.75" customHeight="1" s="88"/>
    <row r="144" ht="15.75" customHeight="1" s="88"/>
    <row r="145" ht="15.75" customHeight="1" s="88"/>
    <row r="146" ht="15.75" customHeight="1" s="88"/>
    <row r="147" ht="15.75" customHeight="1" s="88"/>
    <row r="148" ht="15.75" customHeight="1" s="88"/>
    <row r="149" ht="15.75" customHeight="1" s="88"/>
    <row r="150" ht="15.75" customHeight="1" s="88"/>
    <row r="151" ht="15.75" customHeight="1" s="88"/>
    <row r="152" ht="15.75" customHeight="1" s="88"/>
    <row r="153" ht="15.75" customHeight="1" s="88"/>
    <row r="154" ht="15.75" customHeight="1" s="88"/>
    <row r="155" ht="15.75" customHeight="1" s="88"/>
    <row r="156" ht="15.75" customHeight="1" s="88"/>
    <row r="157" ht="15.75" customHeight="1" s="88"/>
    <row r="158" ht="15.75" customHeight="1" s="88"/>
    <row r="159" ht="15.75" customHeight="1" s="88"/>
    <row r="160" ht="15.75" customHeight="1" s="88"/>
    <row r="161" ht="15.75" customHeight="1" s="88"/>
    <row r="162" ht="15.75" customHeight="1" s="88"/>
    <row r="163" ht="15.75" customHeight="1" s="88"/>
    <row r="164" ht="15.75" customHeight="1" s="88"/>
    <row r="165" ht="15.75" customHeight="1" s="88"/>
    <row r="166" ht="15.75" customHeight="1" s="88"/>
    <row r="167" ht="15.75" customHeight="1" s="88"/>
    <row r="168" ht="15.75" customHeight="1" s="88"/>
    <row r="169" ht="15.75" customHeight="1" s="88"/>
    <row r="170" ht="15.75" customHeight="1" s="88"/>
    <row r="171" ht="15.75" customHeight="1" s="88"/>
    <row r="172" ht="15.75" customHeight="1" s="88"/>
    <row r="173" ht="15.75" customHeight="1" s="88"/>
    <row r="174" ht="15.75" customHeight="1" s="88"/>
    <row r="175" ht="15.75" customHeight="1" s="88"/>
    <row r="176" ht="15.75" customHeight="1" s="88"/>
    <row r="177" ht="15.75" customHeight="1" s="88"/>
    <row r="178" ht="15.75" customHeight="1" s="88"/>
    <row r="179" ht="15.75" customHeight="1" s="88"/>
    <row r="180" ht="15.75" customHeight="1" s="88"/>
    <row r="181" ht="15.75" customHeight="1" s="88"/>
    <row r="182" ht="15.75" customHeight="1" s="88"/>
    <row r="183" ht="15.75" customHeight="1" s="88"/>
    <row r="184" ht="15.75" customHeight="1" s="88"/>
    <row r="185" ht="15.75" customHeight="1" s="88"/>
    <row r="186" ht="15.75" customHeight="1" s="88"/>
    <row r="187" ht="15.75" customHeight="1" s="88"/>
    <row r="188" ht="15.75" customHeight="1" s="88"/>
    <row r="189" ht="15.75" customHeight="1" s="88"/>
    <row r="190" ht="15.75" customHeight="1" s="88"/>
    <row r="191" ht="15.75" customHeight="1" s="88"/>
    <row r="192" ht="15.75" customHeight="1" s="88"/>
    <row r="193" ht="15.75" customHeight="1" s="88"/>
    <row r="194" ht="15.75" customHeight="1" s="88"/>
    <row r="195" ht="15.75" customHeight="1" s="88"/>
    <row r="196" ht="15.75" customHeight="1" s="88"/>
    <row r="197" ht="15.75" customHeight="1" s="88"/>
    <row r="198" ht="15.75" customHeight="1" s="88"/>
    <row r="199" ht="15.75" customHeight="1" s="88"/>
    <row r="200" ht="15.75" customHeight="1" s="88"/>
    <row r="201" ht="15.75" customHeight="1" s="88"/>
    <row r="202" ht="15.75" customHeight="1" s="88"/>
    <row r="203" ht="15.75" customHeight="1" s="88"/>
    <row r="204" ht="15.75" customHeight="1" s="88"/>
    <row r="205" ht="15.75" customHeight="1" s="88"/>
    <row r="206" ht="15.75" customHeight="1" s="88"/>
    <row r="207" ht="15.75" customHeight="1" s="88"/>
    <row r="208" ht="15.75" customHeight="1" s="88"/>
    <row r="209" ht="15.75" customHeight="1" s="88"/>
    <row r="210" ht="15.75" customHeight="1" s="88"/>
    <row r="211" ht="15.75" customHeight="1" s="88"/>
    <row r="212" ht="15.75" customHeight="1" s="88"/>
    <row r="213" ht="15.75" customHeight="1" s="88"/>
    <row r="214" ht="15.75" customHeight="1" s="88"/>
    <row r="215" ht="15.75" customHeight="1" s="88"/>
    <row r="216" ht="15.75" customHeight="1" s="88"/>
    <row r="217" ht="15.75" customHeight="1" s="88"/>
    <row r="218" ht="15.75" customHeight="1" s="88"/>
    <row r="219" ht="15.75" customHeight="1" s="88"/>
    <row r="220" ht="15.75" customHeight="1" s="88"/>
    <row r="221" ht="15.75" customHeight="1" s="88"/>
    <row r="222" ht="15.75" customHeight="1" s="88"/>
    <row r="223" ht="15.75" customHeight="1" s="88"/>
    <row r="224" ht="15.75" customHeight="1" s="88"/>
    <row r="225" ht="15.75" customHeight="1" s="88"/>
    <row r="226" ht="15.75" customHeight="1" s="88"/>
    <row r="227" ht="15.75" customHeight="1" s="88"/>
    <row r="228" ht="15.75" customHeight="1" s="88"/>
    <row r="229" ht="15.75" customHeight="1" s="88"/>
    <row r="230" ht="15.75" customHeight="1" s="88"/>
    <row r="231" ht="15.75" customHeight="1" s="88"/>
    <row r="232" ht="15.75" customHeight="1" s="88"/>
    <row r="233" ht="15.75" customHeight="1" s="88"/>
    <row r="234" ht="15.75" customHeight="1" s="88"/>
    <row r="235" ht="15.75" customHeight="1" s="88"/>
    <row r="236" ht="15.75" customHeight="1" s="88"/>
    <row r="237" ht="15.75" customHeight="1" s="88"/>
    <row r="238" ht="15.75" customHeight="1" s="88"/>
    <row r="239" ht="15.75" customHeight="1" s="88"/>
    <row r="240" ht="15.75" customHeight="1" s="88"/>
    <row r="241" ht="15.75" customHeight="1" s="88"/>
    <row r="242" ht="15.75" customHeight="1" s="88"/>
    <row r="243" ht="15.75" customHeight="1" s="88"/>
    <row r="244" ht="15.75" customHeight="1" s="88"/>
    <row r="245" ht="15.75" customHeight="1" s="88"/>
    <row r="246" ht="15.75" customHeight="1" s="88"/>
    <row r="247" ht="15.75" customHeight="1" s="88"/>
    <row r="248" ht="15.75" customHeight="1" s="88"/>
    <row r="249" ht="15.75" customHeight="1" s="88"/>
    <row r="250" ht="15.75" customHeight="1" s="88"/>
    <row r="251" ht="15.75" customHeight="1" s="88"/>
    <row r="252" ht="15.75" customHeight="1" s="88"/>
    <row r="253" ht="15.75" customHeight="1" s="88"/>
    <row r="254" ht="15.75" customHeight="1" s="88"/>
    <row r="255" ht="15.75" customHeight="1" s="88"/>
    <row r="256" ht="15.75" customHeight="1" s="88"/>
    <row r="257" ht="15.75" customHeight="1" s="88"/>
    <row r="258" ht="15.75" customHeight="1" s="88"/>
    <row r="259" ht="15.75" customHeight="1" s="88"/>
    <row r="260" ht="15.75" customHeight="1" s="88"/>
    <row r="261" ht="15.75" customHeight="1" s="88"/>
    <row r="262" ht="15.75" customHeight="1" s="88"/>
    <row r="263" ht="15.75" customHeight="1" s="88"/>
    <row r="264" ht="15.75" customHeight="1" s="88"/>
    <row r="265" ht="15.75" customHeight="1" s="88"/>
    <row r="266" ht="15.75" customHeight="1" s="88"/>
    <row r="267" ht="15.75" customHeight="1" s="88"/>
    <row r="268" ht="15.75" customHeight="1" s="88"/>
    <row r="269" ht="15.75" customHeight="1" s="88"/>
    <row r="270" ht="15.75" customHeight="1" s="88"/>
    <row r="271" ht="15.75" customHeight="1" s="88"/>
    <row r="272" ht="15.75" customHeight="1" s="88"/>
    <row r="273" ht="15.75" customHeight="1" s="88"/>
    <row r="274" ht="15.75" customHeight="1" s="88"/>
    <row r="275" ht="15.75" customHeight="1" s="88"/>
    <row r="276" ht="15.75" customHeight="1" s="88"/>
    <row r="277" ht="15.75" customHeight="1" s="88"/>
    <row r="278" ht="15.75" customHeight="1" s="88"/>
    <row r="279" ht="15.75" customHeight="1" s="88"/>
    <row r="280" ht="15.75" customHeight="1" s="88"/>
    <row r="281" ht="15.75" customHeight="1" s="88"/>
    <row r="282" ht="15.75" customHeight="1" s="88"/>
    <row r="283" ht="15.75" customHeight="1" s="88"/>
    <row r="284" ht="15.75" customHeight="1" s="88"/>
    <row r="285" ht="15.75" customHeight="1" s="88"/>
    <row r="286" ht="15.75" customHeight="1" s="88"/>
    <row r="287" ht="15.75" customHeight="1" s="88"/>
    <row r="288" ht="15.75" customHeight="1" s="88"/>
    <row r="289" ht="15.75" customHeight="1" s="88"/>
    <row r="290" ht="15.75" customHeight="1" s="88"/>
    <row r="291" ht="15.75" customHeight="1" s="88"/>
    <row r="292" ht="15.75" customHeight="1" s="88"/>
    <row r="293" ht="15.75" customHeight="1" s="88"/>
    <row r="294" ht="15.75" customHeight="1" s="88"/>
    <row r="295" ht="15.75" customHeight="1" s="88"/>
    <row r="296" ht="15.75" customHeight="1" s="88"/>
    <row r="297" ht="15.75" customHeight="1" s="88"/>
    <row r="298" ht="15.75" customHeight="1" s="88"/>
    <row r="299" ht="15.75" customHeight="1" s="88"/>
    <row r="300" ht="15.75" customHeight="1" s="88"/>
    <row r="301" ht="15.75" customHeight="1" s="88"/>
    <row r="302" ht="15.75" customHeight="1" s="88"/>
    <row r="303" ht="15.75" customHeight="1" s="88"/>
    <row r="304" ht="15.75" customHeight="1" s="88"/>
    <row r="305" ht="15.75" customHeight="1" s="88"/>
    <row r="306" ht="15.75" customHeight="1" s="88"/>
    <row r="307" ht="15.75" customHeight="1" s="88"/>
    <row r="308" ht="15.75" customHeight="1" s="88"/>
    <row r="309" ht="15.75" customHeight="1" s="88"/>
    <row r="310" ht="15.75" customHeight="1" s="88"/>
    <row r="311" ht="15.75" customHeight="1" s="88"/>
    <row r="312" ht="15.75" customHeight="1" s="88"/>
    <row r="313" ht="15.75" customHeight="1" s="88"/>
    <row r="314" ht="15.75" customHeight="1" s="88"/>
    <row r="315" ht="15.75" customHeight="1" s="88"/>
    <row r="316" ht="15.75" customHeight="1" s="88"/>
    <row r="317" ht="15.75" customHeight="1" s="88"/>
    <row r="318" ht="15.75" customHeight="1" s="88"/>
    <row r="319" ht="15.75" customHeight="1" s="88"/>
    <row r="320" ht="15.75" customHeight="1" s="88"/>
    <row r="321" ht="15.75" customHeight="1" s="88"/>
    <row r="322" ht="15.75" customHeight="1" s="88"/>
    <row r="323" ht="15.75" customHeight="1" s="88"/>
    <row r="324" ht="15.75" customHeight="1" s="88"/>
    <row r="325" ht="15.75" customHeight="1" s="88"/>
    <row r="326" ht="15.75" customHeight="1" s="88"/>
    <row r="327" ht="15.75" customHeight="1" s="88"/>
    <row r="328" ht="15.75" customHeight="1" s="88"/>
    <row r="329" ht="15.75" customHeight="1" s="88"/>
    <row r="330" ht="15.75" customHeight="1" s="88"/>
    <row r="331" ht="15.75" customHeight="1" s="88"/>
    <row r="332" ht="15.75" customHeight="1" s="88"/>
    <row r="333" ht="15.75" customHeight="1" s="88"/>
    <row r="334" ht="15.75" customHeight="1" s="88"/>
    <row r="335" ht="15.75" customHeight="1" s="88"/>
    <row r="336" ht="15.75" customHeight="1" s="88"/>
    <row r="337" ht="15.75" customHeight="1" s="88"/>
    <row r="338" ht="15.75" customHeight="1" s="88"/>
    <row r="339" ht="15.75" customHeight="1" s="88"/>
    <row r="340" ht="15.75" customHeight="1" s="88"/>
    <row r="341" ht="15.75" customHeight="1" s="88"/>
    <row r="342" ht="15.75" customHeight="1" s="88"/>
    <row r="343" ht="15.75" customHeight="1" s="88"/>
    <row r="344" ht="15.75" customHeight="1" s="88"/>
    <row r="345" ht="15.75" customHeight="1" s="88"/>
    <row r="346" ht="15.75" customHeight="1" s="88"/>
    <row r="347" ht="15.75" customHeight="1" s="88"/>
    <row r="348" ht="15.75" customHeight="1" s="88"/>
    <row r="349" ht="15.75" customHeight="1" s="88"/>
    <row r="350" ht="15.75" customHeight="1" s="88"/>
    <row r="351" ht="15.75" customHeight="1" s="88"/>
    <row r="352" ht="15.75" customHeight="1" s="88"/>
    <row r="353" ht="15.75" customHeight="1" s="88"/>
    <row r="354" ht="15.75" customHeight="1" s="88"/>
    <row r="355" ht="15.75" customHeight="1" s="88"/>
    <row r="356" ht="15.75" customHeight="1" s="88"/>
    <row r="357" ht="15.75" customHeight="1" s="88"/>
    <row r="358" ht="15.75" customHeight="1" s="88"/>
    <row r="359" ht="15.75" customHeight="1" s="88"/>
    <row r="360" ht="15.75" customHeight="1" s="88"/>
    <row r="361" ht="15.75" customHeight="1" s="88"/>
    <row r="362" ht="15.75" customHeight="1" s="88"/>
    <row r="363" ht="15.75" customHeight="1" s="88"/>
    <row r="364" ht="15.75" customHeight="1" s="88"/>
    <row r="365" ht="15.75" customHeight="1" s="88"/>
    <row r="366" ht="15.75" customHeight="1" s="88"/>
    <row r="367" ht="15.75" customHeight="1" s="88"/>
    <row r="368" ht="15.75" customHeight="1" s="88"/>
    <row r="369" ht="15.75" customHeight="1" s="88"/>
    <row r="370" ht="15.75" customHeight="1" s="88"/>
    <row r="371" ht="15.75" customHeight="1" s="88"/>
    <row r="372" ht="15.75" customHeight="1" s="88"/>
    <row r="373" ht="15.75" customHeight="1" s="88"/>
    <row r="374" ht="15.75" customHeight="1" s="88"/>
    <row r="375" ht="15.75" customHeight="1" s="88"/>
    <row r="376" ht="15.75" customHeight="1" s="88"/>
    <row r="377" ht="15.75" customHeight="1" s="88"/>
    <row r="378" ht="15.75" customHeight="1" s="88"/>
    <row r="379" ht="15.75" customHeight="1" s="88"/>
    <row r="380" ht="15.75" customHeight="1" s="88"/>
    <row r="381" ht="15.75" customHeight="1" s="88"/>
    <row r="382" ht="15.75" customHeight="1" s="88"/>
    <row r="383" ht="15.75" customHeight="1" s="88"/>
    <row r="384" ht="15.75" customHeight="1" s="88"/>
    <row r="385" ht="15.75" customHeight="1" s="88"/>
    <row r="386" ht="15.75" customHeight="1" s="88"/>
    <row r="387" ht="15.75" customHeight="1" s="88"/>
    <row r="388" ht="15.75" customHeight="1" s="88"/>
    <row r="389" ht="15.75" customHeight="1" s="88"/>
    <row r="390" ht="15.75" customHeight="1" s="88"/>
    <row r="391" ht="15.75" customHeight="1" s="88"/>
    <row r="392" ht="15.75" customHeight="1" s="88"/>
    <row r="393" ht="15.75" customHeight="1" s="88"/>
    <row r="394" ht="15.75" customHeight="1" s="88"/>
    <row r="395" ht="15.75" customHeight="1" s="88"/>
    <row r="396" ht="15.75" customHeight="1" s="88"/>
    <row r="397" ht="15.75" customHeight="1" s="88"/>
    <row r="398" ht="15.75" customHeight="1" s="88"/>
    <row r="399" ht="15.75" customHeight="1" s="88"/>
    <row r="400" ht="15.75" customHeight="1" s="88"/>
    <row r="401" ht="15.75" customHeight="1" s="88"/>
    <row r="402" ht="15.75" customHeight="1" s="88"/>
    <row r="403" ht="15.75" customHeight="1" s="88"/>
    <row r="404" ht="15.75" customHeight="1" s="88"/>
    <row r="405" ht="15.75" customHeight="1" s="88"/>
    <row r="406" ht="15.75" customHeight="1" s="88"/>
    <row r="407" ht="15.75" customHeight="1" s="88"/>
    <row r="408" ht="15.75" customHeight="1" s="88"/>
    <row r="409" ht="15.75" customHeight="1" s="88"/>
    <row r="410" ht="15.75" customHeight="1" s="88"/>
    <row r="411" ht="15.75" customHeight="1" s="88"/>
    <row r="412" ht="15.75" customHeight="1" s="88"/>
    <row r="413" ht="15.75" customHeight="1" s="88"/>
    <row r="414" ht="15.75" customHeight="1" s="88"/>
    <row r="415" ht="15.75" customHeight="1" s="88"/>
    <row r="416" ht="15.75" customHeight="1" s="88"/>
    <row r="417" ht="15.75" customHeight="1" s="88"/>
    <row r="418" ht="15.75" customHeight="1" s="88"/>
    <row r="419" ht="15.75" customHeight="1" s="88"/>
    <row r="420" ht="15.75" customHeight="1" s="88"/>
    <row r="421" ht="15.75" customHeight="1" s="88"/>
    <row r="422" ht="15.75" customHeight="1" s="88"/>
    <row r="423" ht="15.75" customHeight="1" s="88"/>
    <row r="424" ht="15.75" customHeight="1" s="88"/>
    <row r="425" ht="15.75" customHeight="1" s="88"/>
    <row r="426" ht="15.75" customHeight="1" s="88"/>
    <row r="427" ht="15.75" customHeight="1" s="88"/>
    <row r="428" ht="15.75" customHeight="1" s="88"/>
    <row r="429" ht="15.75" customHeight="1" s="88"/>
    <row r="430" ht="15.75" customHeight="1" s="88"/>
    <row r="431" ht="15.75" customHeight="1" s="88"/>
    <row r="432" ht="15.75" customHeight="1" s="88"/>
    <row r="433" ht="15.75" customHeight="1" s="88"/>
    <row r="434" ht="15.75" customHeight="1" s="88"/>
    <row r="435" ht="15.75" customHeight="1" s="88"/>
    <row r="436" ht="15.75" customHeight="1" s="88"/>
    <row r="437" ht="15.75" customHeight="1" s="88"/>
    <row r="438" ht="15.75" customHeight="1" s="88"/>
    <row r="439" ht="15.75" customHeight="1" s="88"/>
    <row r="440" ht="15.75" customHeight="1" s="88"/>
    <row r="441" ht="15.75" customHeight="1" s="88"/>
    <row r="442" ht="15.75" customHeight="1" s="88"/>
    <row r="443" ht="15.75" customHeight="1" s="88"/>
    <row r="444" ht="15.75" customHeight="1" s="88"/>
    <row r="445" ht="15.75" customHeight="1" s="88"/>
    <row r="446" ht="15.75" customHeight="1" s="88"/>
    <row r="447" ht="15.75" customHeight="1" s="88"/>
    <row r="448" ht="15.75" customHeight="1" s="88"/>
    <row r="449" ht="15.75" customHeight="1" s="88"/>
    <row r="450" ht="15.75" customHeight="1" s="88"/>
    <row r="451" ht="15.75" customHeight="1" s="88"/>
    <row r="452" ht="15.75" customHeight="1" s="88"/>
    <row r="453" ht="15.75" customHeight="1" s="88"/>
    <row r="454" ht="15.75" customHeight="1" s="88"/>
    <row r="455" ht="15.75" customHeight="1" s="88"/>
    <row r="456" ht="15.75" customHeight="1" s="88"/>
    <row r="457" ht="15.75" customHeight="1" s="88"/>
    <row r="458" ht="15.75" customHeight="1" s="88"/>
    <row r="459" ht="15.75" customHeight="1" s="88"/>
    <row r="460" ht="15.75" customHeight="1" s="88"/>
    <row r="461" ht="15.75" customHeight="1" s="88"/>
    <row r="462" ht="15.75" customHeight="1" s="88"/>
    <row r="463" ht="15.75" customHeight="1" s="88"/>
    <row r="464" ht="15.75" customHeight="1" s="88"/>
    <row r="465" ht="15.75" customHeight="1" s="88"/>
    <row r="466" ht="15.75" customHeight="1" s="88"/>
    <row r="467" ht="15.75" customHeight="1" s="88"/>
    <row r="468" ht="15.75" customHeight="1" s="88"/>
    <row r="469" ht="15.75" customHeight="1" s="88"/>
    <row r="470" ht="15.75" customHeight="1" s="88"/>
    <row r="471" ht="15.75" customHeight="1" s="88"/>
    <row r="472" ht="15.75" customHeight="1" s="88"/>
    <row r="473" ht="15.75" customHeight="1" s="88"/>
    <row r="474" ht="15.75" customHeight="1" s="88"/>
    <row r="475" ht="15.75" customHeight="1" s="88"/>
    <row r="476" ht="15.75" customHeight="1" s="88"/>
    <row r="477" ht="15.75" customHeight="1" s="88"/>
    <row r="478" ht="15.75" customHeight="1" s="88"/>
    <row r="479" ht="15.75" customHeight="1" s="88"/>
    <row r="480" ht="15.75" customHeight="1" s="88"/>
    <row r="481" ht="15.75" customHeight="1" s="88"/>
    <row r="482" ht="15.75" customHeight="1" s="88"/>
    <row r="483" ht="15.75" customHeight="1" s="88"/>
    <row r="484" ht="15.75" customHeight="1" s="88"/>
    <row r="485" ht="15.75" customHeight="1" s="88"/>
    <row r="486" ht="15.75" customHeight="1" s="88"/>
    <row r="487" ht="15.75" customHeight="1" s="88"/>
    <row r="488" ht="15.75" customHeight="1" s="88"/>
    <row r="489" ht="15.75" customHeight="1" s="88"/>
    <row r="490" ht="15.75" customHeight="1" s="88"/>
    <row r="491" ht="15.75" customHeight="1" s="88"/>
    <row r="492" ht="15.75" customHeight="1" s="88"/>
    <row r="493" ht="15.75" customHeight="1" s="88"/>
    <row r="494" ht="15.75" customHeight="1" s="88"/>
    <row r="495" ht="15.75" customHeight="1" s="88"/>
    <row r="496" ht="15.75" customHeight="1" s="88"/>
    <row r="497" ht="15.75" customHeight="1" s="88"/>
    <row r="498" ht="15.75" customHeight="1" s="88"/>
    <row r="499" ht="15.75" customHeight="1" s="88"/>
    <row r="500" ht="15.75" customHeight="1" s="88"/>
    <row r="501" ht="15.75" customHeight="1" s="88"/>
    <row r="502" ht="15.75" customHeight="1" s="88"/>
    <row r="503" ht="15.75" customHeight="1" s="88"/>
    <row r="504" ht="15.75" customHeight="1" s="88"/>
    <row r="505" ht="15.75" customHeight="1" s="88"/>
    <row r="506" ht="15.75" customHeight="1" s="88"/>
    <row r="507" ht="15.75" customHeight="1" s="88"/>
    <row r="508" ht="15.75" customHeight="1" s="88"/>
    <row r="509" ht="15.75" customHeight="1" s="88"/>
    <row r="510" ht="15.75" customHeight="1" s="88"/>
    <row r="511" ht="15.75" customHeight="1" s="88"/>
    <row r="512" ht="15.75" customHeight="1" s="88"/>
    <row r="513" ht="15.75" customHeight="1" s="88"/>
    <row r="514" ht="15.75" customHeight="1" s="88"/>
    <row r="515" ht="15.75" customHeight="1" s="88"/>
    <row r="516" ht="15.75" customHeight="1" s="88"/>
    <row r="517" ht="15.75" customHeight="1" s="88"/>
    <row r="518" ht="15.75" customHeight="1" s="88"/>
    <row r="519" ht="15.75" customHeight="1" s="88"/>
    <row r="520" ht="15.75" customHeight="1" s="88"/>
    <row r="521" ht="15.75" customHeight="1" s="88"/>
    <row r="522" ht="15.75" customHeight="1" s="88"/>
    <row r="523" ht="15.75" customHeight="1" s="88"/>
    <row r="524" ht="15.75" customHeight="1" s="88"/>
    <row r="525" ht="15.75" customHeight="1" s="88"/>
    <row r="526" ht="15.75" customHeight="1" s="88"/>
    <row r="527" ht="15.75" customHeight="1" s="88"/>
    <row r="528" ht="15.75" customHeight="1" s="88"/>
    <row r="529" ht="15.75" customHeight="1" s="88"/>
    <row r="530" ht="15.75" customHeight="1" s="88"/>
    <row r="531" ht="15.75" customHeight="1" s="88"/>
    <row r="532" ht="15.75" customHeight="1" s="88"/>
    <row r="533" ht="15.75" customHeight="1" s="88"/>
    <row r="534" ht="15.75" customHeight="1" s="88"/>
    <row r="535" ht="15.75" customHeight="1" s="88"/>
    <row r="536" ht="15.75" customHeight="1" s="88"/>
    <row r="537" ht="15.75" customHeight="1" s="88"/>
    <row r="538" ht="15.75" customHeight="1" s="88"/>
    <row r="539" ht="15.75" customHeight="1" s="88"/>
    <row r="540" ht="15.75" customHeight="1" s="88"/>
    <row r="541" ht="15.75" customHeight="1" s="88"/>
    <row r="542" ht="15.75" customHeight="1" s="88"/>
    <row r="543" ht="15.75" customHeight="1" s="88"/>
    <row r="544" ht="15.75" customHeight="1" s="88"/>
    <row r="545" ht="15.75" customHeight="1" s="88"/>
    <row r="546" ht="15.75" customHeight="1" s="88"/>
    <row r="547" ht="15.75" customHeight="1" s="88"/>
    <row r="548" ht="15.75" customHeight="1" s="88"/>
    <row r="549" ht="15.75" customHeight="1" s="88"/>
    <row r="550" ht="15.75" customHeight="1" s="88"/>
    <row r="551" ht="15.75" customHeight="1" s="88"/>
    <row r="552" ht="15.75" customHeight="1" s="88"/>
    <row r="553" ht="15.75" customHeight="1" s="88"/>
    <row r="554" ht="15.75" customHeight="1" s="88"/>
    <row r="555" ht="15.75" customHeight="1" s="88"/>
    <row r="556" ht="15.75" customHeight="1" s="88"/>
    <row r="557" ht="15.75" customHeight="1" s="88"/>
    <row r="558" ht="15.75" customHeight="1" s="88"/>
    <row r="559" ht="15.75" customHeight="1" s="88"/>
    <row r="560" ht="15.75" customHeight="1" s="88"/>
    <row r="561" ht="15.75" customHeight="1" s="88"/>
    <row r="562" ht="15.75" customHeight="1" s="88"/>
    <row r="563" ht="15.75" customHeight="1" s="88"/>
    <row r="564" ht="15.75" customHeight="1" s="88"/>
    <row r="565" ht="15.75" customHeight="1" s="88"/>
    <row r="566" ht="15.75" customHeight="1" s="88"/>
    <row r="567" ht="15.75" customHeight="1" s="88"/>
    <row r="568" ht="15.75" customHeight="1" s="88"/>
    <row r="569" ht="15.75" customHeight="1" s="88"/>
    <row r="570" ht="15.75" customHeight="1" s="88"/>
    <row r="571" ht="15.75" customHeight="1" s="88"/>
    <row r="572" ht="15.75" customHeight="1" s="88"/>
    <row r="573" ht="15.75" customHeight="1" s="88"/>
    <row r="574" ht="15.75" customHeight="1" s="88"/>
    <row r="575" ht="15.75" customHeight="1" s="88"/>
    <row r="576" ht="15.75" customHeight="1" s="88"/>
    <row r="577" ht="15.75" customHeight="1" s="88"/>
    <row r="578" ht="15.75" customHeight="1" s="88"/>
    <row r="579" ht="15.75" customHeight="1" s="88"/>
    <row r="580" ht="15.75" customHeight="1" s="88"/>
    <row r="581" ht="15.75" customHeight="1" s="88"/>
    <row r="582" ht="15.75" customHeight="1" s="88"/>
    <row r="583" ht="15.75" customHeight="1" s="88"/>
    <row r="584" ht="15.75" customHeight="1" s="88"/>
    <row r="585" ht="15.75" customHeight="1" s="88"/>
    <row r="586" ht="15.75" customHeight="1" s="88"/>
    <row r="587" ht="15.75" customHeight="1" s="88"/>
    <row r="588" ht="15.75" customHeight="1" s="88"/>
    <row r="589" ht="15.75" customHeight="1" s="88"/>
    <row r="590" ht="15.75" customHeight="1" s="88"/>
    <row r="591" ht="15.75" customHeight="1" s="88"/>
    <row r="592" ht="15.75" customHeight="1" s="88"/>
    <row r="593" ht="15.75" customHeight="1" s="88"/>
    <row r="594" ht="15.75" customHeight="1" s="88"/>
    <row r="595" ht="15.75" customHeight="1" s="88"/>
    <row r="596" ht="15.75" customHeight="1" s="88"/>
    <row r="597" ht="15.75" customHeight="1" s="88"/>
    <row r="598" ht="15.75" customHeight="1" s="88"/>
    <row r="599" ht="15.75" customHeight="1" s="88"/>
    <row r="600" ht="15.75" customHeight="1" s="88"/>
    <row r="601" ht="15.75" customHeight="1" s="88"/>
    <row r="602" ht="15.75" customHeight="1" s="88"/>
    <row r="603" ht="15.75" customHeight="1" s="88"/>
    <row r="604" ht="15.75" customHeight="1" s="88"/>
    <row r="605" ht="15.75" customHeight="1" s="88"/>
    <row r="606" ht="15.75" customHeight="1" s="88"/>
    <row r="607" ht="15.75" customHeight="1" s="88"/>
    <row r="608" ht="15.75" customHeight="1" s="88"/>
    <row r="609" ht="15.75" customHeight="1" s="88"/>
    <row r="610" ht="15.75" customHeight="1" s="88"/>
    <row r="611" ht="15.75" customHeight="1" s="88"/>
    <row r="612" ht="15.75" customHeight="1" s="88"/>
    <row r="613" ht="15.75" customHeight="1" s="88"/>
    <row r="614" ht="15.75" customHeight="1" s="88"/>
    <row r="615" ht="15.75" customHeight="1" s="88"/>
    <row r="616" ht="15.75" customHeight="1" s="88"/>
    <row r="617" ht="15.75" customHeight="1" s="88"/>
    <row r="618" ht="15.75" customHeight="1" s="88"/>
    <row r="619" ht="15.75" customHeight="1" s="88"/>
    <row r="620" ht="15.75" customHeight="1" s="88"/>
    <row r="621" ht="15.75" customHeight="1" s="88"/>
    <row r="622" ht="15.75" customHeight="1" s="88"/>
    <row r="623" ht="15.75" customHeight="1" s="88"/>
    <row r="624" ht="15.75" customHeight="1" s="88"/>
    <row r="625" ht="15.75" customHeight="1" s="88"/>
    <row r="626" ht="15.75" customHeight="1" s="88"/>
    <row r="627" ht="15.75" customHeight="1" s="88"/>
    <row r="628" ht="15.75" customHeight="1" s="88"/>
    <row r="629" ht="15.75" customHeight="1" s="88"/>
    <row r="630" ht="15.75" customHeight="1" s="88"/>
    <row r="631" ht="15.75" customHeight="1" s="88"/>
    <row r="632" ht="15.75" customHeight="1" s="88"/>
    <row r="633" ht="15.75" customHeight="1" s="88"/>
    <row r="634" ht="15.75" customHeight="1" s="88"/>
    <row r="635" ht="15.75" customHeight="1" s="88"/>
    <row r="636" ht="15.75" customHeight="1" s="88"/>
    <row r="637" ht="15.75" customHeight="1" s="88"/>
    <row r="638" ht="15.75" customHeight="1" s="88"/>
    <row r="639" ht="15.75" customHeight="1" s="88"/>
    <row r="640" ht="15.75" customHeight="1" s="88"/>
    <row r="641" ht="15.75" customHeight="1" s="88"/>
    <row r="642" ht="15.75" customHeight="1" s="88"/>
    <row r="643" ht="15.75" customHeight="1" s="88"/>
    <row r="644" ht="15.75" customHeight="1" s="88"/>
    <row r="645" ht="15.75" customHeight="1" s="88"/>
    <row r="646" ht="15.75" customHeight="1" s="88"/>
    <row r="647" ht="15.75" customHeight="1" s="88"/>
    <row r="648" ht="15.75" customHeight="1" s="88"/>
    <row r="649" ht="15.75" customHeight="1" s="88"/>
    <row r="650" ht="15.75" customHeight="1" s="88"/>
    <row r="651" ht="15.75" customHeight="1" s="88"/>
    <row r="652" ht="15.75" customHeight="1" s="88"/>
    <row r="653" ht="15.75" customHeight="1" s="88"/>
    <row r="654" ht="15.75" customHeight="1" s="88"/>
    <row r="655" ht="15.75" customHeight="1" s="88"/>
    <row r="656" ht="15.75" customHeight="1" s="88"/>
    <row r="657" ht="15.75" customHeight="1" s="88"/>
    <row r="658" ht="15.75" customHeight="1" s="88"/>
    <row r="659" ht="15.75" customHeight="1" s="88"/>
    <row r="660" ht="15.75" customHeight="1" s="88"/>
    <row r="661" ht="15.75" customHeight="1" s="88"/>
    <row r="662" ht="15.75" customHeight="1" s="88"/>
    <row r="663" ht="15.75" customHeight="1" s="88"/>
    <row r="664" ht="15.75" customHeight="1" s="88"/>
    <row r="665" ht="15.75" customHeight="1" s="88"/>
    <row r="666" ht="15.75" customHeight="1" s="88"/>
    <row r="667" ht="15.75" customHeight="1" s="88"/>
    <row r="668" ht="15.75" customHeight="1" s="88"/>
    <row r="669" ht="15.75" customHeight="1" s="88"/>
    <row r="670" ht="15.75" customHeight="1" s="88"/>
    <row r="671" ht="15.75" customHeight="1" s="88"/>
    <row r="672" ht="15.75" customHeight="1" s="88"/>
    <row r="673" ht="15.75" customHeight="1" s="88"/>
    <row r="674" ht="15.75" customHeight="1" s="88"/>
    <row r="675" ht="15.75" customHeight="1" s="88"/>
    <row r="676" ht="15.75" customHeight="1" s="88"/>
    <row r="677" ht="15.75" customHeight="1" s="88"/>
    <row r="678" ht="15.75" customHeight="1" s="88"/>
    <row r="679" ht="15.75" customHeight="1" s="88"/>
    <row r="680" ht="15.75" customHeight="1" s="88"/>
    <row r="681" ht="15.75" customHeight="1" s="88"/>
    <row r="682" ht="15.75" customHeight="1" s="88"/>
    <row r="683" ht="15.75" customHeight="1" s="88"/>
    <row r="684" ht="15.75" customHeight="1" s="88"/>
    <row r="685" ht="15.75" customHeight="1" s="88"/>
    <row r="686" ht="15.75" customHeight="1" s="88"/>
    <row r="687" ht="15.75" customHeight="1" s="88"/>
    <row r="688" ht="15.75" customHeight="1" s="88"/>
    <row r="689" ht="15.75" customHeight="1" s="88"/>
    <row r="690" ht="15.75" customHeight="1" s="88"/>
    <row r="691" ht="15.75" customHeight="1" s="88"/>
    <row r="692" ht="15.75" customHeight="1" s="88"/>
    <row r="693" ht="15.75" customHeight="1" s="88"/>
    <row r="694" ht="15.75" customHeight="1" s="88"/>
    <row r="695" ht="15.75" customHeight="1" s="88"/>
    <row r="696" ht="15.75" customHeight="1" s="88"/>
    <row r="697" ht="15.75" customHeight="1" s="88"/>
    <row r="698" ht="15.75" customHeight="1" s="88"/>
    <row r="699" ht="15.75" customHeight="1" s="88"/>
    <row r="700" ht="15.75" customHeight="1" s="88"/>
    <row r="701" ht="15.75" customHeight="1" s="88"/>
    <row r="702" ht="15.75" customHeight="1" s="88"/>
    <row r="703" ht="15.75" customHeight="1" s="88"/>
    <row r="704" ht="15.75" customHeight="1" s="88"/>
    <row r="705" ht="15.75" customHeight="1" s="88"/>
    <row r="706" ht="15.75" customHeight="1" s="88"/>
    <row r="707" ht="15.75" customHeight="1" s="88"/>
    <row r="708" ht="15.75" customHeight="1" s="88"/>
    <row r="709" ht="15.75" customHeight="1" s="88"/>
    <row r="710" ht="15.75" customHeight="1" s="88"/>
    <row r="711" ht="15.75" customHeight="1" s="88"/>
    <row r="712" ht="15.75" customHeight="1" s="88"/>
    <row r="713" ht="15.75" customHeight="1" s="88"/>
    <row r="714" ht="15.75" customHeight="1" s="88"/>
    <row r="715" ht="15.75" customHeight="1" s="88"/>
    <row r="716" ht="15.75" customHeight="1" s="88"/>
    <row r="717" ht="15.75" customHeight="1" s="88"/>
    <row r="718" ht="15.75" customHeight="1" s="88"/>
    <row r="719" ht="15.75" customHeight="1" s="88"/>
    <row r="720" ht="15.75" customHeight="1" s="88"/>
    <row r="721" ht="15.75" customHeight="1" s="88"/>
    <row r="722" ht="15.75" customHeight="1" s="88"/>
    <row r="723" ht="15.75" customHeight="1" s="88"/>
    <row r="724" ht="15.75" customHeight="1" s="88"/>
    <row r="725" ht="15.75" customHeight="1" s="88"/>
    <row r="726" ht="15.75" customHeight="1" s="88"/>
    <row r="727" ht="15.75" customHeight="1" s="88"/>
    <row r="728" ht="15.75" customHeight="1" s="88"/>
    <row r="729" ht="15.75" customHeight="1" s="88"/>
    <row r="730" ht="15.75" customHeight="1" s="88"/>
    <row r="731" ht="15.75" customHeight="1" s="88"/>
    <row r="732" ht="15.75" customHeight="1" s="88"/>
    <row r="733" ht="15.75" customHeight="1" s="88"/>
    <row r="734" ht="15.75" customHeight="1" s="88"/>
    <row r="735" ht="15.75" customHeight="1" s="88"/>
    <row r="736" ht="15.75" customHeight="1" s="88"/>
    <row r="737" ht="15.75" customHeight="1" s="88"/>
    <row r="738" ht="15.75" customHeight="1" s="88"/>
    <row r="739" ht="15.75" customHeight="1" s="88"/>
    <row r="740" ht="15.75" customHeight="1" s="88"/>
    <row r="741" ht="15.75" customHeight="1" s="88"/>
    <row r="742" ht="15.75" customHeight="1" s="88"/>
    <row r="743" ht="15.75" customHeight="1" s="88"/>
    <row r="744" ht="15.75" customHeight="1" s="88"/>
    <row r="745" ht="15.75" customHeight="1" s="88"/>
    <row r="746" ht="15.75" customHeight="1" s="88"/>
    <row r="747" ht="15.75" customHeight="1" s="88"/>
    <row r="748" ht="15.75" customHeight="1" s="88"/>
    <row r="749" ht="15.75" customHeight="1" s="88"/>
    <row r="750" ht="15.75" customHeight="1" s="88"/>
    <row r="751" ht="15.75" customHeight="1" s="88"/>
    <row r="752" ht="15.75" customHeight="1" s="88"/>
    <row r="753" ht="15.75" customHeight="1" s="88"/>
    <row r="754" ht="15.75" customHeight="1" s="88"/>
    <row r="755" ht="15.75" customHeight="1" s="88"/>
    <row r="756" ht="15.75" customHeight="1" s="88"/>
    <row r="757" ht="15.75" customHeight="1" s="88"/>
    <row r="758" ht="15.75" customHeight="1" s="88"/>
    <row r="759" ht="15.75" customHeight="1" s="88"/>
    <row r="760" ht="15.75" customHeight="1" s="88"/>
    <row r="761" ht="15.75" customHeight="1" s="88"/>
    <row r="762" ht="15.75" customHeight="1" s="88"/>
    <row r="763" ht="15.75" customHeight="1" s="88"/>
    <row r="764" ht="15.75" customHeight="1" s="88"/>
    <row r="765" ht="15.75" customHeight="1" s="88"/>
    <row r="766" ht="15.75" customHeight="1" s="88"/>
    <row r="767" ht="15.75" customHeight="1" s="88"/>
    <row r="768" ht="15.75" customHeight="1" s="88"/>
    <row r="769" ht="15.75" customHeight="1" s="88"/>
    <row r="770" ht="15.75" customHeight="1" s="88"/>
    <row r="771" ht="15.75" customHeight="1" s="88"/>
    <row r="772" ht="15.75" customHeight="1" s="88"/>
    <row r="773" ht="15.75" customHeight="1" s="88"/>
    <row r="774" ht="15.75" customHeight="1" s="88"/>
    <row r="775" ht="15.75" customHeight="1" s="88"/>
    <row r="776" ht="15.75" customHeight="1" s="88"/>
    <row r="777" ht="15.75" customHeight="1" s="88"/>
    <row r="778" ht="15.75" customHeight="1" s="88"/>
    <row r="779" ht="15.75" customHeight="1" s="88"/>
    <row r="780" ht="15.75" customHeight="1" s="88"/>
    <row r="781" ht="15.75" customHeight="1" s="88"/>
    <row r="782" ht="15.75" customHeight="1" s="88"/>
    <row r="783" ht="15.75" customHeight="1" s="88"/>
    <row r="784" ht="15.75" customHeight="1" s="88"/>
    <row r="785" ht="15.75" customHeight="1" s="88"/>
    <row r="786" ht="15.75" customHeight="1" s="88"/>
    <row r="787" ht="15.75" customHeight="1" s="88"/>
    <row r="788" ht="15.75" customHeight="1" s="88"/>
    <row r="789" ht="15.75" customHeight="1" s="88"/>
    <row r="790" ht="15.75" customHeight="1" s="88"/>
    <row r="791" ht="15.75" customHeight="1" s="88"/>
    <row r="792" ht="15.75" customHeight="1" s="88"/>
    <row r="793" ht="15.75" customHeight="1" s="88"/>
    <row r="794" ht="15.75" customHeight="1" s="88"/>
    <row r="795" ht="15.75" customHeight="1" s="88"/>
    <row r="796" ht="15.75" customHeight="1" s="88"/>
    <row r="797" ht="15.75" customHeight="1" s="88"/>
    <row r="798" ht="15.75" customHeight="1" s="88"/>
    <row r="799" ht="15.75" customHeight="1" s="88"/>
    <row r="800" ht="15.75" customHeight="1" s="88"/>
    <row r="801" ht="15.75" customHeight="1" s="88"/>
    <row r="802" ht="15.75" customHeight="1" s="88"/>
    <row r="803" ht="15.75" customHeight="1" s="88"/>
    <row r="804" ht="15.75" customHeight="1" s="88"/>
    <row r="805" ht="15.75" customHeight="1" s="88"/>
    <row r="806" ht="15.75" customHeight="1" s="88"/>
    <row r="807" ht="15.75" customHeight="1" s="88"/>
    <row r="808" ht="15.75" customHeight="1" s="88"/>
    <row r="809" ht="15.75" customHeight="1" s="88"/>
    <row r="810" ht="15.75" customHeight="1" s="88"/>
    <row r="811" ht="15.75" customHeight="1" s="88"/>
    <row r="812" ht="15.75" customHeight="1" s="88"/>
    <row r="813" ht="15.75" customHeight="1" s="88"/>
    <row r="814" ht="15.75" customHeight="1" s="88"/>
    <row r="815" ht="15.75" customHeight="1" s="88"/>
    <row r="816" ht="15.75" customHeight="1" s="88"/>
    <row r="817" ht="15.75" customHeight="1" s="88"/>
    <row r="818" ht="15.75" customHeight="1" s="88"/>
    <row r="819" ht="15.75" customHeight="1" s="88"/>
    <row r="820" ht="15.75" customHeight="1" s="88"/>
    <row r="821" ht="15.75" customHeight="1" s="88"/>
    <row r="822" ht="15.75" customHeight="1" s="88"/>
    <row r="823" ht="15.75" customHeight="1" s="88"/>
    <row r="824" ht="15.75" customHeight="1" s="88"/>
    <row r="825" ht="15.75" customHeight="1" s="88"/>
    <row r="826" ht="15.75" customHeight="1" s="88"/>
    <row r="827" ht="15.75" customHeight="1" s="88"/>
    <row r="828" ht="15.75" customHeight="1" s="88"/>
    <row r="829" ht="15.75" customHeight="1" s="88"/>
    <row r="830" ht="15.75" customHeight="1" s="88"/>
    <row r="831" ht="15.75" customHeight="1" s="88"/>
    <row r="832" ht="15.75" customHeight="1" s="88"/>
    <row r="833" ht="15.75" customHeight="1" s="88"/>
    <row r="834" ht="15.75" customHeight="1" s="88"/>
    <row r="835" ht="15.75" customHeight="1" s="88"/>
    <row r="836" ht="15.75" customHeight="1" s="88"/>
    <row r="837" ht="15.75" customHeight="1" s="88"/>
    <row r="838" ht="15.75" customHeight="1" s="88"/>
    <row r="839" ht="15.75" customHeight="1" s="88"/>
    <row r="840" ht="15.75" customHeight="1" s="88"/>
    <row r="841" ht="15.75" customHeight="1" s="88"/>
    <row r="842" ht="15.75" customHeight="1" s="88"/>
    <row r="843" ht="15.75" customHeight="1" s="88"/>
    <row r="844" ht="15.75" customHeight="1" s="88"/>
    <row r="845" ht="15.75" customHeight="1" s="88"/>
    <row r="846" ht="15.75" customHeight="1" s="88"/>
    <row r="847" ht="15.75" customHeight="1" s="88"/>
    <row r="848" ht="15.75" customHeight="1" s="88"/>
    <row r="849" ht="15.75" customHeight="1" s="88"/>
    <row r="850" ht="15.75" customHeight="1" s="88"/>
    <row r="851" ht="15.75" customHeight="1" s="88"/>
    <row r="852" ht="15.75" customHeight="1" s="88"/>
  </sheetData>
  <mergeCells count="37">
    <mergeCell ref="E5:E6"/>
    <mergeCell ref="A46:C46"/>
    <mergeCell ref="J6:J7"/>
    <mergeCell ref="F5:F6"/>
    <mergeCell ref="A50:C50"/>
    <mergeCell ref="A3:O3"/>
    <mergeCell ref="A2:O2"/>
    <mergeCell ref="A47:C47"/>
    <mergeCell ref="L8:L9"/>
    <mergeCell ref="N8:N9"/>
    <mergeCell ref="M6:M7"/>
    <mergeCell ref="A4:O4"/>
    <mergeCell ref="G5:G6"/>
    <mergeCell ref="I8:I9"/>
    <mergeCell ref="K8:K9"/>
    <mergeCell ref="M8:M9"/>
    <mergeCell ref="O8:O9"/>
    <mergeCell ref="A9:C9"/>
    <mergeCell ref="L6:L7"/>
    <mergeCell ref="A51:H54"/>
    <mergeCell ref="A5:A8"/>
    <mergeCell ref="I5:M5"/>
    <mergeCell ref="H47:I47"/>
    <mergeCell ref="A48:C48"/>
    <mergeCell ref="O5:O7"/>
    <mergeCell ref="D5:D6"/>
    <mergeCell ref="B5:B8"/>
    <mergeCell ref="H5:H6"/>
    <mergeCell ref="N5:N7"/>
    <mergeCell ref="A41:O44"/>
    <mergeCell ref="A49:C49"/>
    <mergeCell ref="A45:C45"/>
    <mergeCell ref="J8:J9"/>
    <mergeCell ref="I51:O54"/>
    <mergeCell ref="I6:I7"/>
    <mergeCell ref="A1:O1"/>
    <mergeCell ref="K6:K7"/>
  </mergeCells>
  <conditionalFormatting sqref="D10:H40 N10:O40">
    <cfRule type="containsText" priority="2" operator="containsText" dxfId="1" text="AB">
      <formula>NOT(ISERROR(SEARCH(("AB"),(D10))))</formula>
    </cfRule>
  </conditionalFormatting>
  <conditionalFormatting sqref="I10:M40">
    <cfRule type="cellIs" priority="1" operator="equal" dxfId="0">
      <formula>0</formula>
    </cfRule>
  </conditionalFormatting>
  <pageMargins left="0.7" right="0.7" top="0.75" bottom="0.75" header="0" footer="0"/>
  <pageSetup orientation="landscape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:P1"/>
    </sheetView>
  </sheetViews>
  <sheetFormatPr baseColWidth="8" defaultColWidth="12.59765625" defaultRowHeight="15" customHeight="1"/>
  <cols>
    <col width="12.3984375" customWidth="1" style="88" min="1" max="1"/>
    <col width="7.69921875" customWidth="1" style="88" min="2" max="26"/>
  </cols>
  <sheetData>
    <row r="1" ht="19.5" customHeight="1" s="88">
      <c r="A1" s="15">
        <f>'CO-PO Mapping'!A1:P1</f>
        <v/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4" t="n"/>
    </row>
    <row r="2" ht="19.5" customHeight="1" s="88">
      <c r="A2" s="15" t="inlineStr">
        <is>
          <t>CO to PO &amp; PSO Attainment Through Sessional Assessment</t>
        </is>
      </c>
      <c r="B2" s="123" t="n"/>
      <c r="C2" s="123" t="n"/>
      <c r="D2" s="123" t="n"/>
      <c r="E2" s="123" t="n"/>
      <c r="F2" s="123" t="n"/>
      <c r="G2" s="123" t="n"/>
      <c r="H2" s="123" t="n"/>
      <c r="I2" s="123" t="n"/>
      <c r="J2" s="123" t="n"/>
      <c r="K2" s="123" t="n"/>
      <c r="L2" s="123" t="n"/>
      <c r="M2" s="123" t="n"/>
      <c r="N2" s="123" t="n"/>
      <c r="O2" s="123" t="n"/>
      <c r="P2" s="124" t="n"/>
    </row>
    <row r="3" ht="19.5" customHeight="1" s="88">
      <c r="A3" s="15">
        <f>'CO-PO Mapping'!A3:P3</f>
        <v/>
      </c>
      <c r="B3" s="123" t="n"/>
      <c r="C3" s="123" t="n"/>
      <c r="D3" s="123" t="n"/>
      <c r="E3" s="123" t="n"/>
      <c r="F3" s="123" t="n"/>
      <c r="G3" s="123" t="n"/>
      <c r="H3" s="123" t="n"/>
      <c r="I3" s="123" t="n"/>
      <c r="J3" s="123" t="n"/>
      <c r="K3" s="123" t="n"/>
      <c r="L3" s="123" t="n"/>
      <c r="M3" s="123" t="n"/>
      <c r="N3" s="123" t="n"/>
      <c r="O3" s="123" t="n"/>
      <c r="P3" s="124" t="n"/>
    </row>
    <row r="4" ht="19.5" customHeight="1" s="88">
      <c r="A4" s="15">
        <f>'CO-PO Mapping'!A4:P4</f>
        <v/>
      </c>
      <c r="B4" s="123" t="n"/>
      <c r="C4" s="123" t="n"/>
      <c r="D4" s="123" t="n"/>
      <c r="E4" s="123" t="n"/>
      <c r="F4" s="123" t="n"/>
      <c r="G4" s="123" t="n"/>
      <c r="H4" s="123" t="n"/>
      <c r="I4" s="123" t="n"/>
      <c r="J4" s="123" t="n"/>
      <c r="K4" s="123" t="n"/>
      <c r="L4" s="123" t="n"/>
      <c r="M4" s="123" t="n"/>
      <c r="N4" s="123" t="n"/>
      <c r="O4" s="123" t="n"/>
      <c r="P4" s="124" t="n"/>
    </row>
    <row r="5" ht="31.2" customHeight="1" s="88">
      <c r="A5" s="12" t="inlineStr">
        <is>
          <t>Course Outcome</t>
        </is>
      </c>
      <c r="B5" s="15" t="inlineStr">
        <is>
          <t>PO1</t>
        </is>
      </c>
      <c r="C5" s="15" t="inlineStr">
        <is>
          <t>PO2</t>
        </is>
      </c>
      <c r="D5" s="15" t="inlineStr">
        <is>
          <t>PO3</t>
        </is>
      </c>
      <c r="E5" s="15" t="inlineStr">
        <is>
          <t>PO4</t>
        </is>
      </c>
      <c r="F5" s="15" t="inlineStr">
        <is>
          <t>PO5</t>
        </is>
      </c>
      <c r="G5" s="15" t="inlineStr">
        <is>
          <t>PO6</t>
        </is>
      </c>
      <c r="H5" s="15" t="inlineStr">
        <is>
          <t>PO7</t>
        </is>
      </c>
      <c r="I5" s="15" t="inlineStr">
        <is>
          <t>PO8</t>
        </is>
      </c>
      <c r="J5" s="15" t="inlineStr">
        <is>
          <t>PO9</t>
        </is>
      </c>
      <c r="K5" s="15" t="inlineStr">
        <is>
          <t>PO10</t>
        </is>
      </c>
      <c r="L5" s="15" t="inlineStr">
        <is>
          <t>PO11</t>
        </is>
      </c>
      <c r="M5" s="15" t="inlineStr">
        <is>
          <t>PO12</t>
        </is>
      </c>
      <c r="N5" s="15" t="inlineStr">
        <is>
          <t>PSO1</t>
        </is>
      </c>
      <c r="O5" s="15" t="inlineStr">
        <is>
          <t>PSO2</t>
        </is>
      </c>
      <c r="P5" s="15" t="inlineStr">
        <is>
          <t>PSO3</t>
        </is>
      </c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</row>
    <row r="6" ht="19.5" customHeight="1" s="88">
      <c r="A6" s="12" t="inlineStr">
        <is>
          <t>CO23CS201.1</t>
        </is>
      </c>
      <c r="B6" s="23">
        <f>'Attainment Sheet Sessional'!E46*'CO-PO Mapping'!B6/3</f>
        <v/>
      </c>
      <c r="C6" s="23">
        <f>'Attainment Sheet Sessional'!E46*'CO-PO Mapping'!C6/3</f>
        <v/>
      </c>
      <c r="D6" s="23">
        <f>'Attainment Sheet Sessional'!$E46*'CO-PO Mapping'!D6/3</f>
        <v/>
      </c>
      <c r="E6" s="23">
        <f>'Attainment Sheet Sessional'!$E46*'CO-PO Mapping'!E6/3</f>
        <v/>
      </c>
      <c r="F6" s="23">
        <f>'Attainment Sheet Sessional'!$E46*'CO-PO Mapping'!F6/3</f>
        <v/>
      </c>
      <c r="G6" s="23">
        <f>'Attainment Sheet Sessional'!$E46*'CO-PO Mapping'!G6/3</f>
        <v/>
      </c>
      <c r="H6" s="23">
        <f>'Attainment Sheet Sessional'!$E46*'CO-PO Mapping'!H6/3</f>
        <v/>
      </c>
      <c r="I6" s="23">
        <f>'Attainment Sheet Sessional'!$E46*'CO-PO Mapping'!I6/3</f>
        <v/>
      </c>
      <c r="J6" s="23">
        <f>'Attainment Sheet Sessional'!$E46*'CO-PO Mapping'!J6/3</f>
        <v/>
      </c>
      <c r="K6" s="23">
        <f>'Attainment Sheet Sessional'!$E46*'CO-PO Mapping'!K6/3</f>
        <v/>
      </c>
      <c r="L6" s="23">
        <f>'Attainment Sheet Sessional'!$E46*'CO-PO Mapping'!L6/3</f>
        <v/>
      </c>
      <c r="M6" s="23">
        <f>'Attainment Sheet Sessional'!$E46*'CO-PO Mapping'!M6/3</f>
        <v/>
      </c>
      <c r="N6" s="23">
        <f>'Attainment Sheet Sessional'!$E46*'CO-PO Mapping'!N6/3</f>
        <v/>
      </c>
      <c r="O6" s="23">
        <f>'Attainment Sheet Sessional'!$E46*'CO-PO Mapping'!O6/3</f>
        <v/>
      </c>
      <c r="P6" s="23">
        <f>'Attainment Sheet Sessional'!$E46*'CO-PO Mapping'!P6/3</f>
        <v/>
      </c>
    </row>
    <row r="7" ht="19.5" customHeight="1" s="88">
      <c r="A7" s="12" t="inlineStr">
        <is>
          <t>CO23CS201.2</t>
        </is>
      </c>
      <c r="B7" s="23">
        <f>'Attainment Sheet Sessional'!E47*'CO-PO Mapping'!B7/3</f>
        <v/>
      </c>
      <c r="C7" s="23">
        <f>'Attainment Sheet Sessional'!E47*'CO-PO Mapping'!C7/3</f>
        <v/>
      </c>
      <c r="D7" s="23">
        <f>'Attainment Sheet Sessional'!$E47*'CO-PO Mapping'!D7/3</f>
        <v/>
      </c>
      <c r="E7" s="23">
        <f>'Attainment Sheet Sessional'!$E47*'CO-PO Mapping'!E7/3</f>
        <v/>
      </c>
      <c r="F7" s="23">
        <f>'Attainment Sheet Sessional'!$E47*'CO-PO Mapping'!F7/3</f>
        <v/>
      </c>
      <c r="G7" s="23">
        <f>'Attainment Sheet Sessional'!$E47*'CO-PO Mapping'!G7/3</f>
        <v/>
      </c>
      <c r="H7" s="23">
        <f>'Attainment Sheet Sessional'!$E47*'CO-PO Mapping'!H7/3</f>
        <v/>
      </c>
      <c r="I7" s="23">
        <f>'Attainment Sheet Sessional'!$E47*'CO-PO Mapping'!I7/3</f>
        <v/>
      </c>
      <c r="J7" s="23">
        <f>'Attainment Sheet Sessional'!$E47*'CO-PO Mapping'!J7/3</f>
        <v/>
      </c>
      <c r="K7" s="23">
        <f>'Attainment Sheet Sessional'!$E47*'CO-PO Mapping'!K7/3</f>
        <v/>
      </c>
      <c r="L7" s="23">
        <f>'Attainment Sheet Sessional'!$E47*'CO-PO Mapping'!L7/3</f>
        <v/>
      </c>
      <c r="M7" s="23">
        <f>'Attainment Sheet Sessional'!$E47*'CO-PO Mapping'!M7/3</f>
        <v/>
      </c>
      <c r="N7" s="23">
        <f>'Attainment Sheet Sessional'!$E47*'CO-PO Mapping'!N7/3</f>
        <v/>
      </c>
      <c r="O7" s="23">
        <f>'Attainment Sheet Sessional'!$E47*'CO-PO Mapping'!O7/3</f>
        <v/>
      </c>
      <c r="P7" s="23">
        <f>'Attainment Sheet Sessional'!$E47*'CO-PO Mapping'!P7/3</f>
        <v/>
      </c>
    </row>
    <row r="8" ht="19.5" customHeight="1" s="88">
      <c r="A8" s="12" t="inlineStr">
        <is>
          <t>CO23CS201.3</t>
        </is>
      </c>
      <c r="B8" s="23">
        <f>'Attainment Sheet Sessional'!E48*'CO-PO Mapping'!B8/3</f>
        <v/>
      </c>
      <c r="C8" s="23">
        <f>'Attainment Sheet Sessional'!E48*'CO-PO Mapping'!C8/3</f>
        <v/>
      </c>
      <c r="D8" s="23">
        <f>'Attainment Sheet Sessional'!$E48*'CO-PO Mapping'!D8/3</f>
        <v/>
      </c>
      <c r="E8" s="23">
        <f>'Attainment Sheet Sessional'!$E48*'CO-PO Mapping'!E8/3</f>
        <v/>
      </c>
      <c r="F8" s="23">
        <f>'Attainment Sheet Sessional'!$E48*'CO-PO Mapping'!F8/3</f>
        <v/>
      </c>
      <c r="G8" s="23">
        <f>'Attainment Sheet Sessional'!$E48*'CO-PO Mapping'!G8/3</f>
        <v/>
      </c>
      <c r="H8" s="23">
        <f>'Attainment Sheet Sessional'!$E48*'CO-PO Mapping'!H8/3</f>
        <v/>
      </c>
      <c r="I8" s="23">
        <f>'Attainment Sheet Sessional'!$E48*'CO-PO Mapping'!I8/3</f>
        <v/>
      </c>
      <c r="J8" s="23">
        <f>'Attainment Sheet Sessional'!$E48*'CO-PO Mapping'!J8/3</f>
        <v/>
      </c>
      <c r="K8" s="23">
        <f>'Attainment Sheet Sessional'!$E48*'CO-PO Mapping'!K8/3</f>
        <v/>
      </c>
      <c r="L8" s="23">
        <f>'Attainment Sheet Sessional'!$E48*'CO-PO Mapping'!L8/3</f>
        <v/>
      </c>
      <c r="M8" s="23">
        <f>'Attainment Sheet Sessional'!$E48*'CO-PO Mapping'!M8/3</f>
        <v/>
      </c>
      <c r="N8" s="23">
        <f>'Attainment Sheet Sessional'!$E48*'CO-PO Mapping'!N8/3</f>
        <v/>
      </c>
      <c r="O8" s="23">
        <f>'Attainment Sheet Sessional'!$E48*'CO-PO Mapping'!O8/3</f>
        <v/>
      </c>
      <c r="P8" s="23">
        <f>'Attainment Sheet Sessional'!$E48*'CO-PO Mapping'!P8/3</f>
        <v/>
      </c>
    </row>
    <row r="9" ht="19.5" customHeight="1" s="88">
      <c r="A9" s="12" t="inlineStr">
        <is>
          <t>CO23CS201.4</t>
        </is>
      </c>
      <c r="B9" s="23">
        <f>'Attainment Sheet Sessional'!E49*'CO-PO Mapping'!B9/3</f>
        <v/>
      </c>
      <c r="C9" s="23">
        <f>'Attainment Sheet Sessional'!E49*'CO-PO Mapping'!C9/3</f>
        <v/>
      </c>
      <c r="D9" s="23">
        <f>'Attainment Sheet Sessional'!$E49*'CO-PO Mapping'!D9/3</f>
        <v/>
      </c>
      <c r="E9" s="23">
        <f>'Attainment Sheet Sessional'!$E49*'CO-PO Mapping'!E9/3</f>
        <v/>
      </c>
      <c r="F9" s="23">
        <f>'Attainment Sheet Sessional'!$E49*'CO-PO Mapping'!F9/3</f>
        <v/>
      </c>
      <c r="G9" s="23">
        <f>'Attainment Sheet Sessional'!$E49*'CO-PO Mapping'!G9/3</f>
        <v/>
      </c>
      <c r="H9" s="23">
        <f>'Attainment Sheet Sessional'!$E49*'CO-PO Mapping'!H9/3</f>
        <v/>
      </c>
      <c r="I9" s="23">
        <f>'Attainment Sheet Sessional'!$E49*'CO-PO Mapping'!I9/3</f>
        <v/>
      </c>
      <c r="J9" s="23">
        <f>'Attainment Sheet Sessional'!$E49*'CO-PO Mapping'!J9/3</f>
        <v/>
      </c>
      <c r="K9" s="23">
        <f>'Attainment Sheet Sessional'!$E49*'CO-PO Mapping'!K9/3</f>
        <v/>
      </c>
      <c r="L9" s="23">
        <f>'Attainment Sheet Sessional'!$E49*'CO-PO Mapping'!L9/3</f>
        <v/>
      </c>
      <c r="M9" s="23">
        <f>'Attainment Sheet Sessional'!$E49*'CO-PO Mapping'!M9/3</f>
        <v/>
      </c>
      <c r="N9" s="23">
        <f>'Attainment Sheet Sessional'!$E49*'CO-PO Mapping'!N9/3</f>
        <v/>
      </c>
      <c r="O9" s="23">
        <f>'Attainment Sheet Sessional'!$E49*'CO-PO Mapping'!O9/3</f>
        <v/>
      </c>
      <c r="P9" s="23">
        <f>'Attainment Sheet Sessional'!$E49*'CO-PO Mapping'!P9/3</f>
        <v/>
      </c>
    </row>
    <row r="10" ht="19.5" customHeight="1" s="88">
      <c r="A10" s="12" t="inlineStr">
        <is>
          <t>CO23CS201.5</t>
        </is>
      </c>
      <c r="B10" s="23">
        <f>'Attainment Sheet Sessional'!E50*'CO-PO Mapping'!B10/3</f>
        <v/>
      </c>
      <c r="C10" s="23">
        <f>'Attainment Sheet Sessional'!E50*'CO-PO Mapping'!C10/3</f>
        <v/>
      </c>
      <c r="D10" s="23">
        <f>'Attainment Sheet Sessional'!$E50*'CO-PO Mapping'!D10/3</f>
        <v/>
      </c>
      <c r="E10" s="23">
        <f>'Attainment Sheet Sessional'!$E50*'CO-PO Mapping'!E10/3</f>
        <v/>
      </c>
      <c r="F10" s="23">
        <f>'Attainment Sheet Sessional'!$E50*'CO-PO Mapping'!F10/3</f>
        <v/>
      </c>
      <c r="G10" s="23">
        <f>'Attainment Sheet Sessional'!$E50*'CO-PO Mapping'!G10/3</f>
        <v/>
      </c>
      <c r="H10" s="23">
        <f>'Attainment Sheet Sessional'!$E50*'CO-PO Mapping'!H10/3</f>
        <v/>
      </c>
      <c r="I10" s="23">
        <f>'Attainment Sheet Sessional'!$E50*'CO-PO Mapping'!I10/3</f>
        <v/>
      </c>
      <c r="J10" s="23">
        <f>'Attainment Sheet Sessional'!$E50*'CO-PO Mapping'!J10/3</f>
        <v/>
      </c>
      <c r="K10" s="23">
        <f>'Attainment Sheet Sessional'!$E50*'CO-PO Mapping'!K10/3</f>
        <v/>
      </c>
      <c r="L10" s="23">
        <f>'Attainment Sheet Sessional'!$E50*'CO-PO Mapping'!L10/3</f>
        <v/>
      </c>
      <c r="M10" s="23">
        <f>'Attainment Sheet Sessional'!$E50*'CO-PO Mapping'!M10/3</f>
        <v/>
      </c>
      <c r="N10" s="23">
        <f>'Attainment Sheet Sessional'!$E50*'CO-PO Mapping'!N10/3</f>
        <v/>
      </c>
      <c r="O10" s="23">
        <f>'Attainment Sheet Sessional'!$E50*'CO-PO Mapping'!O10/3</f>
        <v/>
      </c>
      <c r="P10" s="23">
        <f>'Attainment Sheet Sessional'!$E50*'CO-PO Mapping'!P10/3</f>
        <v/>
      </c>
    </row>
    <row r="11" ht="19.5" customHeight="1" s="88">
      <c r="A11" s="12">
        <f>'CO-PO Mapping'!A11</f>
        <v/>
      </c>
      <c r="B11" s="23">
        <f>AVERAGE(B6:B10)</f>
        <v/>
      </c>
      <c r="C11" s="23">
        <f>AVERAGE(C6:C10)</f>
        <v/>
      </c>
      <c r="D11" s="23">
        <f>AVERAGE(D6:D10)</f>
        <v/>
      </c>
      <c r="E11" s="23">
        <f>AVERAGE(E6:E10)</f>
        <v/>
      </c>
      <c r="F11" s="23">
        <f>AVERAGE(F6:F10)</f>
        <v/>
      </c>
      <c r="G11" s="23">
        <f>AVERAGE(G6:G10)</f>
        <v/>
      </c>
      <c r="H11" s="23">
        <f>AVERAGE(H6:H10)</f>
        <v/>
      </c>
      <c r="I11" s="23">
        <f>AVERAGE(I6:I10)</f>
        <v/>
      </c>
      <c r="J11" s="23">
        <f>AVERAGE(J6:J10)</f>
        <v/>
      </c>
      <c r="K11" s="23">
        <f>AVERAGE(K6:K10)</f>
        <v/>
      </c>
      <c r="L11" s="23">
        <f>AVERAGE(L6:L10)</f>
        <v/>
      </c>
      <c r="M11" s="23">
        <f>AVERAGE(M6:M10)</f>
        <v/>
      </c>
      <c r="N11" s="23">
        <f>AVERAGE(N6:N10)</f>
        <v/>
      </c>
      <c r="O11" s="23">
        <f>AVERAGE(O6:O10)</f>
        <v/>
      </c>
      <c r="P11" s="23">
        <f>AVERAGE(P6:P10)</f>
        <v/>
      </c>
    </row>
    <row r="12" ht="39.75" customHeight="1" s="88">
      <c r="A12" s="33" t="inlineStr">
        <is>
          <t>Signature Subject Teacher</t>
        </is>
      </c>
      <c r="B12" s="123" t="n"/>
      <c r="C12" s="123" t="n"/>
      <c r="D12" s="123" t="n"/>
      <c r="E12" s="123" t="n"/>
      <c r="F12" s="123" t="n"/>
      <c r="G12" s="123" t="n"/>
      <c r="H12" s="123" t="n"/>
      <c r="I12" s="123" t="n"/>
      <c r="J12" s="123" t="n"/>
      <c r="K12" s="123" t="n"/>
      <c r="L12" s="123" t="n"/>
      <c r="M12" s="124" t="n"/>
      <c r="N12" s="33" t="n"/>
      <c r="O12" s="123" t="n"/>
      <c r="P12" s="124" t="n"/>
    </row>
    <row r="16" ht="15.6" customHeight="1" s="88">
      <c r="F16" s="1" t="n"/>
    </row>
    <row r="21" ht="15.75" customHeight="1" s="88"/>
    <row r="22" ht="15.75" customHeight="1" s="88"/>
    <row r="23" ht="15.75" customHeight="1" s="88"/>
    <row r="24" ht="15.75" customHeight="1" s="88"/>
    <row r="25" ht="15.75" customHeight="1" s="88"/>
    <row r="26" ht="15.75" customHeight="1" s="88"/>
    <row r="27" ht="15.75" customHeight="1" s="88"/>
    <row r="28" ht="15.75" customHeight="1" s="88"/>
    <row r="29" ht="15.75" customHeight="1" s="88"/>
    <row r="30" ht="15.75" customHeight="1" s="88"/>
    <row r="31" ht="15.75" customHeight="1" s="88"/>
    <row r="32" ht="15.75" customHeight="1" s="88"/>
    <row r="33" ht="15.75" customHeight="1" s="88"/>
    <row r="34" ht="15.75" customHeight="1" s="88"/>
    <row r="35" ht="15.75" customHeight="1" s="88"/>
    <row r="36" ht="15.75" customHeight="1" s="88"/>
    <row r="37" ht="15.75" customHeight="1" s="88"/>
    <row r="38" ht="15.75" customHeight="1" s="88"/>
    <row r="39" ht="15.75" customHeight="1" s="88"/>
    <row r="40" ht="15.75" customHeight="1" s="88"/>
    <row r="41" ht="15.75" customHeight="1" s="88"/>
    <row r="42" ht="15.75" customHeight="1" s="88"/>
    <row r="43" ht="15.75" customHeight="1" s="88"/>
    <row r="44" ht="15.75" customHeight="1" s="88"/>
    <row r="45" ht="15.75" customHeight="1" s="88"/>
    <row r="46" ht="15.75" customHeight="1" s="88"/>
    <row r="47" ht="15.75" customHeight="1" s="88"/>
    <row r="48" ht="15.75" customHeight="1" s="88"/>
    <row r="49" ht="15.75" customHeight="1" s="88"/>
    <row r="50" ht="15.75" customHeight="1" s="88"/>
    <row r="51" ht="15.75" customHeight="1" s="88"/>
    <row r="52" ht="15.75" customHeight="1" s="88"/>
    <row r="53" ht="15.75" customHeight="1" s="88"/>
    <row r="54" ht="15.75" customHeight="1" s="88"/>
    <row r="55" ht="15.75" customHeight="1" s="88"/>
    <row r="56" ht="15.75" customHeight="1" s="88"/>
    <row r="57" ht="15.75" customHeight="1" s="88"/>
    <row r="58" ht="15.75" customHeight="1" s="88"/>
    <row r="59" ht="15.75" customHeight="1" s="88"/>
    <row r="60" ht="15.75" customHeight="1" s="88"/>
    <row r="61" ht="15.75" customHeight="1" s="88"/>
    <row r="62" ht="15.75" customHeight="1" s="88"/>
    <row r="63" ht="15.75" customHeight="1" s="88"/>
    <row r="64" ht="15.75" customHeight="1" s="88"/>
    <row r="65" ht="15.75" customHeight="1" s="88"/>
    <row r="66" ht="15.75" customHeight="1" s="88"/>
    <row r="67" ht="15.75" customHeight="1" s="88"/>
    <row r="68" ht="15.75" customHeight="1" s="88"/>
    <row r="69" ht="15.75" customHeight="1" s="88"/>
    <row r="70" ht="15.75" customHeight="1" s="88"/>
    <row r="71" ht="15.75" customHeight="1" s="88"/>
    <row r="72" ht="15.75" customHeight="1" s="88"/>
    <row r="73" ht="15.75" customHeight="1" s="88"/>
    <row r="74" ht="15.75" customHeight="1" s="88"/>
    <row r="75" ht="15.75" customHeight="1" s="88"/>
    <row r="76" ht="15.75" customHeight="1" s="88"/>
    <row r="77" ht="15.75" customHeight="1" s="88"/>
    <row r="78" ht="15.75" customHeight="1" s="88"/>
    <row r="79" ht="15.75" customHeight="1" s="88"/>
    <row r="80" ht="15.75" customHeight="1" s="88"/>
    <row r="81" ht="15.75" customHeight="1" s="88"/>
    <row r="82" ht="15.75" customHeight="1" s="88"/>
    <row r="83" ht="15.75" customHeight="1" s="88"/>
    <row r="84" ht="15.75" customHeight="1" s="88"/>
    <row r="85" ht="15.75" customHeight="1" s="88"/>
    <row r="86" ht="15.75" customHeight="1" s="88"/>
    <row r="87" ht="15.75" customHeight="1" s="88"/>
    <row r="88" ht="15.75" customHeight="1" s="88"/>
    <row r="89" ht="15.75" customHeight="1" s="88"/>
    <row r="90" ht="15.75" customHeight="1" s="88"/>
    <row r="91" ht="15.75" customHeight="1" s="88"/>
    <row r="92" ht="15.75" customHeight="1" s="88"/>
    <row r="93" ht="15.75" customHeight="1" s="88"/>
    <row r="94" ht="15.75" customHeight="1" s="88"/>
    <row r="95" ht="15.75" customHeight="1" s="88"/>
    <row r="96" ht="15.75" customHeight="1" s="88"/>
    <row r="97" ht="15.75" customHeight="1" s="88"/>
    <row r="98" ht="15.75" customHeight="1" s="88"/>
    <row r="99" ht="15.75" customHeight="1" s="88"/>
    <row r="100" ht="15.75" customHeight="1" s="88"/>
    <row r="101" ht="15.75" customHeight="1" s="88"/>
    <row r="102" ht="15.75" customHeight="1" s="88"/>
    <row r="103" ht="15.75" customHeight="1" s="88"/>
    <row r="104" ht="15.75" customHeight="1" s="88"/>
    <row r="105" ht="15.75" customHeight="1" s="88"/>
    <row r="106" ht="15.75" customHeight="1" s="88"/>
    <row r="107" ht="15.75" customHeight="1" s="88"/>
    <row r="108" ht="15.75" customHeight="1" s="88"/>
    <row r="109" ht="15.75" customHeight="1" s="88"/>
    <row r="110" ht="15.75" customHeight="1" s="88"/>
    <row r="111" ht="15.75" customHeight="1" s="88"/>
    <row r="112" ht="15.75" customHeight="1" s="88"/>
    <row r="113" ht="15.75" customHeight="1" s="88"/>
    <row r="114" ht="15.75" customHeight="1" s="88"/>
    <row r="115" ht="15.75" customHeight="1" s="88"/>
    <row r="116" ht="15.75" customHeight="1" s="88"/>
    <row r="117" ht="15.75" customHeight="1" s="88"/>
    <row r="118" ht="15.75" customHeight="1" s="88"/>
    <row r="119" ht="15.75" customHeight="1" s="88"/>
    <row r="120" ht="15.75" customHeight="1" s="88"/>
    <row r="121" ht="15.75" customHeight="1" s="88"/>
    <row r="122" ht="15.75" customHeight="1" s="88"/>
    <row r="123" ht="15.75" customHeight="1" s="88"/>
    <row r="124" ht="15.75" customHeight="1" s="88"/>
    <row r="125" ht="15.75" customHeight="1" s="88"/>
    <row r="126" ht="15.75" customHeight="1" s="88"/>
    <row r="127" ht="15.75" customHeight="1" s="88"/>
    <row r="128" ht="15.75" customHeight="1" s="88"/>
    <row r="129" ht="15.75" customHeight="1" s="88"/>
    <row r="130" ht="15.75" customHeight="1" s="88"/>
    <row r="131" ht="15.75" customHeight="1" s="88"/>
    <row r="132" ht="15.75" customHeight="1" s="88"/>
    <row r="133" ht="15.75" customHeight="1" s="88"/>
    <row r="134" ht="15.75" customHeight="1" s="88"/>
    <row r="135" ht="15.75" customHeight="1" s="88"/>
    <row r="136" ht="15.75" customHeight="1" s="88"/>
    <row r="137" ht="15.75" customHeight="1" s="88"/>
    <row r="138" ht="15.75" customHeight="1" s="88"/>
    <row r="139" ht="15.75" customHeight="1" s="88"/>
    <row r="140" ht="15.75" customHeight="1" s="88"/>
    <row r="141" ht="15.75" customHeight="1" s="88"/>
    <row r="142" ht="15.75" customHeight="1" s="88"/>
    <row r="143" ht="15.75" customHeight="1" s="88"/>
    <row r="144" ht="15.75" customHeight="1" s="88"/>
    <row r="145" ht="15.75" customHeight="1" s="88"/>
    <row r="146" ht="15.75" customHeight="1" s="88"/>
    <row r="147" ht="15.75" customHeight="1" s="88"/>
    <row r="148" ht="15.75" customHeight="1" s="88"/>
    <row r="149" ht="15.75" customHeight="1" s="88"/>
    <row r="150" ht="15.75" customHeight="1" s="88"/>
    <row r="151" ht="15.75" customHeight="1" s="88"/>
    <row r="152" ht="15.75" customHeight="1" s="88"/>
    <row r="153" ht="15.75" customHeight="1" s="88"/>
    <row r="154" ht="15.75" customHeight="1" s="88"/>
    <row r="155" ht="15.75" customHeight="1" s="88"/>
    <row r="156" ht="15.75" customHeight="1" s="88"/>
    <row r="157" ht="15.75" customHeight="1" s="88"/>
    <row r="158" ht="15.75" customHeight="1" s="88"/>
    <row r="159" ht="15.75" customHeight="1" s="88"/>
    <row r="160" ht="15.75" customHeight="1" s="88"/>
    <row r="161" ht="15.75" customHeight="1" s="88"/>
    <row r="162" ht="15.75" customHeight="1" s="88"/>
    <row r="163" ht="15.75" customHeight="1" s="88"/>
    <row r="164" ht="15.75" customHeight="1" s="88"/>
    <row r="165" ht="15.75" customHeight="1" s="88"/>
    <row r="166" ht="15.75" customHeight="1" s="88"/>
    <row r="167" ht="15.75" customHeight="1" s="88"/>
    <row r="168" ht="15.75" customHeight="1" s="88"/>
    <row r="169" ht="15.75" customHeight="1" s="88"/>
    <row r="170" ht="15.75" customHeight="1" s="88"/>
    <row r="171" ht="15.75" customHeight="1" s="88"/>
    <row r="172" ht="15.75" customHeight="1" s="88"/>
    <row r="173" ht="15.75" customHeight="1" s="88"/>
    <row r="174" ht="15.75" customHeight="1" s="88"/>
    <row r="175" ht="15.75" customHeight="1" s="88"/>
    <row r="176" ht="15.75" customHeight="1" s="88"/>
    <row r="177" ht="15.75" customHeight="1" s="88"/>
    <row r="178" ht="15.75" customHeight="1" s="88"/>
    <row r="179" ht="15.75" customHeight="1" s="88"/>
    <row r="180" ht="15.75" customHeight="1" s="88"/>
    <row r="181" ht="15.75" customHeight="1" s="88"/>
    <row r="182" ht="15.75" customHeight="1" s="88"/>
    <row r="183" ht="15.75" customHeight="1" s="88"/>
    <row r="184" ht="15.75" customHeight="1" s="88"/>
    <row r="185" ht="15.75" customHeight="1" s="88"/>
    <row r="186" ht="15.75" customHeight="1" s="88"/>
    <row r="187" ht="15.75" customHeight="1" s="88"/>
    <row r="188" ht="15.75" customHeight="1" s="88"/>
    <row r="189" ht="15.75" customHeight="1" s="88"/>
    <row r="190" ht="15.75" customHeight="1" s="88"/>
    <row r="191" ht="15.75" customHeight="1" s="88"/>
    <row r="192" ht="15.75" customHeight="1" s="88"/>
    <row r="193" ht="15.75" customHeight="1" s="88"/>
    <row r="194" ht="15.75" customHeight="1" s="88"/>
    <row r="195" ht="15.75" customHeight="1" s="88"/>
    <row r="196" ht="15.75" customHeight="1" s="88"/>
    <row r="197" ht="15.75" customHeight="1" s="88"/>
    <row r="198" ht="15.75" customHeight="1" s="88"/>
    <row r="199" ht="15.75" customHeight="1" s="88"/>
    <row r="200" ht="15.75" customHeight="1" s="88"/>
    <row r="201" ht="15.75" customHeight="1" s="88"/>
    <row r="202" ht="15.75" customHeight="1" s="88"/>
    <row r="203" ht="15.75" customHeight="1" s="88"/>
    <row r="204" ht="15.75" customHeight="1" s="88"/>
    <row r="205" ht="15.75" customHeight="1" s="88"/>
    <row r="206" ht="15.75" customHeight="1" s="88"/>
    <row r="207" ht="15.75" customHeight="1" s="88"/>
    <row r="208" ht="15.75" customHeight="1" s="88"/>
    <row r="209" ht="15.75" customHeight="1" s="88"/>
    <row r="210" ht="15.75" customHeight="1" s="88"/>
    <row r="211" ht="15.75" customHeight="1" s="88"/>
    <row r="212" ht="15.75" customHeight="1" s="88"/>
    <row r="213" ht="15.75" customHeight="1" s="88"/>
    <row r="214" ht="15.75" customHeight="1" s="88"/>
    <row r="215" ht="15.75" customHeight="1" s="88"/>
    <row r="216" ht="15.75" customHeight="1" s="88"/>
    <row r="217" ht="15.75" customHeight="1" s="88"/>
    <row r="218" ht="15.75" customHeight="1" s="88"/>
    <row r="219" ht="15.75" customHeight="1" s="88"/>
    <row r="220" ht="15.75" customHeight="1" s="88"/>
    <row r="221" ht="15.75" customHeight="1" s="88"/>
    <row r="222" ht="15.75" customHeight="1" s="88"/>
    <row r="223" ht="15.75" customHeight="1" s="88"/>
    <row r="224" ht="15.75" customHeight="1" s="88"/>
    <row r="225" ht="15.75" customHeight="1" s="88"/>
    <row r="226" ht="15.75" customHeight="1" s="88"/>
    <row r="227" ht="15.75" customHeight="1" s="88"/>
    <row r="228" ht="15.75" customHeight="1" s="88"/>
    <row r="229" ht="15.75" customHeight="1" s="88"/>
    <row r="230" ht="15.75" customHeight="1" s="88"/>
    <row r="231" ht="15.75" customHeight="1" s="88"/>
    <row r="232" ht="15.75" customHeight="1" s="88"/>
    <row r="233" ht="15.75" customHeight="1" s="88"/>
    <row r="234" ht="15.75" customHeight="1" s="88"/>
    <row r="235" ht="15.75" customHeight="1" s="88"/>
    <row r="236" ht="15.75" customHeight="1" s="88"/>
    <row r="237" ht="15.75" customHeight="1" s="88"/>
    <row r="238" ht="15.75" customHeight="1" s="88"/>
    <row r="239" ht="15.75" customHeight="1" s="88"/>
    <row r="240" ht="15.75" customHeight="1" s="88"/>
    <row r="241" ht="15.75" customHeight="1" s="88"/>
    <row r="242" ht="15.75" customHeight="1" s="88"/>
    <row r="243" ht="15.75" customHeight="1" s="88"/>
    <row r="244" ht="15.75" customHeight="1" s="88"/>
    <row r="245" ht="15.75" customHeight="1" s="88"/>
    <row r="246" ht="15.75" customHeight="1" s="88"/>
    <row r="247" ht="15.75" customHeight="1" s="88"/>
    <row r="248" ht="15.75" customHeight="1" s="88"/>
    <row r="249" ht="15.75" customHeight="1" s="88"/>
    <row r="250" ht="15.75" customHeight="1" s="88"/>
    <row r="251" ht="15.75" customHeight="1" s="88"/>
    <row r="252" ht="15.75" customHeight="1" s="88"/>
    <row r="253" ht="15.75" customHeight="1" s="88"/>
    <row r="254" ht="15.75" customHeight="1" s="88"/>
    <row r="255" ht="15.75" customHeight="1" s="88"/>
    <row r="256" ht="15.75" customHeight="1" s="88"/>
    <row r="257" ht="15.75" customHeight="1" s="88"/>
    <row r="258" ht="15.75" customHeight="1" s="88"/>
    <row r="259" ht="15.75" customHeight="1" s="88"/>
    <row r="260" ht="15.75" customHeight="1" s="88"/>
    <row r="261" ht="15.75" customHeight="1" s="88"/>
    <row r="262" ht="15.75" customHeight="1" s="88"/>
    <row r="263" ht="15.75" customHeight="1" s="88"/>
    <row r="264" ht="15.75" customHeight="1" s="88"/>
    <row r="265" ht="15.75" customHeight="1" s="88"/>
    <row r="266" ht="15.75" customHeight="1" s="88"/>
    <row r="267" ht="15.75" customHeight="1" s="88"/>
    <row r="268" ht="15.75" customHeight="1" s="88"/>
    <row r="269" ht="15.75" customHeight="1" s="88"/>
    <row r="270" ht="15.75" customHeight="1" s="88"/>
    <row r="271" ht="15.75" customHeight="1" s="88"/>
    <row r="272" ht="15.75" customHeight="1" s="88"/>
    <row r="273" ht="15.75" customHeight="1" s="88"/>
    <row r="274" ht="15.75" customHeight="1" s="88"/>
    <row r="275" ht="15.75" customHeight="1" s="88"/>
    <row r="276" ht="15.75" customHeight="1" s="88"/>
    <row r="277" ht="15.75" customHeight="1" s="88"/>
    <row r="278" ht="15.75" customHeight="1" s="88"/>
    <row r="279" ht="15.75" customHeight="1" s="88"/>
    <row r="280" ht="15.75" customHeight="1" s="88"/>
    <row r="281" ht="15.75" customHeight="1" s="88"/>
    <row r="282" ht="15.75" customHeight="1" s="88"/>
    <row r="283" ht="15.75" customHeight="1" s="88"/>
    <row r="284" ht="15.75" customHeight="1" s="88"/>
    <row r="285" ht="15.75" customHeight="1" s="88"/>
    <row r="286" ht="15.75" customHeight="1" s="88"/>
    <row r="287" ht="15.75" customHeight="1" s="88"/>
    <row r="288" ht="15.75" customHeight="1" s="88"/>
    <row r="289" ht="15.75" customHeight="1" s="88"/>
    <row r="290" ht="15.75" customHeight="1" s="88"/>
    <row r="291" ht="15.75" customHeight="1" s="88"/>
    <row r="292" ht="15.75" customHeight="1" s="88"/>
    <row r="293" ht="15.75" customHeight="1" s="88"/>
    <row r="294" ht="15.75" customHeight="1" s="88"/>
    <row r="295" ht="15.75" customHeight="1" s="88"/>
    <row r="296" ht="15.75" customHeight="1" s="88"/>
    <row r="297" ht="15.75" customHeight="1" s="88"/>
    <row r="298" ht="15.75" customHeight="1" s="88"/>
    <row r="299" ht="15.75" customHeight="1" s="88"/>
    <row r="300" ht="15.75" customHeight="1" s="88"/>
    <row r="301" ht="15.75" customHeight="1" s="88"/>
    <row r="302" ht="15.75" customHeight="1" s="88"/>
    <row r="303" ht="15.75" customHeight="1" s="88"/>
    <row r="304" ht="15.75" customHeight="1" s="88"/>
    <row r="305" ht="15.75" customHeight="1" s="88"/>
    <row r="306" ht="15.75" customHeight="1" s="88"/>
    <row r="307" ht="15.75" customHeight="1" s="88"/>
    <row r="308" ht="15.75" customHeight="1" s="88"/>
    <row r="309" ht="15.75" customHeight="1" s="88"/>
    <row r="310" ht="15.75" customHeight="1" s="88"/>
    <row r="311" ht="15.75" customHeight="1" s="88"/>
    <row r="312" ht="15.75" customHeight="1" s="88"/>
    <row r="313" ht="15.75" customHeight="1" s="88"/>
    <row r="314" ht="15.75" customHeight="1" s="88"/>
    <row r="315" ht="15.75" customHeight="1" s="88"/>
    <row r="316" ht="15.75" customHeight="1" s="88"/>
    <row r="317" ht="15.75" customHeight="1" s="88"/>
    <row r="318" ht="15.75" customHeight="1" s="88"/>
    <row r="319" ht="15.75" customHeight="1" s="88"/>
    <row r="320" ht="15.75" customHeight="1" s="88"/>
    <row r="321" ht="15.75" customHeight="1" s="88"/>
    <row r="322" ht="15.75" customHeight="1" s="88"/>
    <row r="323" ht="15.75" customHeight="1" s="88"/>
    <row r="324" ht="15.75" customHeight="1" s="88"/>
    <row r="325" ht="15.75" customHeight="1" s="88"/>
    <row r="326" ht="15.75" customHeight="1" s="88"/>
    <row r="327" ht="15.75" customHeight="1" s="88"/>
    <row r="328" ht="15.75" customHeight="1" s="88"/>
    <row r="329" ht="15.75" customHeight="1" s="88"/>
    <row r="330" ht="15.75" customHeight="1" s="88"/>
    <row r="331" ht="15.75" customHeight="1" s="88"/>
    <row r="332" ht="15.75" customHeight="1" s="88"/>
    <row r="333" ht="15.75" customHeight="1" s="88"/>
    <row r="334" ht="15.75" customHeight="1" s="88"/>
    <row r="335" ht="15.75" customHeight="1" s="88"/>
    <row r="336" ht="15.75" customHeight="1" s="88"/>
    <row r="337" ht="15.75" customHeight="1" s="88"/>
    <row r="338" ht="15.75" customHeight="1" s="88"/>
    <row r="339" ht="15.75" customHeight="1" s="88"/>
    <row r="340" ht="15.75" customHeight="1" s="88"/>
    <row r="341" ht="15.75" customHeight="1" s="88"/>
    <row r="342" ht="15.75" customHeight="1" s="88"/>
    <row r="343" ht="15.75" customHeight="1" s="88"/>
    <row r="344" ht="15.75" customHeight="1" s="88"/>
    <row r="345" ht="15.75" customHeight="1" s="88"/>
    <row r="346" ht="15.75" customHeight="1" s="88"/>
    <row r="347" ht="15.75" customHeight="1" s="88"/>
    <row r="348" ht="15.75" customHeight="1" s="88"/>
    <row r="349" ht="15.75" customHeight="1" s="88"/>
    <row r="350" ht="15.75" customHeight="1" s="88"/>
    <row r="351" ht="15.75" customHeight="1" s="88"/>
    <row r="352" ht="15.75" customHeight="1" s="88"/>
    <row r="353" ht="15.75" customHeight="1" s="88"/>
    <row r="354" ht="15.75" customHeight="1" s="88"/>
    <row r="355" ht="15.75" customHeight="1" s="88"/>
    <row r="356" ht="15.75" customHeight="1" s="88"/>
    <row r="357" ht="15.75" customHeight="1" s="88"/>
    <row r="358" ht="15.75" customHeight="1" s="88"/>
    <row r="359" ht="15.75" customHeight="1" s="88"/>
    <row r="360" ht="15.75" customHeight="1" s="88"/>
    <row r="361" ht="15.75" customHeight="1" s="88"/>
    <row r="362" ht="15.75" customHeight="1" s="88"/>
    <row r="363" ht="15.75" customHeight="1" s="88"/>
    <row r="364" ht="15.75" customHeight="1" s="88"/>
    <row r="365" ht="15.75" customHeight="1" s="88"/>
    <row r="366" ht="15.75" customHeight="1" s="88"/>
    <row r="367" ht="15.75" customHeight="1" s="88"/>
    <row r="368" ht="15.75" customHeight="1" s="88"/>
    <row r="369" ht="15.75" customHeight="1" s="88"/>
    <row r="370" ht="15.75" customHeight="1" s="88"/>
    <row r="371" ht="15.75" customHeight="1" s="88"/>
    <row r="372" ht="15.75" customHeight="1" s="88"/>
    <row r="373" ht="15.75" customHeight="1" s="88"/>
    <row r="374" ht="15.75" customHeight="1" s="88"/>
    <row r="375" ht="15.75" customHeight="1" s="88"/>
    <row r="376" ht="15.75" customHeight="1" s="88"/>
    <row r="377" ht="15.75" customHeight="1" s="88"/>
    <row r="378" ht="15.75" customHeight="1" s="88"/>
    <row r="379" ht="15.75" customHeight="1" s="88"/>
    <row r="380" ht="15.75" customHeight="1" s="88"/>
    <row r="381" ht="15.75" customHeight="1" s="88"/>
    <row r="382" ht="15.75" customHeight="1" s="88"/>
    <row r="383" ht="15.75" customHeight="1" s="88"/>
    <row r="384" ht="15.75" customHeight="1" s="88"/>
    <row r="385" ht="15.75" customHeight="1" s="88"/>
    <row r="386" ht="15.75" customHeight="1" s="88"/>
    <row r="387" ht="15.75" customHeight="1" s="88"/>
    <row r="388" ht="15.75" customHeight="1" s="88"/>
    <row r="389" ht="15.75" customHeight="1" s="88"/>
    <row r="390" ht="15.75" customHeight="1" s="88"/>
    <row r="391" ht="15.75" customHeight="1" s="88"/>
    <row r="392" ht="15.75" customHeight="1" s="88"/>
    <row r="393" ht="15.75" customHeight="1" s="88"/>
    <row r="394" ht="15.75" customHeight="1" s="88"/>
    <row r="395" ht="15.75" customHeight="1" s="88"/>
    <row r="396" ht="15.75" customHeight="1" s="88"/>
    <row r="397" ht="15.75" customHeight="1" s="88"/>
    <row r="398" ht="15.75" customHeight="1" s="88"/>
    <row r="399" ht="15.75" customHeight="1" s="88"/>
    <row r="400" ht="15.75" customHeight="1" s="88"/>
    <row r="401" ht="15.75" customHeight="1" s="88"/>
    <row r="402" ht="15.75" customHeight="1" s="88"/>
    <row r="403" ht="15.75" customHeight="1" s="88"/>
    <row r="404" ht="15.75" customHeight="1" s="88"/>
    <row r="405" ht="15.75" customHeight="1" s="88"/>
    <row r="406" ht="15.75" customHeight="1" s="88"/>
    <row r="407" ht="15.75" customHeight="1" s="88"/>
    <row r="408" ht="15.75" customHeight="1" s="88"/>
    <row r="409" ht="15.75" customHeight="1" s="88"/>
    <row r="410" ht="15.75" customHeight="1" s="88"/>
    <row r="411" ht="15.75" customHeight="1" s="88"/>
    <row r="412" ht="15.75" customHeight="1" s="88"/>
    <row r="413" ht="15.75" customHeight="1" s="88"/>
    <row r="414" ht="15.75" customHeight="1" s="88"/>
    <row r="415" ht="15.75" customHeight="1" s="88"/>
    <row r="416" ht="15.75" customHeight="1" s="88"/>
    <row r="417" ht="15.75" customHeight="1" s="88"/>
    <row r="418" ht="15.75" customHeight="1" s="88"/>
    <row r="419" ht="15.75" customHeight="1" s="88"/>
    <row r="420" ht="15.75" customHeight="1" s="88"/>
    <row r="421" ht="15.75" customHeight="1" s="88"/>
    <row r="422" ht="15.75" customHeight="1" s="88"/>
    <row r="423" ht="15.75" customHeight="1" s="88"/>
    <row r="424" ht="15.75" customHeight="1" s="88"/>
    <row r="425" ht="15.75" customHeight="1" s="88"/>
    <row r="426" ht="15.75" customHeight="1" s="88"/>
    <row r="427" ht="15.75" customHeight="1" s="88"/>
    <row r="428" ht="15.75" customHeight="1" s="88"/>
    <row r="429" ht="15.75" customHeight="1" s="88"/>
    <row r="430" ht="15.75" customHeight="1" s="88"/>
    <row r="431" ht="15.75" customHeight="1" s="88"/>
    <row r="432" ht="15.75" customHeight="1" s="88"/>
    <row r="433" ht="15.75" customHeight="1" s="88"/>
    <row r="434" ht="15.75" customHeight="1" s="88"/>
    <row r="435" ht="15.75" customHeight="1" s="88"/>
    <row r="436" ht="15.75" customHeight="1" s="88"/>
    <row r="437" ht="15.75" customHeight="1" s="88"/>
    <row r="438" ht="15.75" customHeight="1" s="88"/>
    <row r="439" ht="15.75" customHeight="1" s="88"/>
    <row r="440" ht="15.75" customHeight="1" s="88"/>
    <row r="441" ht="15.75" customHeight="1" s="88"/>
    <row r="442" ht="15.75" customHeight="1" s="88"/>
    <row r="443" ht="15.75" customHeight="1" s="88"/>
    <row r="444" ht="15.75" customHeight="1" s="88"/>
    <row r="445" ht="15.75" customHeight="1" s="88"/>
    <row r="446" ht="15.75" customHeight="1" s="88"/>
    <row r="447" ht="15.75" customHeight="1" s="88"/>
    <row r="448" ht="15.75" customHeight="1" s="88"/>
    <row r="449" ht="15.75" customHeight="1" s="88"/>
    <row r="450" ht="15.75" customHeight="1" s="88"/>
    <row r="451" ht="15.75" customHeight="1" s="88"/>
    <row r="452" ht="15.75" customHeight="1" s="88"/>
    <row r="453" ht="15.75" customHeight="1" s="88"/>
    <row r="454" ht="15.75" customHeight="1" s="88"/>
    <row r="455" ht="15.75" customHeight="1" s="88"/>
    <row r="456" ht="15.75" customHeight="1" s="88"/>
    <row r="457" ht="15.75" customHeight="1" s="88"/>
    <row r="458" ht="15.75" customHeight="1" s="88"/>
    <row r="459" ht="15.75" customHeight="1" s="88"/>
    <row r="460" ht="15.75" customHeight="1" s="88"/>
    <row r="461" ht="15.75" customHeight="1" s="88"/>
    <row r="462" ht="15.75" customHeight="1" s="88"/>
    <row r="463" ht="15.75" customHeight="1" s="88"/>
    <row r="464" ht="15.75" customHeight="1" s="88"/>
    <row r="465" ht="15.75" customHeight="1" s="88"/>
    <row r="466" ht="15.75" customHeight="1" s="88"/>
    <row r="467" ht="15.75" customHeight="1" s="88"/>
    <row r="468" ht="15.75" customHeight="1" s="88"/>
    <row r="469" ht="15.75" customHeight="1" s="88"/>
    <row r="470" ht="15.75" customHeight="1" s="88"/>
    <row r="471" ht="15.75" customHeight="1" s="88"/>
    <row r="472" ht="15.75" customHeight="1" s="88"/>
    <row r="473" ht="15.75" customHeight="1" s="88"/>
    <row r="474" ht="15.75" customHeight="1" s="88"/>
    <row r="475" ht="15.75" customHeight="1" s="88"/>
    <row r="476" ht="15.75" customHeight="1" s="88"/>
    <row r="477" ht="15.75" customHeight="1" s="88"/>
    <row r="478" ht="15.75" customHeight="1" s="88"/>
    <row r="479" ht="15.75" customHeight="1" s="88"/>
    <row r="480" ht="15.75" customHeight="1" s="88"/>
    <row r="481" ht="15.75" customHeight="1" s="88"/>
    <row r="482" ht="15.75" customHeight="1" s="88"/>
    <row r="483" ht="15.75" customHeight="1" s="88"/>
    <row r="484" ht="15.75" customHeight="1" s="88"/>
    <row r="485" ht="15.75" customHeight="1" s="88"/>
    <row r="486" ht="15.75" customHeight="1" s="88"/>
    <row r="487" ht="15.75" customHeight="1" s="88"/>
    <row r="488" ht="15.75" customHeight="1" s="88"/>
    <row r="489" ht="15.75" customHeight="1" s="88"/>
    <row r="490" ht="15.75" customHeight="1" s="88"/>
    <row r="491" ht="15.75" customHeight="1" s="88"/>
    <row r="492" ht="15.75" customHeight="1" s="88"/>
    <row r="493" ht="15.75" customHeight="1" s="88"/>
    <row r="494" ht="15.75" customHeight="1" s="88"/>
    <row r="495" ht="15.75" customHeight="1" s="88"/>
    <row r="496" ht="15.75" customHeight="1" s="88"/>
    <row r="497" ht="15.75" customHeight="1" s="88"/>
    <row r="498" ht="15.75" customHeight="1" s="88"/>
    <row r="499" ht="15.75" customHeight="1" s="88"/>
    <row r="500" ht="15.75" customHeight="1" s="88"/>
    <row r="501" ht="15.75" customHeight="1" s="88"/>
    <row r="502" ht="15.75" customHeight="1" s="88"/>
    <row r="503" ht="15.75" customHeight="1" s="88"/>
    <row r="504" ht="15.75" customHeight="1" s="88"/>
    <row r="505" ht="15.75" customHeight="1" s="88"/>
    <row r="506" ht="15.75" customHeight="1" s="88"/>
    <row r="507" ht="15.75" customHeight="1" s="88"/>
    <row r="508" ht="15.75" customHeight="1" s="88"/>
    <row r="509" ht="15.75" customHeight="1" s="88"/>
    <row r="510" ht="15.75" customHeight="1" s="88"/>
    <row r="511" ht="15.75" customHeight="1" s="88"/>
    <row r="512" ht="15.75" customHeight="1" s="88"/>
    <row r="513" ht="15.75" customHeight="1" s="88"/>
    <row r="514" ht="15.75" customHeight="1" s="88"/>
    <row r="515" ht="15.75" customHeight="1" s="88"/>
    <row r="516" ht="15.75" customHeight="1" s="88"/>
    <row r="517" ht="15.75" customHeight="1" s="88"/>
    <row r="518" ht="15.75" customHeight="1" s="88"/>
    <row r="519" ht="15.75" customHeight="1" s="88"/>
    <row r="520" ht="15.75" customHeight="1" s="88"/>
    <row r="521" ht="15.75" customHeight="1" s="88"/>
    <row r="522" ht="15.75" customHeight="1" s="88"/>
    <row r="523" ht="15.75" customHeight="1" s="88"/>
    <row r="524" ht="15.75" customHeight="1" s="88"/>
    <row r="525" ht="15.75" customHeight="1" s="88"/>
    <row r="526" ht="15.75" customHeight="1" s="88"/>
    <row r="527" ht="15.75" customHeight="1" s="88"/>
    <row r="528" ht="15.75" customHeight="1" s="88"/>
    <row r="529" ht="15.75" customHeight="1" s="88"/>
    <row r="530" ht="15.75" customHeight="1" s="88"/>
    <row r="531" ht="15.75" customHeight="1" s="88"/>
    <row r="532" ht="15.75" customHeight="1" s="88"/>
    <row r="533" ht="15.75" customHeight="1" s="88"/>
    <row r="534" ht="15.75" customHeight="1" s="88"/>
    <row r="535" ht="15.75" customHeight="1" s="88"/>
    <row r="536" ht="15.75" customHeight="1" s="88"/>
    <row r="537" ht="15.75" customHeight="1" s="88"/>
    <row r="538" ht="15.75" customHeight="1" s="88"/>
    <row r="539" ht="15.75" customHeight="1" s="88"/>
    <row r="540" ht="15.75" customHeight="1" s="88"/>
    <row r="541" ht="15.75" customHeight="1" s="88"/>
    <row r="542" ht="15.75" customHeight="1" s="88"/>
    <row r="543" ht="15.75" customHeight="1" s="88"/>
    <row r="544" ht="15.75" customHeight="1" s="88"/>
    <row r="545" ht="15.75" customHeight="1" s="88"/>
    <row r="546" ht="15.75" customHeight="1" s="88"/>
    <row r="547" ht="15.75" customHeight="1" s="88"/>
    <row r="548" ht="15.75" customHeight="1" s="88"/>
    <row r="549" ht="15.75" customHeight="1" s="88"/>
    <row r="550" ht="15.75" customHeight="1" s="88"/>
    <row r="551" ht="15.75" customHeight="1" s="88"/>
    <row r="552" ht="15.75" customHeight="1" s="88"/>
    <row r="553" ht="15.75" customHeight="1" s="88"/>
    <row r="554" ht="15.75" customHeight="1" s="88"/>
    <row r="555" ht="15.75" customHeight="1" s="88"/>
    <row r="556" ht="15.75" customHeight="1" s="88"/>
    <row r="557" ht="15.75" customHeight="1" s="88"/>
    <row r="558" ht="15.75" customHeight="1" s="88"/>
    <row r="559" ht="15.75" customHeight="1" s="88"/>
    <row r="560" ht="15.75" customHeight="1" s="88"/>
    <row r="561" ht="15.75" customHeight="1" s="88"/>
    <row r="562" ht="15.75" customHeight="1" s="88"/>
    <row r="563" ht="15.75" customHeight="1" s="88"/>
    <row r="564" ht="15.75" customHeight="1" s="88"/>
    <row r="565" ht="15.75" customHeight="1" s="88"/>
    <row r="566" ht="15.75" customHeight="1" s="88"/>
    <row r="567" ht="15.75" customHeight="1" s="88"/>
    <row r="568" ht="15.75" customHeight="1" s="88"/>
    <row r="569" ht="15.75" customHeight="1" s="88"/>
    <row r="570" ht="15.75" customHeight="1" s="88"/>
    <row r="571" ht="15.75" customHeight="1" s="88"/>
    <row r="572" ht="15.75" customHeight="1" s="88"/>
    <row r="573" ht="15.75" customHeight="1" s="88"/>
    <row r="574" ht="15.75" customHeight="1" s="88"/>
    <row r="575" ht="15.75" customHeight="1" s="88"/>
    <row r="576" ht="15.75" customHeight="1" s="88"/>
    <row r="577" ht="15.75" customHeight="1" s="88"/>
    <row r="578" ht="15.75" customHeight="1" s="88"/>
    <row r="579" ht="15.75" customHeight="1" s="88"/>
    <row r="580" ht="15.75" customHeight="1" s="88"/>
    <row r="581" ht="15.75" customHeight="1" s="88"/>
    <row r="582" ht="15.75" customHeight="1" s="88"/>
    <row r="583" ht="15.75" customHeight="1" s="88"/>
    <row r="584" ht="15.75" customHeight="1" s="88"/>
    <row r="585" ht="15.75" customHeight="1" s="88"/>
    <row r="586" ht="15.75" customHeight="1" s="88"/>
    <row r="587" ht="15.75" customHeight="1" s="88"/>
    <row r="588" ht="15.75" customHeight="1" s="88"/>
    <row r="589" ht="15.75" customHeight="1" s="88"/>
    <row r="590" ht="15.75" customHeight="1" s="88"/>
    <row r="591" ht="15.75" customHeight="1" s="88"/>
    <row r="592" ht="15.75" customHeight="1" s="88"/>
    <row r="593" ht="15.75" customHeight="1" s="88"/>
    <row r="594" ht="15.75" customHeight="1" s="88"/>
    <row r="595" ht="15.75" customHeight="1" s="88"/>
    <row r="596" ht="15.75" customHeight="1" s="88"/>
    <row r="597" ht="15.75" customHeight="1" s="88"/>
    <row r="598" ht="15.75" customHeight="1" s="88"/>
    <row r="599" ht="15.75" customHeight="1" s="88"/>
    <row r="600" ht="15.75" customHeight="1" s="88"/>
    <row r="601" ht="15.75" customHeight="1" s="88"/>
    <row r="602" ht="15.75" customHeight="1" s="88"/>
    <row r="603" ht="15.75" customHeight="1" s="88"/>
    <row r="604" ht="15.75" customHeight="1" s="88"/>
    <row r="605" ht="15.75" customHeight="1" s="88"/>
    <row r="606" ht="15.75" customHeight="1" s="88"/>
    <row r="607" ht="15.75" customHeight="1" s="88"/>
    <row r="608" ht="15.75" customHeight="1" s="88"/>
    <row r="609" ht="15.75" customHeight="1" s="88"/>
    <row r="610" ht="15.75" customHeight="1" s="88"/>
    <row r="611" ht="15.75" customHeight="1" s="88"/>
    <row r="612" ht="15.75" customHeight="1" s="88"/>
    <row r="613" ht="15.75" customHeight="1" s="88"/>
    <row r="614" ht="15.75" customHeight="1" s="88"/>
    <row r="615" ht="15.75" customHeight="1" s="88"/>
    <row r="616" ht="15.75" customHeight="1" s="88"/>
    <row r="617" ht="15.75" customHeight="1" s="88"/>
    <row r="618" ht="15.75" customHeight="1" s="88"/>
    <row r="619" ht="15.75" customHeight="1" s="88"/>
    <row r="620" ht="15.75" customHeight="1" s="88"/>
    <row r="621" ht="15.75" customHeight="1" s="88"/>
    <row r="622" ht="15.75" customHeight="1" s="88"/>
    <row r="623" ht="15.75" customHeight="1" s="88"/>
    <row r="624" ht="15.75" customHeight="1" s="88"/>
    <row r="625" ht="15.75" customHeight="1" s="88"/>
    <row r="626" ht="15.75" customHeight="1" s="88"/>
    <row r="627" ht="15.75" customHeight="1" s="88"/>
    <row r="628" ht="15.75" customHeight="1" s="88"/>
    <row r="629" ht="15.75" customHeight="1" s="88"/>
    <row r="630" ht="15.75" customHeight="1" s="88"/>
    <row r="631" ht="15.75" customHeight="1" s="88"/>
    <row r="632" ht="15.75" customHeight="1" s="88"/>
    <row r="633" ht="15.75" customHeight="1" s="88"/>
    <row r="634" ht="15.75" customHeight="1" s="88"/>
    <row r="635" ht="15.75" customHeight="1" s="88"/>
    <row r="636" ht="15.75" customHeight="1" s="88"/>
    <row r="637" ht="15.75" customHeight="1" s="88"/>
    <row r="638" ht="15.75" customHeight="1" s="88"/>
    <row r="639" ht="15.75" customHeight="1" s="88"/>
    <row r="640" ht="15.75" customHeight="1" s="88"/>
    <row r="641" ht="15.75" customHeight="1" s="88"/>
    <row r="642" ht="15.75" customHeight="1" s="88"/>
    <row r="643" ht="15.75" customHeight="1" s="88"/>
    <row r="644" ht="15.75" customHeight="1" s="88"/>
    <row r="645" ht="15.75" customHeight="1" s="88"/>
    <row r="646" ht="15.75" customHeight="1" s="88"/>
    <row r="647" ht="15.75" customHeight="1" s="88"/>
    <row r="648" ht="15.75" customHeight="1" s="88"/>
    <row r="649" ht="15.75" customHeight="1" s="88"/>
    <row r="650" ht="15.75" customHeight="1" s="88"/>
    <row r="651" ht="15.75" customHeight="1" s="88"/>
    <row r="652" ht="15.75" customHeight="1" s="88"/>
    <row r="653" ht="15.75" customHeight="1" s="88"/>
    <row r="654" ht="15.75" customHeight="1" s="88"/>
    <row r="655" ht="15.75" customHeight="1" s="88"/>
    <row r="656" ht="15.75" customHeight="1" s="88"/>
    <row r="657" ht="15.75" customHeight="1" s="88"/>
    <row r="658" ht="15.75" customHeight="1" s="88"/>
    <row r="659" ht="15.75" customHeight="1" s="88"/>
    <row r="660" ht="15.75" customHeight="1" s="88"/>
    <row r="661" ht="15.75" customHeight="1" s="88"/>
    <row r="662" ht="15.75" customHeight="1" s="88"/>
    <row r="663" ht="15.75" customHeight="1" s="88"/>
    <row r="664" ht="15.75" customHeight="1" s="88"/>
    <row r="665" ht="15.75" customHeight="1" s="88"/>
    <row r="666" ht="15.75" customHeight="1" s="88"/>
    <row r="667" ht="15.75" customHeight="1" s="88"/>
    <row r="668" ht="15.75" customHeight="1" s="88"/>
    <row r="669" ht="15.75" customHeight="1" s="88"/>
    <row r="670" ht="15.75" customHeight="1" s="88"/>
    <row r="671" ht="15.75" customHeight="1" s="88"/>
    <row r="672" ht="15.75" customHeight="1" s="88"/>
    <row r="673" ht="15.75" customHeight="1" s="88"/>
    <row r="674" ht="15.75" customHeight="1" s="88"/>
    <row r="675" ht="15.75" customHeight="1" s="88"/>
    <row r="676" ht="15.75" customHeight="1" s="88"/>
    <row r="677" ht="15.75" customHeight="1" s="88"/>
    <row r="678" ht="15.75" customHeight="1" s="88"/>
    <row r="679" ht="15.75" customHeight="1" s="88"/>
    <row r="680" ht="15.75" customHeight="1" s="88"/>
    <row r="681" ht="15.75" customHeight="1" s="88"/>
    <row r="682" ht="15.75" customHeight="1" s="88"/>
    <row r="683" ht="15.75" customHeight="1" s="88"/>
    <row r="684" ht="15.75" customHeight="1" s="88"/>
    <row r="685" ht="15.75" customHeight="1" s="88"/>
    <row r="686" ht="15.75" customHeight="1" s="88"/>
    <row r="687" ht="15.75" customHeight="1" s="88"/>
    <row r="688" ht="15.75" customHeight="1" s="88"/>
    <row r="689" ht="15.75" customHeight="1" s="88"/>
    <row r="690" ht="15.75" customHeight="1" s="88"/>
    <row r="691" ht="15.75" customHeight="1" s="88"/>
    <row r="692" ht="15.75" customHeight="1" s="88"/>
    <row r="693" ht="15.75" customHeight="1" s="88"/>
    <row r="694" ht="15.75" customHeight="1" s="88"/>
    <row r="695" ht="15.75" customHeight="1" s="88"/>
    <row r="696" ht="15.75" customHeight="1" s="88"/>
    <row r="697" ht="15.75" customHeight="1" s="88"/>
    <row r="698" ht="15.75" customHeight="1" s="88"/>
    <row r="699" ht="15.75" customHeight="1" s="88"/>
    <row r="700" ht="15.75" customHeight="1" s="88"/>
    <row r="701" ht="15.75" customHeight="1" s="88"/>
    <row r="702" ht="15.75" customHeight="1" s="88"/>
    <row r="703" ht="15.75" customHeight="1" s="88"/>
    <row r="704" ht="15.75" customHeight="1" s="88"/>
    <row r="705" ht="15.75" customHeight="1" s="88"/>
    <row r="706" ht="15.75" customHeight="1" s="88"/>
    <row r="707" ht="15.75" customHeight="1" s="88"/>
    <row r="708" ht="15.75" customHeight="1" s="88"/>
    <row r="709" ht="15.75" customHeight="1" s="88"/>
    <row r="710" ht="15.75" customHeight="1" s="88"/>
    <row r="711" ht="15.75" customHeight="1" s="88"/>
    <row r="712" ht="15.75" customHeight="1" s="88"/>
    <row r="713" ht="15.75" customHeight="1" s="88"/>
    <row r="714" ht="15.75" customHeight="1" s="88"/>
    <row r="715" ht="15.75" customHeight="1" s="88"/>
    <row r="716" ht="15.75" customHeight="1" s="88"/>
    <row r="717" ht="15.75" customHeight="1" s="88"/>
    <row r="718" ht="15.75" customHeight="1" s="88"/>
    <row r="719" ht="15.75" customHeight="1" s="88"/>
    <row r="720" ht="15.75" customHeight="1" s="88"/>
    <row r="721" ht="15.75" customHeight="1" s="88"/>
    <row r="722" ht="15.75" customHeight="1" s="88"/>
    <row r="723" ht="15.75" customHeight="1" s="88"/>
    <row r="724" ht="15.75" customHeight="1" s="88"/>
    <row r="725" ht="15.75" customHeight="1" s="88"/>
    <row r="726" ht="15.75" customHeight="1" s="88"/>
    <row r="727" ht="15.75" customHeight="1" s="88"/>
    <row r="728" ht="15.75" customHeight="1" s="88"/>
    <row r="729" ht="15.75" customHeight="1" s="88"/>
    <row r="730" ht="15.75" customHeight="1" s="88"/>
    <row r="731" ht="15.75" customHeight="1" s="88"/>
    <row r="732" ht="15.75" customHeight="1" s="88"/>
    <row r="733" ht="15.75" customHeight="1" s="88"/>
    <row r="734" ht="15.75" customHeight="1" s="88"/>
    <row r="735" ht="15.75" customHeight="1" s="88"/>
    <row r="736" ht="15.75" customHeight="1" s="88"/>
    <row r="737" ht="15.75" customHeight="1" s="88"/>
    <row r="738" ht="15.75" customHeight="1" s="88"/>
    <row r="739" ht="15.75" customHeight="1" s="88"/>
    <row r="740" ht="15.75" customHeight="1" s="88"/>
    <row r="741" ht="15.75" customHeight="1" s="88"/>
    <row r="742" ht="15.75" customHeight="1" s="88"/>
    <row r="743" ht="15.75" customHeight="1" s="88"/>
    <row r="744" ht="15.75" customHeight="1" s="88"/>
    <row r="745" ht="15.75" customHeight="1" s="88"/>
    <row r="746" ht="15.75" customHeight="1" s="88"/>
    <row r="747" ht="15.75" customHeight="1" s="88"/>
    <row r="748" ht="15.75" customHeight="1" s="88"/>
    <row r="749" ht="15.75" customHeight="1" s="88"/>
    <row r="750" ht="15.75" customHeight="1" s="88"/>
    <row r="751" ht="15.75" customHeight="1" s="88"/>
    <row r="752" ht="15.75" customHeight="1" s="88"/>
    <row r="753" ht="15.75" customHeight="1" s="88"/>
    <row r="754" ht="15.75" customHeight="1" s="88"/>
    <row r="755" ht="15.75" customHeight="1" s="88"/>
    <row r="756" ht="15.75" customHeight="1" s="88"/>
    <row r="757" ht="15.75" customHeight="1" s="88"/>
    <row r="758" ht="15.75" customHeight="1" s="88"/>
    <row r="759" ht="15.75" customHeight="1" s="88"/>
    <row r="760" ht="15.75" customHeight="1" s="88"/>
    <row r="761" ht="15.75" customHeight="1" s="88"/>
    <row r="762" ht="15.75" customHeight="1" s="88"/>
    <row r="763" ht="15.75" customHeight="1" s="88"/>
    <row r="764" ht="15.75" customHeight="1" s="88"/>
    <row r="765" ht="15.75" customHeight="1" s="88"/>
    <row r="766" ht="15.75" customHeight="1" s="88"/>
    <row r="767" ht="15.75" customHeight="1" s="88"/>
    <row r="768" ht="15.75" customHeight="1" s="88"/>
    <row r="769" ht="15.75" customHeight="1" s="88"/>
    <row r="770" ht="15.75" customHeight="1" s="88"/>
    <row r="771" ht="15.75" customHeight="1" s="88"/>
    <row r="772" ht="15.75" customHeight="1" s="88"/>
    <row r="773" ht="15.75" customHeight="1" s="88"/>
    <row r="774" ht="15.75" customHeight="1" s="88"/>
    <row r="775" ht="15.75" customHeight="1" s="88"/>
    <row r="776" ht="15.75" customHeight="1" s="88"/>
    <row r="777" ht="15.75" customHeight="1" s="88"/>
    <row r="778" ht="15.75" customHeight="1" s="88"/>
    <row r="779" ht="15.75" customHeight="1" s="88"/>
    <row r="780" ht="15.75" customHeight="1" s="88"/>
    <row r="781" ht="15.75" customHeight="1" s="88"/>
    <row r="782" ht="15.75" customHeight="1" s="88"/>
    <row r="783" ht="15.75" customHeight="1" s="88"/>
    <row r="784" ht="15.75" customHeight="1" s="88"/>
    <row r="785" ht="15.75" customHeight="1" s="88"/>
    <row r="786" ht="15.75" customHeight="1" s="88"/>
    <row r="787" ht="15.75" customHeight="1" s="88"/>
    <row r="788" ht="15.75" customHeight="1" s="88"/>
    <row r="789" ht="15.75" customHeight="1" s="88"/>
    <row r="790" ht="15.75" customHeight="1" s="88"/>
    <row r="791" ht="15.75" customHeight="1" s="88"/>
    <row r="792" ht="15.75" customHeight="1" s="88"/>
    <row r="793" ht="15.75" customHeight="1" s="88"/>
    <row r="794" ht="15.75" customHeight="1" s="88"/>
    <row r="795" ht="15.75" customHeight="1" s="88"/>
    <row r="796" ht="15.75" customHeight="1" s="88"/>
    <row r="797" ht="15.75" customHeight="1" s="88"/>
    <row r="798" ht="15.75" customHeight="1" s="88"/>
    <row r="799" ht="15.75" customHeight="1" s="88"/>
    <row r="800" ht="15.75" customHeight="1" s="88"/>
    <row r="801" ht="15.75" customHeight="1" s="88"/>
    <row r="802" ht="15.75" customHeight="1" s="88"/>
    <row r="803" ht="15.75" customHeight="1" s="88"/>
    <row r="804" ht="15.75" customHeight="1" s="88"/>
    <row r="805" ht="15.75" customHeight="1" s="88"/>
    <row r="806" ht="15.75" customHeight="1" s="88"/>
    <row r="807" ht="15.75" customHeight="1" s="88"/>
    <row r="808" ht="15.75" customHeight="1" s="88"/>
    <row r="809" ht="15.75" customHeight="1" s="88"/>
    <row r="810" ht="15.75" customHeight="1" s="88"/>
    <row r="811" ht="15.75" customHeight="1" s="88"/>
    <row r="812" ht="15.75" customHeight="1" s="88"/>
    <row r="813" ht="15.75" customHeight="1" s="88"/>
    <row r="814" ht="15.75" customHeight="1" s="88"/>
    <row r="815" ht="15.75" customHeight="1" s="88"/>
    <row r="816" ht="15.75" customHeight="1" s="88"/>
    <row r="817" ht="15.75" customHeight="1" s="88"/>
    <row r="818" ht="15.75" customHeight="1" s="88"/>
    <row r="819" ht="15.75" customHeight="1" s="88"/>
    <row r="820" ht="15.75" customHeight="1" s="88"/>
    <row r="821" ht="15.75" customHeight="1" s="88"/>
    <row r="822" ht="15.75" customHeight="1" s="88"/>
    <row r="823" ht="15.75" customHeight="1" s="88"/>
    <row r="824" ht="15.75" customHeight="1" s="88"/>
    <row r="825" ht="15.75" customHeight="1" s="88"/>
    <row r="826" ht="15.75" customHeight="1" s="88"/>
    <row r="827" ht="15.75" customHeight="1" s="88"/>
    <row r="828" ht="15.75" customHeight="1" s="88"/>
    <row r="829" ht="15.75" customHeight="1" s="88"/>
    <row r="830" ht="15.75" customHeight="1" s="88"/>
    <row r="831" ht="15.75" customHeight="1" s="88"/>
    <row r="832" ht="15.75" customHeight="1" s="88"/>
    <row r="833" ht="15.75" customHeight="1" s="88"/>
    <row r="834" ht="15.75" customHeight="1" s="88"/>
    <row r="835" ht="15.75" customHeight="1" s="88"/>
    <row r="836" ht="15.75" customHeight="1" s="88"/>
    <row r="837" ht="15.75" customHeight="1" s="88"/>
    <row r="838" ht="15.75" customHeight="1" s="88"/>
    <row r="839" ht="15.75" customHeight="1" s="88"/>
    <row r="840" ht="15.75" customHeight="1" s="88"/>
    <row r="841" ht="15.75" customHeight="1" s="88"/>
    <row r="842" ht="15.75" customHeight="1" s="88"/>
    <row r="843" ht="15.75" customHeight="1" s="88"/>
    <row r="844" ht="15.75" customHeight="1" s="88"/>
    <row r="845" ht="15.75" customHeight="1" s="88"/>
    <row r="846" ht="15.75" customHeight="1" s="88"/>
    <row r="847" ht="15.75" customHeight="1" s="88"/>
    <row r="848" ht="15.75" customHeight="1" s="88"/>
    <row r="849" ht="15.75" customHeight="1" s="88"/>
    <row r="850" ht="15.75" customHeight="1" s="88"/>
    <row r="851" ht="15.75" customHeight="1" s="88"/>
    <row r="852" ht="15.75" customHeight="1" s="88"/>
    <row r="853" ht="15.75" customHeight="1" s="88"/>
    <row r="854" ht="15.75" customHeight="1" s="88"/>
    <row r="855" ht="15.75" customHeight="1" s="88"/>
    <row r="856" ht="15.75" customHeight="1" s="88"/>
    <row r="857" ht="15.75" customHeight="1" s="88"/>
    <row r="858" ht="15.75" customHeight="1" s="88"/>
    <row r="859" ht="15.75" customHeight="1" s="88"/>
    <row r="860" ht="15.75" customHeight="1" s="88"/>
    <row r="861" ht="15.75" customHeight="1" s="88"/>
    <row r="862" ht="15.75" customHeight="1" s="88"/>
    <row r="863" ht="15.75" customHeight="1" s="88"/>
    <row r="864" ht="15.75" customHeight="1" s="88"/>
    <row r="865" ht="15.75" customHeight="1" s="88"/>
    <row r="866" ht="15.75" customHeight="1" s="88"/>
    <row r="867" ht="15.75" customHeight="1" s="88"/>
    <row r="868" ht="15.75" customHeight="1" s="88"/>
    <row r="869" ht="15.75" customHeight="1" s="88"/>
    <row r="870" ht="15.75" customHeight="1" s="88"/>
    <row r="871" ht="15.75" customHeight="1" s="88"/>
    <row r="872" ht="15.75" customHeight="1" s="88"/>
    <row r="873" ht="15.75" customHeight="1" s="88"/>
    <row r="874" ht="15.75" customHeight="1" s="88"/>
    <row r="875" ht="15.75" customHeight="1" s="88"/>
    <row r="876" ht="15.75" customHeight="1" s="88"/>
    <row r="877" ht="15.75" customHeight="1" s="88"/>
    <row r="878" ht="15.75" customHeight="1" s="88"/>
    <row r="879" ht="15.75" customHeight="1" s="88"/>
    <row r="880" ht="15.75" customHeight="1" s="88"/>
    <row r="881" ht="15.75" customHeight="1" s="88"/>
    <row r="882" ht="15.75" customHeight="1" s="88"/>
    <row r="883" ht="15.75" customHeight="1" s="88"/>
    <row r="884" ht="15.75" customHeight="1" s="88"/>
    <row r="885" ht="15.75" customHeight="1" s="88"/>
    <row r="886" ht="15.75" customHeight="1" s="88"/>
    <row r="887" ht="15.75" customHeight="1" s="88"/>
    <row r="888" ht="15.75" customHeight="1" s="88"/>
    <row r="889" ht="15.75" customHeight="1" s="88"/>
    <row r="890" ht="15.75" customHeight="1" s="88"/>
    <row r="891" ht="15.75" customHeight="1" s="88"/>
    <row r="892" ht="15.75" customHeight="1" s="88"/>
    <row r="893" ht="15.75" customHeight="1" s="88"/>
    <row r="894" ht="15.75" customHeight="1" s="88"/>
    <row r="895" ht="15.75" customHeight="1" s="88"/>
    <row r="896" ht="15.75" customHeight="1" s="88"/>
    <row r="897" ht="15.75" customHeight="1" s="88"/>
    <row r="898" ht="15.75" customHeight="1" s="88"/>
    <row r="899" ht="15.75" customHeight="1" s="88"/>
    <row r="900" ht="15.75" customHeight="1" s="88"/>
    <row r="901" ht="15.75" customHeight="1" s="88"/>
    <row r="902" ht="15.75" customHeight="1" s="88"/>
    <row r="903" ht="15.75" customHeight="1" s="88"/>
    <row r="904" ht="15.75" customHeight="1" s="88"/>
    <row r="905" ht="15.75" customHeight="1" s="88"/>
    <row r="906" ht="15.75" customHeight="1" s="88"/>
    <row r="907" ht="15.75" customHeight="1" s="88"/>
    <row r="908" ht="15.75" customHeight="1" s="88"/>
    <row r="909" ht="15.75" customHeight="1" s="88"/>
    <row r="910" ht="15.75" customHeight="1" s="88"/>
    <row r="911" ht="15.75" customHeight="1" s="88"/>
    <row r="912" ht="15.75" customHeight="1" s="88"/>
    <row r="913" ht="15.75" customHeight="1" s="88"/>
    <row r="914" ht="15.75" customHeight="1" s="88"/>
    <row r="915" ht="15.75" customHeight="1" s="88"/>
    <row r="916" ht="15.75" customHeight="1" s="88"/>
    <row r="917" ht="15.75" customHeight="1" s="88"/>
    <row r="918" ht="15.75" customHeight="1" s="88"/>
    <row r="919" ht="15.75" customHeight="1" s="88"/>
    <row r="920" ht="15.75" customHeight="1" s="88"/>
    <row r="921" ht="15.75" customHeight="1" s="88"/>
    <row r="922" ht="15.75" customHeight="1" s="88"/>
    <row r="923" ht="15.75" customHeight="1" s="88"/>
    <row r="924" ht="15.75" customHeight="1" s="88"/>
    <row r="925" ht="15.75" customHeight="1" s="88"/>
    <row r="926" ht="15.75" customHeight="1" s="88"/>
    <row r="927" ht="15.75" customHeight="1" s="88"/>
    <row r="928" ht="15.75" customHeight="1" s="88"/>
    <row r="929" ht="15.75" customHeight="1" s="88"/>
    <row r="930" ht="15.75" customHeight="1" s="88"/>
    <row r="931" ht="15.75" customHeight="1" s="88"/>
    <row r="932" ht="15.75" customHeight="1" s="88"/>
    <row r="933" ht="15.75" customHeight="1" s="88"/>
    <row r="934" ht="15.75" customHeight="1" s="88"/>
    <row r="935" ht="15.75" customHeight="1" s="88"/>
    <row r="936" ht="15.75" customHeight="1" s="88"/>
    <row r="937" ht="15.75" customHeight="1" s="88"/>
    <row r="938" ht="15.75" customHeight="1" s="88"/>
    <row r="939" ht="15.75" customHeight="1" s="88"/>
    <row r="940" ht="15.75" customHeight="1" s="88"/>
    <row r="941" ht="15.75" customHeight="1" s="88"/>
    <row r="942" ht="15.75" customHeight="1" s="88"/>
    <row r="943" ht="15.75" customHeight="1" s="88"/>
    <row r="944" ht="15.75" customHeight="1" s="88"/>
    <row r="945" ht="15.75" customHeight="1" s="88"/>
    <row r="946" ht="15.75" customHeight="1" s="88"/>
    <row r="947" ht="15.75" customHeight="1" s="88"/>
    <row r="948" ht="15.75" customHeight="1" s="88"/>
    <row r="949" ht="15.75" customHeight="1" s="88"/>
    <row r="950" ht="15.75" customHeight="1" s="88"/>
    <row r="951" ht="15.75" customHeight="1" s="88"/>
    <row r="952" ht="15.75" customHeight="1" s="88"/>
    <row r="953" ht="15.75" customHeight="1" s="88"/>
    <row r="954" ht="15.75" customHeight="1" s="88"/>
    <row r="955" ht="15.75" customHeight="1" s="88"/>
    <row r="956" ht="15.75" customHeight="1" s="88"/>
    <row r="957" ht="15.75" customHeight="1" s="88"/>
    <row r="958" ht="15.75" customHeight="1" s="88"/>
    <row r="959" ht="15.75" customHeight="1" s="88"/>
    <row r="960" ht="15.75" customHeight="1" s="88"/>
    <row r="961" ht="15.75" customHeight="1" s="88"/>
    <row r="962" ht="15.75" customHeight="1" s="88"/>
    <row r="963" ht="15.75" customHeight="1" s="88"/>
    <row r="964" ht="15.75" customHeight="1" s="88"/>
    <row r="965" ht="15.75" customHeight="1" s="88"/>
    <row r="966" ht="15.75" customHeight="1" s="88"/>
    <row r="967" ht="15.75" customHeight="1" s="88"/>
    <row r="968" ht="15.75" customHeight="1" s="88"/>
    <row r="969" ht="15.75" customHeight="1" s="88"/>
    <row r="970" ht="15.75" customHeight="1" s="88"/>
    <row r="971" ht="15.75" customHeight="1" s="88"/>
    <row r="972" ht="15.75" customHeight="1" s="88"/>
    <row r="973" ht="15.75" customHeight="1" s="88"/>
    <row r="974" ht="15.75" customHeight="1" s="88"/>
    <row r="975" ht="15.75" customHeight="1" s="88"/>
    <row r="976" ht="15.75" customHeight="1" s="88"/>
    <row r="977" ht="15.75" customHeight="1" s="88"/>
    <row r="978" ht="15.75" customHeight="1" s="88"/>
    <row r="979" ht="15.75" customHeight="1" s="88"/>
    <row r="980" ht="15.75" customHeight="1" s="88"/>
    <row r="981" ht="15.75" customHeight="1" s="88"/>
    <row r="982" ht="15.75" customHeight="1" s="88"/>
    <row r="983" ht="15.75" customHeight="1" s="88"/>
    <row r="984" ht="15.75" customHeight="1" s="88"/>
    <row r="985" ht="15.75" customHeight="1" s="88"/>
    <row r="986" ht="15.75" customHeight="1" s="88"/>
    <row r="987" ht="15.75" customHeight="1" s="88"/>
    <row r="988" ht="15.75" customHeight="1" s="88"/>
    <row r="989" ht="15.75" customHeight="1" s="88"/>
    <row r="990" ht="15.75" customHeight="1" s="88"/>
    <row r="991" ht="15.75" customHeight="1" s="88"/>
    <row r="992" ht="15.75" customHeight="1" s="88"/>
    <row r="993" ht="15.75" customHeight="1" s="88"/>
    <row r="994" ht="15.75" customHeight="1" s="88"/>
    <row r="995" ht="15.75" customHeight="1" s="88"/>
    <row r="996" ht="15.75" customHeight="1" s="88"/>
    <row r="997" ht="15.75" customHeight="1" s="88"/>
    <row r="998" ht="15.75" customHeight="1" s="88"/>
    <row r="999" ht="15.75" customHeight="1" s="88"/>
    <row r="1000" ht="15.75" customHeight="1" s="88"/>
  </sheetData>
  <mergeCells count="6">
    <mergeCell ref="A1:P1"/>
    <mergeCell ref="A12:M12"/>
    <mergeCell ref="A4:P4"/>
    <mergeCell ref="A3:P3"/>
    <mergeCell ref="N12:P12"/>
    <mergeCell ref="A2:P2"/>
  </mergeCells>
  <pageMargins left="0.7" right="0.7" top="0.75" bottom="0.75" header="0" footer="0"/>
  <pageSetup orientation="landscape" scale="6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220"/>
  <sheetViews>
    <sheetView topLeftCell="A2" workbookViewId="0">
      <selection activeCell="L17" sqref="E17:L22"/>
    </sheetView>
  </sheetViews>
  <sheetFormatPr baseColWidth="8" defaultColWidth="12.59765625" defaultRowHeight="15" customHeight="1"/>
  <cols>
    <col width="10.8984375" customWidth="1" style="88" min="1" max="1"/>
    <col width="8" customWidth="1" style="88" min="2" max="16"/>
    <col width="7.69921875" customWidth="1" style="88" min="17" max="26"/>
  </cols>
  <sheetData>
    <row r="1" ht="19.5" customHeight="1" s="88">
      <c r="A1" s="15">
        <f>'CO-PO Mapping'!A1:P1</f>
        <v/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4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9.5" customHeight="1" s="88">
      <c r="A2" s="15" t="inlineStr">
        <is>
          <t>Course to PO &amp; PSO Attainment From All Tools</t>
        </is>
      </c>
      <c r="B2" s="123" t="n"/>
      <c r="C2" s="123" t="n"/>
      <c r="D2" s="123" t="n"/>
      <c r="E2" s="123" t="n"/>
      <c r="F2" s="123" t="n"/>
      <c r="G2" s="123" t="n"/>
      <c r="H2" s="123" t="n"/>
      <c r="I2" s="123" t="n"/>
      <c r="J2" s="123" t="n"/>
      <c r="K2" s="123" t="n"/>
      <c r="L2" s="123" t="n"/>
      <c r="M2" s="123" t="n"/>
      <c r="N2" s="123" t="n"/>
      <c r="O2" s="123" t="n"/>
      <c r="P2" s="124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9.5" customHeight="1" s="88">
      <c r="A3" s="15">
        <f>'CO-PO Mapping'!A3:P3</f>
        <v/>
      </c>
      <c r="B3" s="123" t="n"/>
      <c r="C3" s="123" t="n"/>
      <c r="D3" s="123" t="n"/>
      <c r="E3" s="123" t="n"/>
      <c r="F3" s="123" t="n"/>
      <c r="G3" s="123" t="n"/>
      <c r="H3" s="123" t="n"/>
      <c r="I3" s="123" t="n"/>
      <c r="J3" s="123" t="n"/>
      <c r="K3" s="123" t="n"/>
      <c r="L3" s="123" t="n"/>
      <c r="M3" s="123" t="n"/>
      <c r="N3" s="123" t="n"/>
      <c r="O3" s="123" t="n"/>
      <c r="P3" s="124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9.5" customHeight="1" s="88">
      <c r="A4" s="15">
        <f>'CO-PO Mapping'!A4:P4</f>
        <v/>
      </c>
      <c r="B4" s="123" t="n"/>
      <c r="C4" s="123" t="n"/>
      <c r="D4" s="123" t="n"/>
      <c r="E4" s="123" t="n"/>
      <c r="F4" s="123" t="n"/>
      <c r="G4" s="123" t="n"/>
      <c r="H4" s="123" t="n"/>
      <c r="I4" s="123" t="n"/>
      <c r="J4" s="123" t="n"/>
      <c r="K4" s="123" t="n"/>
      <c r="L4" s="123" t="n"/>
      <c r="M4" s="123" t="n"/>
      <c r="N4" s="123" t="n"/>
      <c r="O4" s="123" t="n"/>
      <c r="P4" s="124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9.5" customHeight="1" s="88">
      <c r="A5" s="15" t="inlineStr">
        <is>
          <t>Course</t>
        </is>
      </c>
      <c r="B5" s="15" t="inlineStr">
        <is>
          <t>PO1</t>
        </is>
      </c>
      <c r="C5" s="15" t="inlineStr">
        <is>
          <t>PO2</t>
        </is>
      </c>
      <c r="D5" s="15" t="inlineStr">
        <is>
          <t>PO3</t>
        </is>
      </c>
      <c r="E5" s="15" t="inlineStr">
        <is>
          <t>PO4</t>
        </is>
      </c>
      <c r="F5" s="15" t="inlineStr">
        <is>
          <t>PO5</t>
        </is>
      </c>
      <c r="G5" s="15" t="inlineStr">
        <is>
          <t>PO6</t>
        </is>
      </c>
      <c r="H5" s="15" t="inlineStr">
        <is>
          <t>PO7</t>
        </is>
      </c>
      <c r="I5" s="15" t="inlineStr">
        <is>
          <t>PO8</t>
        </is>
      </c>
      <c r="J5" s="15" t="inlineStr">
        <is>
          <t>PO9</t>
        </is>
      </c>
      <c r="K5" s="15" t="inlineStr">
        <is>
          <t>PO10</t>
        </is>
      </c>
      <c r="L5" s="15" t="inlineStr">
        <is>
          <t>PO11</t>
        </is>
      </c>
      <c r="M5" s="15" t="inlineStr">
        <is>
          <t>PO12</t>
        </is>
      </c>
      <c r="N5" s="15" t="inlineStr">
        <is>
          <t>PSO1</t>
        </is>
      </c>
      <c r="O5" s="15" t="inlineStr">
        <is>
          <t>PSO2</t>
        </is>
      </c>
      <c r="P5" s="15" t="inlineStr">
        <is>
          <t>PSO3</t>
        </is>
      </c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 ht="19.5" customHeight="1" s="88">
      <c r="A6" s="15" t="inlineStr">
        <is>
          <t>CO12FY201</t>
        </is>
      </c>
      <c r="B6" s="58">
        <f>AVERAGE('Attainment Tool 1 C to PO'!B6,'Attainment CO to PO Sessional'!B11)</f>
        <v/>
      </c>
      <c r="C6" s="58">
        <f>AVERAGE('Attainment Tool 1 C to PO'!C6,'Attainment CO to PO Sessional'!C11)</f>
        <v/>
      </c>
      <c r="D6" s="58">
        <f>AVERAGE('Attainment Tool 1 C to PO'!D6,'Attainment CO to PO Sessional'!D11)</f>
        <v/>
      </c>
      <c r="E6" s="58">
        <f>AVERAGE('Attainment Tool 1 C to PO'!E6,'Attainment CO to PO Sessional'!E11)</f>
        <v/>
      </c>
      <c r="F6" s="58">
        <f>AVERAGE('Attainment Tool 1 C to PO'!F6,'Attainment CO to PO Sessional'!F11)</f>
        <v/>
      </c>
      <c r="G6" s="58">
        <f>AVERAGE('Attainment Tool 1 C to PO'!G6,'Attainment CO to PO Sessional'!G11)</f>
        <v/>
      </c>
      <c r="H6" s="58">
        <f>AVERAGE('Attainment Tool 1 C to PO'!H6,'Attainment CO to PO Sessional'!H11)</f>
        <v/>
      </c>
      <c r="I6" s="58">
        <f>AVERAGE('Attainment Tool 1 C to PO'!I6,'Attainment CO to PO Sessional'!I11)</f>
        <v/>
      </c>
      <c r="J6" s="58">
        <f>AVERAGE('Attainment Tool 1 C to PO'!J6,'Attainment CO to PO Sessional'!J11)</f>
        <v/>
      </c>
      <c r="K6" s="58">
        <f>AVERAGE('Attainment Tool 1 C to PO'!K6,'Attainment CO to PO Sessional'!K11)</f>
        <v/>
      </c>
      <c r="L6" s="58">
        <f>AVERAGE('Attainment Tool 1 C to PO'!L6,'Attainment CO to PO Sessional'!L11)</f>
        <v/>
      </c>
      <c r="M6" s="58">
        <f>AVERAGE('Attainment Tool 1 C to PO'!M6,'Attainment CO to PO Sessional'!M11)</f>
        <v/>
      </c>
      <c r="N6" s="58">
        <f>AVERAGE('Attainment Tool 1 C to PO'!N6,'Attainment CO to PO Sessional'!N11)</f>
        <v/>
      </c>
      <c r="O6" s="58">
        <f>AVERAGE('Attainment Tool 1 C to PO'!O6,'Attainment CO to PO Sessional'!O11)</f>
        <v/>
      </c>
      <c r="P6" s="58">
        <f>AVERAGE('Attainment Tool 1 C to PO'!P6,'Attainment CO to PO Sessional'!P11)</f>
        <v/>
      </c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.75" customHeight="1" s="88">
      <c r="A7" s="12" t="inlineStr">
        <is>
          <t>CO12FY201
(Round Off)</t>
        </is>
      </c>
      <c r="B7" s="58">
        <f>ROUND(B6,0)</f>
        <v/>
      </c>
      <c r="C7" s="58">
        <f>ROUND(C6,0)</f>
        <v/>
      </c>
      <c r="D7" s="58">
        <f>ROUND(D6,0)</f>
        <v/>
      </c>
      <c r="E7" s="58">
        <f>ROUND(E6,0)</f>
        <v/>
      </c>
      <c r="F7" s="58">
        <f>ROUND(F6,0)</f>
        <v/>
      </c>
      <c r="G7" s="58">
        <f>ROUND(G6,0)</f>
        <v/>
      </c>
      <c r="H7" s="58">
        <f>ROUND(H6,0)</f>
        <v/>
      </c>
      <c r="I7" s="58">
        <f>ROUND(I6,0)</f>
        <v/>
      </c>
      <c r="J7" s="58">
        <f>ROUND(J6,0)</f>
        <v/>
      </c>
      <c r="K7" s="58">
        <f>ROUND(K6,0)</f>
        <v/>
      </c>
      <c r="L7" s="58">
        <f>ROUND(L6,0)</f>
        <v/>
      </c>
      <c r="M7" s="58">
        <f>ROUND(M6,0)</f>
        <v/>
      </c>
      <c r="N7" s="58">
        <f>ROUND(N6,0)</f>
        <v/>
      </c>
      <c r="O7" s="58">
        <f>ROUND(O6,0)</f>
        <v/>
      </c>
      <c r="P7" s="58">
        <f>ROUND(P6,0)</f>
        <v/>
      </c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39.75" customHeight="1" s="88">
      <c r="A8" s="33" t="inlineStr">
        <is>
          <t>Signature Subject Teacher</t>
        </is>
      </c>
      <c r="B8" s="123" t="n"/>
      <c r="C8" s="123" t="n"/>
      <c r="D8" s="123" t="n"/>
      <c r="E8" s="123" t="n"/>
      <c r="F8" s="123" t="n"/>
      <c r="G8" s="123" t="n"/>
      <c r="H8" s="123" t="n"/>
      <c r="I8" s="123" t="n"/>
      <c r="J8" s="123" t="n"/>
      <c r="K8" s="123" t="n"/>
      <c r="L8" s="123" t="n"/>
      <c r="M8" s="124" t="n"/>
      <c r="N8" s="33" t="n"/>
      <c r="O8" s="123" t="n"/>
      <c r="P8" s="124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.75" customHeight="1" s="88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5.75" customHeight="1" s="88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5.75" customHeight="1" s="88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.75" customHeight="1" s="88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.75" customHeight="1" s="88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.75" customHeight="1" s="88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.75" customHeight="1" s="88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5.75" customHeight="1" s="88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5.75" customHeight="1" s="88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.75" customHeight="1" s="8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.75" customHeight="1" s="88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.75" customHeight="1" s="88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88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88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88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88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88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88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88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8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88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88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88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88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88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88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88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88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88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8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88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88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88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88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88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88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88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88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88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8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88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88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88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88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88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88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88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88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88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8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88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88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88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88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88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88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88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88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88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8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88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88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88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88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88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88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88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88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88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8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88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88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88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88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88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88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88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88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88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88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88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88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88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88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88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88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88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88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8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88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88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88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88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88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88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88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88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88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8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88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88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88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88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88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88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88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88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88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8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88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88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88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88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88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88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88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88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88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8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88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88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88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88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88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88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88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88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88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8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88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88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88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88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88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88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88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88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88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8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88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88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88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88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88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88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88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88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88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8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88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88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88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88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88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88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88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88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88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8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88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88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88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88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88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88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88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88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88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8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88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88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88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88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88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88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88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88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88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88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88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88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88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88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88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88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88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88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8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88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88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88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88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88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88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88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88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88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8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88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88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88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88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88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88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88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88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88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8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88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88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88"/>
    <row r="222" ht="15.75" customHeight="1" s="88"/>
    <row r="223" ht="15.75" customHeight="1" s="88"/>
    <row r="224" ht="15.75" customHeight="1" s="88"/>
    <row r="225" ht="15.75" customHeight="1" s="88"/>
    <row r="226" ht="15.75" customHeight="1" s="88"/>
    <row r="227" ht="15.75" customHeight="1" s="88"/>
    <row r="228" ht="15.75" customHeight="1" s="88"/>
    <row r="229" ht="15.75" customHeight="1" s="88"/>
    <row r="230" ht="15.75" customHeight="1" s="88"/>
    <row r="231" ht="15.75" customHeight="1" s="88"/>
    <row r="232" ht="15.75" customHeight="1" s="88"/>
    <row r="233" ht="15.75" customHeight="1" s="88"/>
    <row r="234" ht="15.75" customHeight="1" s="88"/>
    <row r="235" ht="15.75" customHeight="1" s="88"/>
    <row r="236" ht="15.75" customHeight="1" s="88"/>
    <row r="237" ht="15.75" customHeight="1" s="88"/>
    <row r="238" ht="15.75" customHeight="1" s="88"/>
    <row r="239" ht="15.75" customHeight="1" s="88"/>
    <row r="240" ht="15.75" customHeight="1" s="88"/>
    <row r="241" ht="15.75" customHeight="1" s="88"/>
    <row r="242" ht="15.75" customHeight="1" s="88"/>
    <row r="243" ht="15.75" customHeight="1" s="88"/>
    <row r="244" ht="15.75" customHeight="1" s="88"/>
    <row r="245" ht="15.75" customHeight="1" s="88"/>
    <row r="246" ht="15.75" customHeight="1" s="88"/>
    <row r="247" ht="15.75" customHeight="1" s="88"/>
    <row r="248" ht="15.75" customHeight="1" s="88"/>
    <row r="249" ht="15.75" customHeight="1" s="88"/>
    <row r="250" ht="15.75" customHeight="1" s="88"/>
    <row r="251" ht="15.75" customHeight="1" s="88"/>
    <row r="252" ht="15.75" customHeight="1" s="88"/>
    <row r="253" ht="15.75" customHeight="1" s="88"/>
    <row r="254" ht="15.75" customHeight="1" s="88"/>
    <row r="255" ht="15.75" customHeight="1" s="88"/>
    <row r="256" ht="15.75" customHeight="1" s="88"/>
    <row r="257" ht="15.75" customHeight="1" s="88"/>
    <row r="258" ht="15.75" customHeight="1" s="88"/>
    <row r="259" ht="15.75" customHeight="1" s="88"/>
    <row r="260" ht="15.75" customHeight="1" s="88"/>
    <row r="261" ht="15.75" customHeight="1" s="88"/>
    <row r="262" ht="15.75" customHeight="1" s="88"/>
    <row r="263" ht="15.75" customHeight="1" s="88"/>
    <row r="264" ht="15.75" customHeight="1" s="88"/>
    <row r="265" ht="15.75" customHeight="1" s="88"/>
    <row r="266" ht="15.75" customHeight="1" s="88"/>
    <row r="267" ht="15.75" customHeight="1" s="88"/>
    <row r="268" ht="15.75" customHeight="1" s="88"/>
    <row r="269" ht="15.75" customHeight="1" s="88"/>
    <row r="270" ht="15.75" customHeight="1" s="88"/>
    <row r="271" ht="15.75" customHeight="1" s="88"/>
    <row r="272" ht="15.75" customHeight="1" s="88"/>
    <row r="273" ht="15.75" customHeight="1" s="88"/>
    <row r="274" ht="15.75" customHeight="1" s="88"/>
    <row r="275" ht="15.75" customHeight="1" s="88"/>
    <row r="276" ht="15.75" customHeight="1" s="88"/>
    <row r="277" ht="15.75" customHeight="1" s="88"/>
    <row r="278" ht="15.75" customHeight="1" s="88"/>
    <row r="279" ht="15.75" customHeight="1" s="88"/>
    <row r="280" ht="15.75" customHeight="1" s="88"/>
    <row r="281" ht="15.75" customHeight="1" s="88"/>
    <row r="282" ht="15.75" customHeight="1" s="88"/>
    <row r="283" ht="15.75" customHeight="1" s="88"/>
    <row r="284" ht="15.75" customHeight="1" s="88"/>
    <row r="285" ht="15.75" customHeight="1" s="88"/>
    <row r="286" ht="15.75" customHeight="1" s="88"/>
    <row r="287" ht="15.75" customHeight="1" s="88"/>
    <row r="288" ht="15.75" customHeight="1" s="88"/>
    <row r="289" ht="15.75" customHeight="1" s="88"/>
    <row r="290" ht="15.75" customHeight="1" s="88"/>
    <row r="291" ht="15.75" customHeight="1" s="88"/>
    <row r="292" ht="15.75" customHeight="1" s="88"/>
    <row r="293" ht="15.75" customHeight="1" s="88"/>
    <row r="294" ht="15.75" customHeight="1" s="88"/>
    <row r="295" ht="15.75" customHeight="1" s="88"/>
    <row r="296" ht="15.75" customHeight="1" s="88"/>
    <row r="297" ht="15.75" customHeight="1" s="88"/>
    <row r="298" ht="15.75" customHeight="1" s="88"/>
    <row r="299" ht="15.75" customHeight="1" s="88"/>
    <row r="300" ht="15.75" customHeight="1" s="88"/>
    <row r="301" ht="15.75" customHeight="1" s="88"/>
    <row r="302" ht="15.75" customHeight="1" s="88"/>
    <row r="303" ht="15.75" customHeight="1" s="88"/>
    <row r="304" ht="15.75" customHeight="1" s="88"/>
    <row r="305" ht="15.75" customHeight="1" s="88"/>
    <row r="306" ht="15.75" customHeight="1" s="88"/>
    <row r="307" ht="15.75" customHeight="1" s="88"/>
    <row r="308" ht="15.75" customHeight="1" s="88"/>
    <row r="309" ht="15.75" customHeight="1" s="88"/>
    <row r="310" ht="15.75" customHeight="1" s="88"/>
    <row r="311" ht="15.75" customHeight="1" s="88"/>
    <row r="312" ht="15.75" customHeight="1" s="88"/>
    <row r="313" ht="15.75" customHeight="1" s="88"/>
    <row r="314" ht="15.75" customHeight="1" s="88"/>
    <row r="315" ht="15.75" customHeight="1" s="88"/>
    <row r="316" ht="15.75" customHeight="1" s="88"/>
    <row r="317" ht="15.75" customHeight="1" s="88"/>
    <row r="318" ht="15.75" customHeight="1" s="88"/>
    <row r="319" ht="15.75" customHeight="1" s="88"/>
    <row r="320" ht="15.75" customHeight="1" s="88"/>
    <row r="321" ht="15.75" customHeight="1" s="88"/>
    <row r="322" ht="15.75" customHeight="1" s="88"/>
    <row r="323" ht="15.75" customHeight="1" s="88"/>
    <row r="324" ht="15.75" customHeight="1" s="88"/>
    <row r="325" ht="15.75" customHeight="1" s="88"/>
    <row r="326" ht="15.75" customHeight="1" s="88"/>
    <row r="327" ht="15.75" customHeight="1" s="88"/>
    <row r="328" ht="15.75" customHeight="1" s="88"/>
    <row r="329" ht="15.75" customHeight="1" s="88"/>
    <row r="330" ht="15.75" customHeight="1" s="88"/>
    <row r="331" ht="15.75" customHeight="1" s="88"/>
    <row r="332" ht="15.75" customHeight="1" s="88"/>
    <row r="333" ht="15.75" customHeight="1" s="88"/>
    <row r="334" ht="15.75" customHeight="1" s="88"/>
    <row r="335" ht="15.75" customHeight="1" s="88"/>
    <row r="336" ht="15.75" customHeight="1" s="88"/>
    <row r="337" ht="15.75" customHeight="1" s="88"/>
    <row r="338" ht="15.75" customHeight="1" s="88"/>
    <row r="339" ht="15.75" customHeight="1" s="88"/>
    <row r="340" ht="15.75" customHeight="1" s="88"/>
    <row r="341" ht="15.75" customHeight="1" s="88"/>
    <row r="342" ht="15.75" customHeight="1" s="88"/>
    <row r="343" ht="15.75" customHeight="1" s="88"/>
    <row r="344" ht="15.75" customHeight="1" s="88"/>
    <row r="345" ht="15.75" customHeight="1" s="88"/>
    <row r="346" ht="15.75" customHeight="1" s="88"/>
    <row r="347" ht="15.75" customHeight="1" s="88"/>
    <row r="348" ht="15.75" customHeight="1" s="88"/>
    <row r="349" ht="15.75" customHeight="1" s="88"/>
    <row r="350" ht="15.75" customHeight="1" s="88"/>
    <row r="351" ht="15.75" customHeight="1" s="88"/>
    <row r="352" ht="15.75" customHeight="1" s="88"/>
    <row r="353" ht="15.75" customHeight="1" s="88"/>
    <row r="354" ht="15.75" customHeight="1" s="88"/>
    <row r="355" ht="15.75" customHeight="1" s="88"/>
    <row r="356" ht="15.75" customHeight="1" s="88"/>
    <row r="357" ht="15.75" customHeight="1" s="88"/>
    <row r="358" ht="15.75" customHeight="1" s="88"/>
    <row r="359" ht="15.75" customHeight="1" s="88"/>
    <row r="360" ht="15.75" customHeight="1" s="88"/>
    <row r="361" ht="15.75" customHeight="1" s="88"/>
    <row r="362" ht="15.75" customHeight="1" s="88"/>
    <row r="363" ht="15.75" customHeight="1" s="88"/>
    <row r="364" ht="15.75" customHeight="1" s="88"/>
    <row r="365" ht="15.75" customHeight="1" s="88"/>
    <row r="366" ht="15.75" customHeight="1" s="88"/>
    <row r="367" ht="15.75" customHeight="1" s="88"/>
    <row r="368" ht="15.75" customHeight="1" s="88"/>
    <row r="369" ht="15.75" customHeight="1" s="88"/>
    <row r="370" ht="15.75" customHeight="1" s="88"/>
    <row r="371" ht="15.75" customHeight="1" s="88"/>
    <row r="372" ht="15.75" customHeight="1" s="88"/>
    <row r="373" ht="15.75" customHeight="1" s="88"/>
    <row r="374" ht="15.75" customHeight="1" s="88"/>
    <row r="375" ht="15.75" customHeight="1" s="88"/>
    <row r="376" ht="15.75" customHeight="1" s="88"/>
    <row r="377" ht="15.75" customHeight="1" s="88"/>
    <row r="378" ht="15.75" customHeight="1" s="88"/>
    <row r="379" ht="15.75" customHeight="1" s="88"/>
    <row r="380" ht="15.75" customHeight="1" s="88"/>
    <row r="381" ht="15.75" customHeight="1" s="88"/>
    <row r="382" ht="15.75" customHeight="1" s="88"/>
    <row r="383" ht="15.75" customHeight="1" s="88"/>
    <row r="384" ht="15.75" customHeight="1" s="88"/>
    <row r="385" ht="15.75" customHeight="1" s="88"/>
    <row r="386" ht="15.75" customHeight="1" s="88"/>
    <row r="387" ht="15.75" customHeight="1" s="88"/>
    <row r="388" ht="15.75" customHeight="1" s="88"/>
    <row r="389" ht="15.75" customHeight="1" s="88"/>
    <row r="390" ht="15.75" customHeight="1" s="88"/>
    <row r="391" ht="15.75" customHeight="1" s="88"/>
    <row r="392" ht="15.75" customHeight="1" s="88"/>
    <row r="393" ht="15.75" customHeight="1" s="88"/>
    <row r="394" ht="15.75" customHeight="1" s="88"/>
    <row r="395" ht="15.75" customHeight="1" s="88"/>
    <row r="396" ht="15.75" customHeight="1" s="88"/>
    <row r="397" ht="15.75" customHeight="1" s="88"/>
    <row r="398" ht="15.75" customHeight="1" s="88"/>
    <row r="399" ht="15.75" customHeight="1" s="88"/>
    <row r="400" ht="15.75" customHeight="1" s="88"/>
    <row r="401" ht="15.75" customHeight="1" s="88"/>
    <row r="402" ht="15.75" customHeight="1" s="88"/>
    <row r="403" ht="15.75" customHeight="1" s="88"/>
    <row r="404" ht="15.75" customHeight="1" s="88"/>
    <row r="405" ht="15.75" customHeight="1" s="88"/>
    <row r="406" ht="15.75" customHeight="1" s="88"/>
    <row r="407" ht="15.75" customHeight="1" s="88"/>
    <row r="408" ht="15.75" customHeight="1" s="88"/>
    <row r="409" ht="15.75" customHeight="1" s="88"/>
    <row r="410" ht="15.75" customHeight="1" s="88"/>
    <row r="411" ht="15.75" customHeight="1" s="88"/>
    <row r="412" ht="15.75" customHeight="1" s="88"/>
    <row r="413" ht="15.75" customHeight="1" s="88"/>
    <row r="414" ht="15.75" customHeight="1" s="88"/>
    <row r="415" ht="15.75" customHeight="1" s="88"/>
    <row r="416" ht="15.75" customHeight="1" s="88"/>
    <row r="417" ht="15.75" customHeight="1" s="88"/>
    <row r="418" ht="15.75" customHeight="1" s="88"/>
    <row r="419" ht="15.75" customHeight="1" s="88"/>
    <row r="420" ht="15.75" customHeight="1" s="88"/>
    <row r="421" ht="15.75" customHeight="1" s="88"/>
    <row r="422" ht="15.75" customHeight="1" s="88"/>
    <row r="423" ht="15.75" customHeight="1" s="88"/>
    <row r="424" ht="15.75" customHeight="1" s="88"/>
    <row r="425" ht="15.75" customHeight="1" s="88"/>
    <row r="426" ht="15.75" customHeight="1" s="88"/>
    <row r="427" ht="15.75" customHeight="1" s="88"/>
    <row r="428" ht="15.75" customHeight="1" s="88"/>
    <row r="429" ht="15.75" customHeight="1" s="88"/>
    <row r="430" ht="15.75" customHeight="1" s="88"/>
    <row r="431" ht="15.75" customHeight="1" s="88"/>
    <row r="432" ht="15.75" customHeight="1" s="88"/>
    <row r="433" ht="15.75" customHeight="1" s="88"/>
    <row r="434" ht="15.75" customHeight="1" s="88"/>
    <row r="435" ht="15.75" customHeight="1" s="88"/>
    <row r="436" ht="15.75" customHeight="1" s="88"/>
    <row r="437" ht="15.75" customHeight="1" s="88"/>
    <row r="438" ht="15.75" customHeight="1" s="88"/>
    <row r="439" ht="15.75" customHeight="1" s="88"/>
    <row r="440" ht="15.75" customHeight="1" s="88"/>
    <row r="441" ht="15.75" customHeight="1" s="88"/>
    <row r="442" ht="15.75" customHeight="1" s="88"/>
    <row r="443" ht="15.75" customHeight="1" s="88"/>
    <row r="444" ht="15.75" customHeight="1" s="88"/>
    <row r="445" ht="15.75" customHeight="1" s="88"/>
    <row r="446" ht="15.75" customHeight="1" s="88"/>
    <row r="447" ht="15.75" customHeight="1" s="88"/>
    <row r="448" ht="15.75" customHeight="1" s="88"/>
    <row r="449" ht="15.75" customHeight="1" s="88"/>
    <row r="450" ht="15.75" customHeight="1" s="88"/>
    <row r="451" ht="15.75" customHeight="1" s="88"/>
    <row r="452" ht="15.75" customHeight="1" s="88"/>
    <row r="453" ht="15.75" customHeight="1" s="88"/>
    <row r="454" ht="15.75" customHeight="1" s="88"/>
    <row r="455" ht="15.75" customHeight="1" s="88"/>
    <row r="456" ht="15.75" customHeight="1" s="88"/>
    <row r="457" ht="15.75" customHeight="1" s="88"/>
    <row r="458" ht="15.75" customHeight="1" s="88"/>
    <row r="459" ht="15.75" customHeight="1" s="88"/>
    <row r="460" ht="15.75" customHeight="1" s="88"/>
    <row r="461" ht="15.75" customHeight="1" s="88"/>
    <row r="462" ht="15.75" customHeight="1" s="88"/>
    <row r="463" ht="15.75" customHeight="1" s="88"/>
    <row r="464" ht="15.75" customHeight="1" s="88"/>
    <row r="465" ht="15.75" customHeight="1" s="88"/>
    <row r="466" ht="15.75" customHeight="1" s="88"/>
    <row r="467" ht="15.75" customHeight="1" s="88"/>
    <row r="468" ht="15.75" customHeight="1" s="88"/>
    <row r="469" ht="15.75" customHeight="1" s="88"/>
    <row r="470" ht="15.75" customHeight="1" s="88"/>
    <row r="471" ht="15.75" customHeight="1" s="88"/>
    <row r="472" ht="15.75" customHeight="1" s="88"/>
    <row r="473" ht="15.75" customHeight="1" s="88"/>
    <row r="474" ht="15.75" customHeight="1" s="88"/>
    <row r="475" ht="15.75" customHeight="1" s="88"/>
    <row r="476" ht="15.75" customHeight="1" s="88"/>
    <row r="477" ht="15.75" customHeight="1" s="88"/>
    <row r="478" ht="15.75" customHeight="1" s="88"/>
    <row r="479" ht="15.75" customHeight="1" s="88"/>
    <row r="480" ht="15.75" customHeight="1" s="88"/>
    <row r="481" ht="15.75" customHeight="1" s="88"/>
    <row r="482" ht="15.75" customHeight="1" s="88"/>
    <row r="483" ht="15.75" customHeight="1" s="88"/>
    <row r="484" ht="15.75" customHeight="1" s="88"/>
    <row r="485" ht="15.75" customHeight="1" s="88"/>
    <row r="486" ht="15.75" customHeight="1" s="88"/>
    <row r="487" ht="15.75" customHeight="1" s="88"/>
    <row r="488" ht="15.75" customHeight="1" s="88"/>
    <row r="489" ht="15.75" customHeight="1" s="88"/>
    <row r="490" ht="15.75" customHeight="1" s="88"/>
    <row r="491" ht="15.75" customHeight="1" s="88"/>
    <row r="492" ht="15.75" customHeight="1" s="88"/>
    <row r="493" ht="15.75" customHeight="1" s="88"/>
    <row r="494" ht="15.75" customHeight="1" s="88"/>
    <row r="495" ht="15.75" customHeight="1" s="88"/>
    <row r="496" ht="15.75" customHeight="1" s="88"/>
    <row r="497" ht="15.75" customHeight="1" s="88"/>
    <row r="498" ht="15.75" customHeight="1" s="88"/>
    <row r="499" ht="15.75" customHeight="1" s="88"/>
    <row r="500" ht="15.75" customHeight="1" s="88"/>
    <row r="501" ht="15.75" customHeight="1" s="88"/>
    <row r="502" ht="15.75" customHeight="1" s="88"/>
    <row r="503" ht="15.75" customHeight="1" s="88"/>
    <row r="504" ht="15.75" customHeight="1" s="88"/>
    <row r="505" ht="15.75" customHeight="1" s="88"/>
    <row r="506" ht="15.75" customHeight="1" s="88"/>
    <row r="507" ht="15.75" customHeight="1" s="88"/>
    <row r="508" ht="15.75" customHeight="1" s="88"/>
    <row r="509" ht="15.75" customHeight="1" s="88"/>
    <row r="510" ht="15.75" customHeight="1" s="88"/>
    <row r="511" ht="15.75" customHeight="1" s="88"/>
    <row r="512" ht="15.75" customHeight="1" s="88"/>
    <row r="513" ht="15.75" customHeight="1" s="88"/>
    <row r="514" ht="15.75" customHeight="1" s="88"/>
    <row r="515" ht="15.75" customHeight="1" s="88"/>
    <row r="516" ht="15.75" customHeight="1" s="88"/>
    <row r="517" ht="15.75" customHeight="1" s="88"/>
    <row r="518" ht="15.75" customHeight="1" s="88"/>
    <row r="519" ht="15.75" customHeight="1" s="88"/>
    <row r="520" ht="15.75" customHeight="1" s="88"/>
    <row r="521" ht="15.75" customHeight="1" s="88"/>
    <row r="522" ht="15.75" customHeight="1" s="88"/>
    <row r="523" ht="15.75" customHeight="1" s="88"/>
    <row r="524" ht="15.75" customHeight="1" s="88"/>
    <row r="525" ht="15.75" customHeight="1" s="88"/>
    <row r="526" ht="15.75" customHeight="1" s="88"/>
    <row r="527" ht="15.75" customHeight="1" s="88"/>
    <row r="528" ht="15.75" customHeight="1" s="88"/>
    <row r="529" ht="15.75" customHeight="1" s="88"/>
    <row r="530" ht="15.75" customHeight="1" s="88"/>
    <row r="531" ht="15.75" customHeight="1" s="88"/>
    <row r="532" ht="15.75" customHeight="1" s="88"/>
    <row r="533" ht="15.75" customHeight="1" s="88"/>
    <row r="534" ht="15.75" customHeight="1" s="88"/>
    <row r="535" ht="15.75" customHeight="1" s="88"/>
    <row r="536" ht="15.75" customHeight="1" s="88"/>
    <row r="537" ht="15.75" customHeight="1" s="88"/>
    <row r="538" ht="15.75" customHeight="1" s="88"/>
    <row r="539" ht="15.75" customHeight="1" s="88"/>
    <row r="540" ht="15.75" customHeight="1" s="88"/>
    <row r="541" ht="15.75" customHeight="1" s="88"/>
    <row r="542" ht="15.75" customHeight="1" s="88"/>
    <row r="543" ht="15.75" customHeight="1" s="88"/>
    <row r="544" ht="15.75" customHeight="1" s="88"/>
    <row r="545" ht="15.75" customHeight="1" s="88"/>
    <row r="546" ht="15.75" customHeight="1" s="88"/>
    <row r="547" ht="15.75" customHeight="1" s="88"/>
    <row r="548" ht="15.75" customHeight="1" s="88"/>
    <row r="549" ht="15.75" customHeight="1" s="88"/>
    <row r="550" ht="15.75" customHeight="1" s="88"/>
    <row r="551" ht="15.75" customHeight="1" s="88"/>
    <row r="552" ht="15.75" customHeight="1" s="88"/>
    <row r="553" ht="15.75" customHeight="1" s="88"/>
    <row r="554" ht="15.75" customHeight="1" s="88"/>
    <row r="555" ht="15.75" customHeight="1" s="88"/>
    <row r="556" ht="15.75" customHeight="1" s="88"/>
    <row r="557" ht="15.75" customHeight="1" s="88"/>
    <row r="558" ht="15.75" customHeight="1" s="88"/>
    <row r="559" ht="15.75" customHeight="1" s="88"/>
    <row r="560" ht="15.75" customHeight="1" s="88"/>
    <row r="561" ht="15.75" customHeight="1" s="88"/>
    <row r="562" ht="15.75" customHeight="1" s="88"/>
    <row r="563" ht="15.75" customHeight="1" s="88"/>
    <row r="564" ht="15.75" customHeight="1" s="88"/>
    <row r="565" ht="15.75" customHeight="1" s="88"/>
    <row r="566" ht="15.75" customHeight="1" s="88"/>
    <row r="567" ht="15.75" customHeight="1" s="88"/>
    <row r="568" ht="15.75" customHeight="1" s="88"/>
    <row r="569" ht="15.75" customHeight="1" s="88"/>
    <row r="570" ht="15.75" customHeight="1" s="88"/>
    <row r="571" ht="15.75" customHeight="1" s="88"/>
    <row r="572" ht="15.75" customHeight="1" s="88"/>
    <row r="573" ht="15.75" customHeight="1" s="88"/>
    <row r="574" ht="15.75" customHeight="1" s="88"/>
    <row r="575" ht="15.75" customHeight="1" s="88"/>
    <row r="576" ht="15.75" customHeight="1" s="88"/>
    <row r="577" ht="15.75" customHeight="1" s="88"/>
    <row r="578" ht="15.75" customHeight="1" s="88"/>
    <row r="579" ht="15.75" customHeight="1" s="88"/>
    <row r="580" ht="15.75" customHeight="1" s="88"/>
    <row r="581" ht="15.75" customHeight="1" s="88"/>
    <row r="582" ht="15.75" customHeight="1" s="88"/>
    <row r="583" ht="15.75" customHeight="1" s="88"/>
    <row r="584" ht="15.75" customHeight="1" s="88"/>
    <row r="585" ht="15.75" customHeight="1" s="88"/>
    <row r="586" ht="15.75" customHeight="1" s="88"/>
    <row r="587" ht="15.75" customHeight="1" s="88"/>
    <row r="588" ht="15.75" customHeight="1" s="88"/>
    <row r="589" ht="15.75" customHeight="1" s="88"/>
    <row r="590" ht="15.75" customHeight="1" s="88"/>
    <row r="591" ht="15.75" customHeight="1" s="88"/>
    <row r="592" ht="15.75" customHeight="1" s="88"/>
    <row r="593" ht="15.75" customHeight="1" s="88"/>
    <row r="594" ht="15.75" customHeight="1" s="88"/>
    <row r="595" ht="15.75" customHeight="1" s="88"/>
    <row r="596" ht="15.75" customHeight="1" s="88"/>
    <row r="597" ht="15.75" customHeight="1" s="88"/>
    <row r="598" ht="15.75" customHeight="1" s="88"/>
    <row r="599" ht="15.75" customHeight="1" s="88"/>
    <row r="600" ht="15.75" customHeight="1" s="88"/>
    <row r="601" ht="15.75" customHeight="1" s="88"/>
    <row r="602" ht="15.75" customHeight="1" s="88"/>
    <row r="603" ht="15.75" customHeight="1" s="88"/>
    <row r="604" ht="15.75" customHeight="1" s="88"/>
    <row r="605" ht="15.75" customHeight="1" s="88"/>
    <row r="606" ht="15.75" customHeight="1" s="88"/>
    <row r="607" ht="15.75" customHeight="1" s="88"/>
    <row r="608" ht="15.75" customHeight="1" s="88"/>
    <row r="609" ht="15.75" customHeight="1" s="88"/>
    <row r="610" ht="15.75" customHeight="1" s="88"/>
    <row r="611" ht="15.75" customHeight="1" s="88"/>
    <row r="612" ht="15.75" customHeight="1" s="88"/>
    <row r="613" ht="15.75" customHeight="1" s="88"/>
    <row r="614" ht="15.75" customHeight="1" s="88"/>
    <row r="615" ht="15.75" customHeight="1" s="88"/>
    <row r="616" ht="15.75" customHeight="1" s="88"/>
    <row r="617" ht="15.75" customHeight="1" s="88"/>
    <row r="618" ht="15.75" customHeight="1" s="88"/>
    <row r="619" ht="15.75" customHeight="1" s="88"/>
    <row r="620" ht="15.75" customHeight="1" s="88"/>
    <row r="621" ht="15.75" customHeight="1" s="88"/>
    <row r="622" ht="15.75" customHeight="1" s="88"/>
    <row r="623" ht="15.75" customHeight="1" s="88"/>
    <row r="624" ht="15.75" customHeight="1" s="88"/>
    <row r="625" ht="15.75" customHeight="1" s="88"/>
    <row r="626" ht="15.75" customHeight="1" s="88"/>
    <row r="627" ht="15.75" customHeight="1" s="88"/>
    <row r="628" ht="15.75" customHeight="1" s="88"/>
    <row r="629" ht="15.75" customHeight="1" s="88"/>
    <row r="630" ht="15.75" customHeight="1" s="88"/>
    <row r="631" ht="15.75" customHeight="1" s="88"/>
    <row r="632" ht="15.75" customHeight="1" s="88"/>
    <row r="633" ht="15.75" customHeight="1" s="88"/>
    <row r="634" ht="15.75" customHeight="1" s="88"/>
    <row r="635" ht="15.75" customHeight="1" s="88"/>
    <row r="636" ht="15.75" customHeight="1" s="88"/>
    <row r="637" ht="15.75" customHeight="1" s="88"/>
    <row r="638" ht="15.75" customHeight="1" s="88"/>
    <row r="639" ht="15.75" customHeight="1" s="88"/>
    <row r="640" ht="15.75" customHeight="1" s="88"/>
    <row r="641" ht="15.75" customHeight="1" s="88"/>
    <row r="642" ht="15.75" customHeight="1" s="88"/>
    <row r="643" ht="15.75" customHeight="1" s="88"/>
    <row r="644" ht="15.75" customHeight="1" s="88"/>
    <row r="645" ht="15.75" customHeight="1" s="88"/>
    <row r="646" ht="15.75" customHeight="1" s="88"/>
    <row r="647" ht="15.75" customHeight="1" s="88"/>
    <row r="648" ht="15.75" customHeight="1" s="88"/>
    <row r="649" ht="15.75" customHeight="1" s="88"/>
    <row r="650" ht="15.75" customHeight="1" s="88"/>
    <row r="651" ht="15.75" customHeight="1" s="88"/>
    <row r="652" ht="15.75" customHeight="1" s="88"/>
    <row r="653" ht="15.75" customHeight="1" s="88"/>
    <row r="654" ht="15.75" customHeight="1" s="88"/>
    <row r="655" ht="15.75" customHeight="1" s="88"/>
    <row r="656" ht="15.75" customHeight="1" s="88"/>
    <row r="657" ht="15.75" customHeight="1" s="88"/>
    <row r="658" ht="15.75" customHeight="1" s="88"/>
    <row r="659" ht="15.75" customHeight="1" s="88"/>
    <row r="660" ht="15.75" customHeight="1" s="88"/>
    <row r="661" ht="15.75" customHeight="1" s="88"/>
    <row r="662" ht="15.75" customHeight="1" s="88"/>
    <row r="663" ht="15.75" customHeight="1" s="88"/>
    <row r="664" ht="15.75" customHeight="1" s="88"/>
    <row r="665" ht="15.75" customHeight="1" s="88"/>
    <row r="666" ht="15.75" customHeight="1" s="88"/>
    <row r="667" ht="15.75" customHeight="1" s="88"/>
    <row r="668" ht="15.75" customHeight="1" s="88"/>
    <row r="669" ht="15.75" customHeight="1" s="88"/>
    <row r="670" ht="15.75" customHeight="1" s="88"/>
    <row r="671" ht="15.75" customHeight="1" s="88"/>
    <row r="672" ht="15.75" customHeight="1" s="88"/>
    <row r="673" ht="15.75" customHeight="1" s="88"/>
    <row r="674" ht="15.75" customHeight="1" s="88"/>
    <row r="675" ht="15.75" customHeight="1" s="88"/>
    <row r="676" ht="15.75" customHeight="1" s="88"/>
    <row r="677" ht="15.75" customHeight="1" s="88"/>
    <row r="678" ht="15.75" customHeight="1" s="88"/>
    <row r="679" ht="15.75" customHeight="1" s="88"/>
    <row r="680" ht="15.75" customHeight="1" s="88"/>
    <row r="681" ht="15.75" customHeight="1" s="88"/>
    <row r="682" ht="15.75" customHeight="1" s="88"/>
    <row r="683" ht="15.75" customHeight="1" s="88"/>
    <row r="684" ht="15.75" customHeight="1" s="88"/>
    <row r="685" ht="15.75" customHeight="1" s="88"/>
    <row r="686" ht="15.75" customHeight="1" s="88"/>
    <row r="687" ht="15.75" customHeight="1" s="88"/>
    <row r="688" ht="15.75" customHeight="1" s="88"/>
    <row r="689" ht="15.75" customHeight="1" s="88"/>
    <row r="690" ht="15.75" customHeight="1" s="88"/>
    <row r="691" ht="15.75" customHeight="1" s="88"/>
    <row r="692" ht="15.75" customHeight="1" s="88"/>
    <row r="693" ht="15.75" customHeight="1" s="88"/>
    <row r="694" ht="15.75" customHeight="1" s="88"/>
    <row r="695" ht="15.75" customHeight="1" s="88"/>
    <row r="696" ht="15.75" customHeight="1" s="88"/>
    <row r="697" ht="15.75" customHeight="1" s="88"/>
    <row r="698" ht="15.75" customHeight="1" s="88"/>
    <row r="699" ht="15.75" customHeight="1" s="88"/>
    <row r="700" ht="15.75" customHeight="1" s="88"/>
    <row r="701" ht="15.75" customHeight="1" s="88"/>
    <row r="702" ht="15.75" customHeight="1" s="88"/>
    <row r="703" ht="15.75" customHeight="1" s="88"/>
    <row r="704" ht="15.75" customHeight="1" s="88"/>
    <row r="705" ht="15.75" customHeight="1" s="88"/>
    <row r="706" ht="15.75" customHeight="1" s="88"/>
    <row r="707" ht="15.75" customHeight="1" s="88"/>
    <row r="708" ht="15.75" customHeight="1" s="88"/>
    <row r="709" ht="15.75" customHeight="1" s="88"/>
    <row r="710" ht="15.75" customHeight="1" s="88"/>
    <row r="711" ht="15.75" customHeight="1" s="88"/>
    <row r="712" ht="15.75" customHeight="1" s="88"/>
    <row r="713" ht="15.75" customHeight="1" s="88"/>
    <row r="714" ht="15.75" customHeight="1" s="88"/>
    <row r="715" ht="15.75" customHeight="1" s="88"/>
    <row r="716" ht="15.75" customHeight="1" s="88"/>
    <row r="717" ht="15.75" customHeight="1" s="88"/>
    <row r="718" ht="15.75" customHeight="1" s="88"/>
    <row r="719" ht="15.75" customHeight="1" s="88"/>
    <row r="720" ht="15.75" customHeight="1" s="88"/>
    <row r="721" ht="15.75" customHeight="1" s="88"/>
    <row r="722" ht="15.75" customHeight="1" s="88"/>
    <row r="723" ht="15.75" customHeight="1" s="88"/>
    <row r="724" ht="15.75" customHeight="1" s="88"/>
    <row r="725" ht="15.75" customHeight="1" s="88"/>
    <row r="726" ht="15.75" customHeight="1" s="88"/>
    <row r="727" ht="15.75" customHeight="1" s="88"/>
    <row r="728" ht="15.75" customHeight="1" s="88"/>
    <row r="729" ht="15.75" customHeight="1" s="88"/>
    <row r="730" ht="15.75" customHeight="1" s="88"/>
    <row r="731" ht="15.75" customHeight="1" s="88"/>
    <row r="732" ht="15.75" customHeight="1" s="88"/>
    <row r="733" ht="15.75" customHeight="1" s="88"/>
    <row r="734" ht="15.75" customHeight="1" s="88"/>
    <row r="735" ht="15.75" customHeight="1" s="88"/>
    <row r="736" ht="15.75" customHeight="1" s="88"/>
    <row r="737" ht="15.75" customHeight="1" s="88"/>
    <row r="738" ht="15.75" customHeight="1" s="88"/>
    <row r="739" ht="15.75" customHeight="1" s="88"/>
    <row r="740" ht="15.75" customHeight="1" s="88"/>
    <row r="741" ht="15.75" customHeight="1" s="88"/>
    <row r="742" ht="15.75" customHeight="1" s="88"/>
    <row r="743" ht="15.75" customHeight="1" s="88"/>
    <row r="744" ht="15.75" customHeight="1" s="88"/>
    <row r="745" ht="15.75" customHeight="1" s="88"/>
    <row r="746" ht="15.75" customHeight="1" s="88"/>
    <row r="747" ht="15.75" customHeight="1" s="88"/>
    <row r="748" ht="15.75" customHeight="1" s="88"/>
    <row r="749" ht="15.75" customHeight="1" s="88"/>
    <row r="750" ht="15.75" customHeight="1" s="88"/>
    <row r="751" ht="15.75" customHeight="1" s="88"/>
    <row r="752" ht="15.75" customHeight="1" s="88"/>
    <row r="753" ht="15.75" customHeight="1" s="88"/>
    <row r="754" ht="15.75" customHeight="1" s="88"/>
    <row r="755" ht="15.75" customHeight="1" s="88"/>
    <row r="756" ht="15.75" customHeight="1" s="88"/>
    <row r="757" ht="15.75" customHeight="1" s="88"/>
    <row r="758" ht="15.75" customHeight="1" s="88"/>
    <row r="759" ht="15.75" customHeight="1" s="88"/>
    <row r="760" ht="15.75" customHeight="1" s="88"/>
    <row r="761" ht="15.75" customHeight="1" s="88"/>
    <row r="762" ht="15.75" customHeight="1" s="88"/>
    <row r="763" ht="15.75" customHeight="1" s="88"/>
    <row r="764" ht="15.75" customHeight="1" s="88"/>
    <row r="765" ht="15.75" customHeight="1" s="88"/>
    <row r="766" ht="15.75" customHeight="1" s="88"/>
    <row r="767" ht="15.75" customHeight="1" s="88"/>
    <row r="768" ht="15.75" customHeight="1" s="88"/>
    <row r="769" ht="15.75" customHeight="1" s="88"/>
    <row r="770" ht="15.75" customHeight="1" s="88"/>
    <row r="771" ht="15.75" customHeight="1" s="88"/>
    <row r="772" ht="15.75" customHeight="1" s="88"/>
    <row r="773" ht="15.75" customHeight="1" s="88"/>
    <row r="774" ht="15.75" customHeight="1" s="88"/>
    <row r="775" ht="15.75" customHeight="1" s="88"/>
    <row r="776" ht="15.75" customHeight="1" s="88"/>
    <row r="777" ht="15.75" customHeight="1" s="88"/>
    <row r="778" ht="15.75" customHeight="1" s="88"/>
    <row r="779" ht="15.75" customHeight="1" s="88"/>
    <row r="780" ht="15.75" customHeight="1" s="88"/>
    <row r="781" ht="15.75" customHeight="1" s="88"/>
    <row r="782" ht="15.75" customHeight="1" s="88"/>
    <row r="783" ht="15.75" customHeight="1" s="88"/>
    <row r="784" ht="15.75" customHeight="1" s="88"/>
    <row r="785" ht="15.75" customHeight="1" s="88"/>
    <row r="786" ht="15.75" customHeight="1" s="88"/>
    <row r="787" ht="15.75" customHeight="1" s="88"/>
    <row r="788" ht="15.75" customHeight="1" s="88"/>
    <row r="789" ht="15.75" customHeight="1" s="88"/>
    <row r="790" ht="15.75" customHeight="1" s="88"/>
    <row r="791" ht="15.75" customHeight="1" s="88"/>
    <row r="792" ht="15.75" customHeight="1" s="88"/>
    <row r="793" ht="15.75" customHeight="1" s="88"/>
    <row r="794" ht="15.75" customHeight="1" s="88"/>
    <row r="795" ht="15.75" customHeight="1" s="88"/>
    <row r="796" ht="15.75" customHeight="1" s="88"/>
    <row r="797" ht="15.75" customHeight="1" s="88"/>
    <row r="798" ht="15.75" customHeight="1" s="88"/>
    <row r="799" ht="15.75" customHeight="1" s="88"/>
    <row r="800" ht="15.75" customHeight="1" s="88"/>
    <row r="801" ht="15.75" customHeight="1" s="88"/>
    <row r="802" ht="15.75" customHeight="1" s="88"/>
    <row r="803" ht="15.75" customHeight="1" s="88"/>
    <row r="804" ht="15.75" customHeight="1" s="88"/>
    <row r="805" ht="15.75" customHeight="1" s="88"/>
    <row r="806" ht="15.75" customHeight="1" s="88"/>
    <row r="807" ht="15.75" customHeight="1" s="88"/>
    <row r="808" ht="15.75" customHeight="1" s="88"/>
    <row r="809" ht="15.75" customHeight="1" s="88"/>
    <row r="810" ht="15.75" customHeight="1" s="88"/>
    <row r="811" ht="15.75" customHeight="1" s="88"/>
    <row r="812" ht="15.75" customHeight="1" s="88"/>
    <row r="813" ht="15.75" customHeight="1" s="88"/>
    <row r="814" ht="15.75" customHeight="1" s="88"/>
    <row r="815" ht="15.75" customHeight="1" s="88"/>
    <row r="816" ht="15.75" customHeight="1" s="88"/>
    <row r="817" ht="15.75" customHeight="1" s="88"/>
    <row r="818" ht="15.75" customHeight="1" s="88"/>
    <row r="819" ht="15.75" customHeight="1" s="88"/>
    <row r="820" ht="15.75" customHeight="1" s="88"/>
    <row r="821" ht="15.75" customHeight="1" s="88"/>
    <row r="822" ht="15.75" customHeight="1" s="88"/>
    <row r="823" ht="15.75" customHeight="1" s="88"/>
    <row r="824" ht="15.75" customHeight="1" s="88"/>
    <row r="825" ht="15.75" customHeight="1" s="88"/>
    <row r="826" ht="15.75" customHeight="1" s="88"/>
    <row r="827" ht="15.75" customHeight="1" s="88"/>
    <row r="828" ht="15.75" customHeight="1" s="88"/>
    <row r="829" ht="15.75" customHeight="1" s="88"/>
    <row r="830" ht="15.75" customHeight="1" s="88"/>
    <row r="831" ht="15.75" customHeight="1" s="88"/>
    <row r="832" ht="15.75" customHeight="1" s="88"/>
    <row r="833" ht="15.75" customHeight="1" s="88"/>
    <row r="834" ht="15.75" customHeight="1" s="88"/>
    <row r="835" ht="15.75" customHeight="1" s="88"/>
    <row r="836" ht="15.75" customHeight="1" s="88"/>
    <row r="837" ht="15.75" customHeight="1" s="88"/>
    <row r="838" ht="15.75" customHeight="1" s="88"/>
    <row r="839" ht="15.75" customHeight="1" s="88"/>
    <row r="840" ht="15.75" customHeight="1" s="88"/>
    <row r="841" ht="15.75" customHeight="1" s="88"/>
    <row r="842" ht="15.75" customHeight="1" s="88"/>
    <row r="843" ht="15.75" customHeight="1" s="88"/>
    <row r="844" ht="15.75" customHeight="1" s="88"/>
    <row r="845" ht="15.75" customHeight="1" s="88"/>
    <row r="846" ht="15.75" customHeight="1" s="88"/>
    <row r="847" ht="15.75" customHeight="1" s="88"/>
    <row r="848" ht="15.75" customHeight="1" s="88"/>
    <row r="849" ht="15.75" customHeight="1" s="88"/>
    <row r="850" ht="15.75" customHeight="1" s="88"/>
    <row r="851" ht="15.75" customHeight="1" s="88"/>
    <row r="852" ht="15.75" customHeight="1" s="88"/>
    <row r="853" ht="15.75" customHeight="1" s="88"/>
    <row r="854" ht="15.75" customHeight="1" s="88"/>
    <row r="855" ht="15.75" customHeight="1" s="88"/>
    <row r="856" ht="15.75" customHeight="1" s="88"/>
    <row r="857" ht="15.75" customHeight="1" s="88"/>
    <row r="858" ht="15.75" customHeight="1" s="88"/>
    <row r="859" ht="15.75" customHeight="1" s="88"/>
    <row r="860" ht="15.75" customHeight="1" s="88"/>
    <row r="861" ht="15.75" customHeight="1" s="88"/>
    <row r="862" ht="15.75" customHeight="1" s="88"/>
    <row r="863" ht="15.75" customHeight="1" s="88"/>
    <row r="864" ht="15.75" customHeight="1" s="88"/>
    <row r="865" ht="15.75" customHeight="1" s="88"/>
    <row r="866" ht="15.75" customHeight="1" s="88"/>
    <row r="867" ht="15.75" customHeight="1" s="88"/>
    <row r="868" ht="15.75" customHeight="1" s="88"/>
    <row r="869" ht="15.75" customHeight="1" s="88"/>
    <row r="870" ht="15.75" customHeight="1" s="88"/>
    <row r="871" ht="15.75" customHeight="1" s="88"/>
    <row r="872" ht="15.75" customHeight="1" s="88"/>
    <row r="873" ht="15.75" customHeight="1" s="88"/>
    <row r="874" ht="15.75" customHeight="1" s="88"/>
    <row r="875" ht="15.75" customHeight="1" s="88"/>
    <row r="876" ht="15.75" customHeight="1" s="88"/>
    <row r="877" ht="15.75" customHeight="1" s="88"/>
    <row r="878" ht="15.75" customHeight="1" s="88"/>
    <row r="879" ht="15.75" customHeight="1" s="88"/>
    <row r="880" ht="15.75" customHeight="1" s="88"/>
    <row r="881" ht="15.75" customHeight="1" s="88"/>
    <row r="882" ht="15.75" customHeight="1" s="88"/>
    <row r="883" ht="15.75" customHeight="1" s="88"/>
    <row r="884" ht="15.75" customHeight="1" s="88"/>
    <row r="885" ht="15.75" customHeight="1" s="88"/>
    <row r="886" ht="15.75" customHeight="1" s="88"/>
    <row r="887" ht="15.75" customHeight="1" s="88"/>
    <row r="888" ht="15.75" customHeight="1" s="88"/>
    <row r="889" ht="15.75" customHeight="1" s="88"/>
    <row r="890" ht="15.75" customHeight="1" s="88"/>
    <row r="891" ht="15.75" customHeight="1" s="88"/>
    <row r="892" ht="15.75" customHeight="1" s="88"/>
    <row r="893" ht="15.75" customHeight="1" s="88"/>
    <row r="894" ht="15.75" customHeight="1" s="88"/>
    <row r="895" ht="15.75" customHeight="1" s="88"/>
    <row r="896" ht="15.75" customHeight="1" s="88"/>
    <row r="897" ht="15.75" customHeight="1" s="88"/>
    <row r="898" ht="15.75" customHeight="1" s="88"/>
    <row r="899" ht="15.75" customHeight="1" s="88"/>
    <row r="900" ht="15.75" customHeight="1" s="88"/>
    <row r="901" ht="15.75" customHeight="1" s="88"/>
    <row r="902" ht="15.75" customHeight="1" s="88"/>
    <row r="903" ht="15.75" customHeight="1" s="88"/>
    <row r="904" ht="15.75" customHeight="1" s="88"/>
    <row r="905" ht="15.75" customHeight="1" s="88"/>
    <row r="906" ht="15.75" customHeight="1" s="88"/>
    <row r="907" ht="15.75" customHeight="1" s="88"/>
    <row r="908" ht="15.75" customHeight="1" s="88"/>
    <row r="909" ht="15.75" customHeight="1" s="88"/>
    <row r="910" ht="15.75" customHeight="1" s="88"/>
    <row r="911" ht="15.75" customHeight="1" s="88"/>
    <row r="912" ht="15.75" customHeight="1" s="88"/>
    <row r="913" ht="15.75" customHeight="1" s="88"/>
    <row r="914" ht="15.75" customHeight="1" s="88"/>
    <row r="915" ht="15.75" customHeight="1" s="88"/>
    <row r="916" ht="15.75" customHeight="1" s="88"/>
    <row r="917" ht="15.75" customHeight="1" s="88"/>
    <row r="918" ht="15.75" customHeight="1" s="88"/>
    <row r="919" ht="15.75" customHeight="1" s="88"/>
    <row r="920" ht="15.75" customHeight="1" s="88"/>
    <row r="921" ht="15.75" customHeight="1" s="88"/>
    <row r="922" ht="15.75" customHeight="1" s="88"/>
    <row r="923" ht="15.75" customHeight="1" s="88"/>
    <row r="924" ht="15.75" customHeight="1" s="88"/>
    <row r="925" ht="15.75" customHeight="1" s="88"/>
    <row r="926" ht="15.75" customHeight="1" s="88"/>
    <row r="927" ht="15.75" customHeight="1" s="88"/>
    <row r="928" ht="15.75" customHeight="1" s="88"/>
    <row r="929" ht="15.75" customHeight="1" s="88"/>
    <row r="930" ht="15.75" customHeight="1" s="88"/>
    <row r="931" ht="15.75" customHeight="1" s="88"/>
    <row r="932" ht="15.75" customHeight="1" s="88"/>
    <row r="933" ht="15.75" customHeight="1" s="88"/>
    <row r="934" ht="15.75" customHeight="1" s="88"/>
    <row r="935" ht="15.75" customHeight="1" s="88"/>
    <row r="936" ht="15.75" customHeight="1" s="88"/>
    <row r="937" ht="15.75" customHeight="1" s="88"/>
    <row r="938" ht="15.75" customHeight="1" s="88"/>
    <row r="939" ht="15.75" customHeight="1" s="88"/>
    <row r="940" ht="15.75" customHeight="1" s="88"/>
    <row r="941" ht="15.75" customHeight="1" s="88"/>
    <row r="942" ht="15.75" customHeight="1" s="88"/>
    <row r="943" ht="15.75" customHeight="1" s="88"/>
    <row r="944" ht="15.75" customHeight="1" s="88"/>
    <row r="945" ht="15.75" customHeight="1" s="88"/>
    <row r="946" ht="15.75" customHeight="1" s="88"/>
    <row r="947" ht="15.75" customHeight="1" s="88"/>
    <row r="948" ht="15.75" customHeight="1" s="88"/>
    <row r="949" ht="15.75" customHeight="1" s="88"/>
    <row r="950" ht="15.75" customHeight="1" s="88"/>
    <row r="951" ht="15.75" customHeight="1" s="88"/>
    <row r="952" ht="15.75" customHeight="1" s="88"/>
    <row r="953" ht="15.75" customHeight="1" s="88"/>
    <row r="954" ht="15.75" customHeight="1" s="88"/>
    <row r="955" ht="15.75" customHeight="1" s="88"/>
    <row r="956" ht="15.75" customHeight="1" s="88"/>
    <row r="957" ht="15.75" customHeight="1" s="88"/>
    <row r="958" ht="15.75" customHeight="1" s="88"/>
    <row r="959" ht="15.75" customHeight="1" s="88"/>
    <row r="960" ht="15.75" customHeight="1" s="88"/>
    <row r="961" ht="15.75" customHeight="1" s="88"/>
    <row r="962" ht="15.75" customHeight="1" s="88"/>
    <row r="963" ht="15.75" customHeight="1" s="88"/>
    <row r="964" ht="15.75" customHeight="1" s="88"/>
    <row r="965" ht="15.75" customHeight="1" s="88"/>
    <row r="966" ht="15.75" customHeight="1" s="88"/>
    <row r="967" ht="15.75" customHeight="1" s="88"/>
    <row r="968" ht="15.75" customHeight="1" s="88"/>
    <row r="969" ht="15.75" customHeight="1" s="88"/>
    <row r="970" ht="15.75" customHeight="1" s="88"/>
    <row r="971" ht="15.75" customHeight="1" s="88"/>
    <row r="972" ht="15.75" customHeight="1" s="88"/>
    <row r="973" ht="15.75" customHeight="1" s="88"/>
    <row r="974" ht="15.75" customHeight="1" s="88"/>
    <row r="975" ht="15.75" customHeight="1" s="88"/>
    <row r="976" ht="15.75" customHeight="1" s="88"/>
    <row r="977" ht="15.75" customHeight="1" s="88"/>
    <row r="978" ht="15.75" customHeight="1" s="88"/>
    <row r="979" ht="15.75" customHeight="1" s="88"/>
    <row r="980" ht="15.75" customHeight="1" s="88"/>
    <row r="981" ht="15.75" customHeight="1" s="88"/>
    <row r="982" ht="15.75" customHeight="1" s="88"/>
    <row r="983" ht="15.75" customHeight="1" s="88"/>
    <row r="984" ht="15.75" customHeight="1" s="88"/>
    <row r="985" ht="15.75" customHeight="1" s="88"/>
    <row r="986" ht="15.75" customHeight="1" s="88"/>
    <row r="987" ht="15.75" customHeight="1" s="88"/>
    <row r="988" ht="15.75" customHeight="1" s="88"/>
    <row r="989" ht="15.75" customHeight="1" s="88"/>
    <row r="990" ht="15.75" customHeight="1" s="88"/>
    <row r="991" ht="15.75" customHeight="1" s="88"/>
    <row r="992" ht="15.75" customHeight="1" s="88"/>
    <row r="993" ht="15.75" customHeight="1" s="88"/>
    <row r="994" ht="15.75" customHeight="1" s="88"/>
    <row r="995" ht="15.75" customHeight="1" s="88"/>
    <row r="996" ht="15.75" customHeight="1" s="88"/>
    <row r="997" ht="15.75" customHeight="1" s="88"/>
    <row r="998" ht="15.75" customHeight="1" s="88"/>
    <row r="999" ht="15.75" customHeight="1" s="88"/>
    <row r="1000" ht="15.75" customHeight="1" s="88"/>
  </sheetData>
  <mergeCells count="6">
    <mergeCell ref="A1:P1"/>
    <mergeCell ref="A8:M8"/>
    <mergeCell ref="A4:P4"/>
    <mergeCell ref="N8:P8"/>
    <mergeCell ref="A3:P3"/>
    <mergeCell ref="A2:P2"/>
  </mergeCell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Shruti Jain</dc:creator>
  <dcterms:created xsi:type="dcterms:W3CDTF">2018-02-21T04:44:08Z</dcterms:created>
  <dcterms:modified xsi:type="dcterms:W3CDTF">2026-08-07T07:25:23Z</dcterms:modified>
  <cp:lastModifiedBy>Kalpana Fatawat</cp:lastModifiedBy>
</cp:coreProperties>
</file>
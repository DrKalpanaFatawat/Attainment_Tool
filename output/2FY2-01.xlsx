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4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49" fontId="2" fillId="0" borderId="13" applyAlignment="1" pivotButton="0" quotePrefix="0" xfId="10">
      <alignment wrapText="1"/>
    </xf>
    <xf numFmtId="0" fontId="2" fillId="0" borderId="13" applyAlignment="1" pivotButton="0" quotePrefix="0" xfId="10">
      <alignment wrapText="1"/>
    </xf>
    <xf numFmtId="0" fontId="2" fillId="0" borderId="12" applyAlignment="1" pivotButton="0" quotePrefix="0" xfId="43">
      <alignment wrapText="1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3" fillId="2" borderId="12" applyAlignment="1" pivotButton="0" quotePrefix="0" xfId="0">
      <alignment horizontal="center" vertical="center" wrapText="1"/>
    </xf>
    <xf numFmtId="0" fontId="4" fillId="0" borderId="27" pivotButton="0" quotePrefix="0" xfId="0"/>
    <xf numFmtId="0" fontId="4" fillId="0" borderId="13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30" pivotButton="0" quotePrefix="0" xfId="0"/>
    <xf numFmtId="0" fontId="3" fillId="2" borderId="12" applyAlignment="1" pivotButton="0" quotePrefix="0" xfId="0">
      <alignment horizontal="center" vertical="center"/>
    </xf>
    <xf numFmtId="9" fontId="3" fillId="2" borderId="1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4" fillId="0" borderId="28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N17" sqref="N17"/>
    </sheetView>
  </sheetViews>
  <sheetFormatPr baseColWidth="8" defaultColWidth="12.59765625" defaultRowHeight="15" customHeight="1"/>
  <cols>
    <col width="15.69921875" customWidth="1" style="93" min="1" max="1"/>
    <col width="8" customWidth="1" style="93" min="2" max="16"/>
    <col width="7.69921875" customWidth="1" style="93" min="17" max="26"/>
  </cols>
  <sheetData>
    <row r="1" ht="19.5" customHeight="1" s="93">
      <c r="A1" s="15" t="inlineStr">
        <is>
          <t>DEPARTMENT OF COMPUTER SCIENCE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9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3">
      <c r="A2" s="15" t="inlineStr">
        <is>
          <t>CO to PO &amp; PSO Mapping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9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3">
      <c r="A3" s="15" t="inlineStr">
        <is>
          <t>II Year III Semester</t>
        </is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9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3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9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3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3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3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3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3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3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3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3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3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9" t="n"/>
      <c r="N13" s="33" t="n"/>
      <c r="O13" s="128" t="n"/>
      <c r="P13" s="129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0"/>
  <sheetViews>
    <sheetView topLeftCell="A248" workbookViewId="0">
      <selection activeCell="D259" sqref="D259"/>
    </sheetView>
  </sheetViews>
  <sheetFormatPr baseColWidth="8" defaultColWidth="12.59765625" defaultRowHeight="15" customHeight="1"/>
  <cols>
    <col width="5.69921875" customWidth="1" style="93" min="1" max="1"/>
    <col width="17.5" customWidth="1" style="93" min="2" max="2"/>
    <col width="29.5" customWidth="1" style="93" min="3" max="3"/>
    <col width="14.19921875" customWidth="1" style="93" min="4" max="5"/>
    <col width="13.19921875" customWidth="1" style="93" min="6" max="6"/>
    <col width="13.3984375" customWidth="1" style="93" min="7" max="7"/>
    <col width="13.19921875" customWidth="1" style="93" min="8" max="8"/>
    <col width="7.69921875" customWidth="1" style="93" min="9" max="26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9" t="n"/>
    </row>
    <row r="2" ht="19.5" customHeight="1" s="93">
      <c r="A2" s="15" t="inlineStr">
        <is>
          <t>End Term and Sessional Assessment Sheet</t>
        </is>
      </c>
      <c r="B2" s="128" t="n"/>
      <c r="C2" s="128" t="n"/>
      <c r="D2" s="128" t="n"/>
      <c r="E2" s="128" t="n"/>
      <c r="F2" s="128" t="n"/>
      <c r="G2" s="128" t="n"/>
      <c r="H2" s="129" t="n"/>
    </row>
    <row r="3" ht="19.5" customHeight="1" s="93">
      <c r="A3" s="15">
        <f>'CO-PO Mapping'!A3:P3</f>
        <v/>
      </c>
      <c r="B3" s="128" t="n"/>
      <c r="C3" s="128" t="n"/>
      <c r="D3" s="128" t="n"/>
      <c r="E3" s="128" t="n"/>
      <c r="F3" s="128" t="n"/>
      <c r="G3" s="128" t="n"/>
      <c r="H3" s="129" t="n"/>
    </row>
    <row r="4" ht="19.5" customHeight="1" s="93">
      <c r="A4" s="15">
        <f>'CO-PO Mapping'!A4:P4</f>
        <v/>
      </c>
      <c r="B4" s="128" t="n"/>
      <c r="C4" s="128" t="n"/>
      <c r="D4" s="128" t="n"/>
      <c r="E4" s="128" t="n"/>
      <c r="F4" s="128" t="n"/>
      <c r="G4" s="128" t="n"/>
      <c r="H4" s="129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3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9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3">
      <c r="A6" s="130" t="n"/>
      <c r="B6" s="130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3">
      <c r="A7" s="108" t="inlineStr">
        <is>
          <t>Set Target Level</t>
        </is>
      </c>
      <c r="B7" s="131" t="n"/>
      <c r="C7" s="132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3">
      <c r="A8" s="20" t="n">
        <v>1</v>
      </c>
      <c r="B8" s="82" t="inlineStr">
        <is>
          <t>25ETCAD001</t>
        </is>
      </c>
      <c r="C8" s="77" t="inlineStr">
        <is>
          <t>ABHAY CHOUDHARY</t>
        </is>
      </c>
      <c r="D8" s="81" t="n">
        <v>32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3">
      <c r="A9" s="20" t="n">
        <v>2</v>
      </c>
      <c r="B9" s="76" t="inlineStr">
        <is>
          <t>25ETCAD002</t>
        </is>
      </c>
      <c r="C9" s="77" t="inlineStr">
        <is>
          <t>ADITYA PRAMOD</t>
        </is>
      </c>
      <c r="D9" s="81" t="n">
        <v>28</v>
      </c>
      <c r="E9" s="81" t="n">
        <v>27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3">
      <c r="A10" s="20" t="n">
        <v>3</v>
      </c>
      <c r="B10" s="76" t="inlineStr">
        <is>
          <t>25ETCAD003</t>
        </is>
      </c>
      <c r="C10" s="77" t="inlineStr">
        <is>
          <t>AKSHITA JAIN</t>
        </is>
      </c>
      <c r="D10" s="81" t="n">
        <v>54</v>
      </c>
      <c r="E10" s="81" t="n">
        <v>30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3">
      <c r="A11" s="20" t="n">
        <v>4</v>
      </c>
      <c r="B11" s="76" t="inlineStr">
        <is>
          <t>25ETCAD004</t>
        </is>
      </c>
      <c r="C11" s="77" t="inlineStr">
        <is>
          <t>ARCHITA GUPTA</t>
        </is>
      </c>
      <c r="D11" s="81" t="n">
        <v>46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3">
      <c r="A12" s="20" t="n">
        <v>5</v>
      </c>
      <c r="B12" s="76" t="inlineStr">
        <is>
          <t>25ETCAD005</t>
        </is>
      </c>
      <c r="C12" s="77" t="inlineStr">
        <is>
          <t>BHAVESH JOSHI</t>
        </is>
      </c>
      <c r="D12" s="81" t="n">
        <v>6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3">
      <c r="A13" s="20" t="n">
        <v>6</v>
      </c>
      <c r="B13" s="76" t="inlineStr">
        <is>
          <t>25ETCAD006</t>
        </is>
      </c>
      <c r="C13" s="77" t="inlineStr">
        <is>
          <t>DHAIRYA MENARIYA</t>
        </is>
      </c>
      <c r="D13" s="81" t="n">
        <v>17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3">
      <c r="A14" s="20" t="n">
        <v>7</v>
      </c>
      <c r="B14" s="76" t="inlineStr">
        <is>
          <t>25ETCAD007</t>
        </is>
      </c>
      <c r="C14" s="77" t="inlineStr">
        <is>
          <t>DIVYANSH SETH</t>
        </is>
      </c>
      <c r="D14" s="81" t="n">
        <v>37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3">
      <c r="A15" s="20" t="n">
        <v>8</v>
      </c>
      <c r="B15" s="79" t="inlineStr">
        <is>
          <t>25ETCAD008</t>
        </is>
      </c>
      <c r="C15" s="78" t="inlineStr">
        <is>
          <t>HEMANSHU MEHTA</t>
        </is>
      </c>
      <c r="D15" s="81" t="n">
        <v>26</v>
      </c>
      <c r="E15" s="81" t="n">
        <v>27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3">
      <c r="A16" s="20" t="n">
        <v>9</v>
      </c>
      <c r="B16" s="76" t="inlineStr">
        <is>
          <t>25ETCAD009</t>
        </is>
      </c>
      <c r="C16" s="77" t="inlineStr">
        <is>
          <t>JOGESH RATHI</t>
        </is>
      </c>
      <c r="D16" s="81" t="n">
        <v>11</v>
      </c>
      <c r="E16" s="81" t="n">
        <v>28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3">
      <c r="A17" s="20" t="n">
        <v>10</v>
      </c>
      <c r="B17" s="76" t="inlineStr">
        <is>
          <t>25ETCAD010</t>
        </is>
      </c>
      <c r="C17" s="77" t="inlineStr">
        <is>
          <t>KARAN SINGH RATHORE</t>
        </is>
      </c>
      <c r="D17" s="81" t="n">
        <v>38</v>
      </c>
      <c r="E17" s="81" t="n">
        <v>29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3">
      <c r="A18" s="20" t="n">
        <v>11</v>
      </c>
      <c r="B18" s="76" t="inlineStr">
        <is>
          <t>25ETCAD011</t>
        </is>
      </c>
      <c r="C18" s="77" t="inlineStr">
        <is>
          <t>KUSHAGRA BHATT</t>
        </is>
      </c>
      <c r="D18" s="81" t="n">
        <v>11</v>
      </c>
      <c r="E18" s="81" t="n">
        <v>26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3">
      <c r="A19" s="20" t="n">
        <v>12</v>
      </c>
      <c r="B19" s="76" t="inlineStr">
        <is>
          <t>25ETCAD012</t>
        </is>
      </c>
      <c r="C19" s="77" t="inlineStr">
        <is>
          <t>KUSHAGRA MENARIA</t>
        </is>
      </c>
      <c r="D19" s="81" t="n">
        <v>38</v>
      </c>
      <c r="E19" s="81" t="n">
        <v>28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3">
      <c r="A20" s="20" t="n">
        <v>13</v>
      </c>
      <c r="B20" s="76" t="inlineStr">
        <is>
          <t>25ETCAD013</t>
        </is>
      </c>
      <c r="C20" s="77" t="inlineStr">
        <is>
          <t>MANAN JAIN</t>
        </is>
      </c>
      <c r="D20" s="81" t="n">
        <v>36</v>
      </c>
      <c r="E20" s="81" t="n">
        <v>30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3">
      <c r="A21" s="20" t="n">
        <v>14</v>
      </c>
      <c r="B21" s="76" t="inlineStr">
        <is>
          <t>25ETCAD014</t>
        </is>
      </c>
      <c r="C21" s="77" t="inlineStr">
        <is>
          <t>MANISH NAGDA</t>
        </is>
      </c>
      <c r="D21" s="81" t="n">
        <v>35</v>
      </c>
      <c r="E21" s="81" t="n">
        <v>30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3">
      <c r="A22" s="20" t="n">
        <v>15</v>
      </c>
      <c r="B22" s="76" t="inlineStr">
        <is>
          <t>25ETCAD015</t>
        </is>
      </c>
      <c r="C22" s="77" t="inlineStr">
        <is>
          <t>MANOJ JATIYA</t>
        </is>
      </c>
      <c r="D22" s="81" t="n">
        <v>21</v>
      </c>
      <c r="E22" s="81" t="n">
        <v>25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3">
      <c r="A23" s="20" t="n">
        <v>16</v>
      </c>
      <c r="B23" s="76" t="inlineStr">
        <is>
          <t>25ETCAD016</t>
        </is>
      </c>
      <c r="C23" s="77" t="inlineStr">
        <is>
          <t>MANTHAN CHATURVEDI</t>
        </is>
      </c>
      <c r="D23" s="81" t="n">
        <v>44</v>
      </c>
      <c r="E23" s="81" t="n">
        <v>28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3">
      <c r="A24" s="20" t="n">
        <v>17</v>
      </c>
      <c r="B24" s="76" t="inlineStr">
        <is>
          <t>25ETCAD017</t>
        </is>
      </c>
      <c r="C24" s="77" t="inlineStr">
        <is>
          <t>MAYANK PATEL</t>
        </is>
      </c>
      <c r="D24" s="81" t="n">
        <v>29</v>
      </c>
      <c r="E24" s="81" t="n">
        <v>25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3">
      <c r="A25" s="20" t="n">
        <v>18</v>
      </c>
      <c r="B25" s="76" t="inlineStr">
        <is>
          <t>25ETCAD018</t>
        </is>
      </c>
      <c r="C25" s="77" t="inlineStr">
        <is>
          <t>MOHAMMED UMAIR</t>
        </is>
      </c>
      <c r="D25" s="81" t="n">
        <v>41</v>
      </c>
      <c r="E25" s="81" t="n">
        <v>26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3">
      <c r="A26" s="20" t="n">
        <v>19</v>
      </c>
      <c r="B26" s="76" t="inlineStr">
        <is>
          <t>25ETCAD019</t>
        </is>
      </c>
      <c r="C26" s="77" t="inlineStr">
        <is>
          <t>MS.BARKHA SINGH DEVRA</t>
        </is>
      </c>
      <c r="D26" s="81" t="n">
        <v>31</v>
      </c>
      <c r="E26" s="81" t="n">
        <v>27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3">
      <c r="A27" s="20" t="n">
        <v>20</v>
      </c>
      <c r="B27" s="76" t="inlineStr">
        <is>
          <t>25ETCAD020</t>
        </is>
      </c>
      <c r="C27" s="77" t="inlineStr">
        <is>
          <t>MS.BHAVNA SINGH CHAMYAL</t>
        </is>
      </c>
      <c r="D27" s="81" t="n">
        <v>45</v>
      </c>
      <c r="E27" s="81" t="n">
        <v>28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3">
      <c r="A28" s="20" t="n">
        <v>21</v>
      </c>
      <c r="B28" s="76" t="inlineStr">
        <is>
          <t>25ETCAD021</t>
        </is>
      </c>
      <c r="C28" s="77" t="inlineStr">
        <is>
          <t>MS.RIYA MENARIA</t>
        </is>
      </c>
      <c r="D28" s="81" t="n">
        <v>54</v>
      </c>
      <c r="E28" s="81" t="n">
        <v>30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3">
      <c r="A29" s="20" t="n">
        <v>22</v>
      </c>
      <c r="B29" s="76" t="inlineStr">
        <is>
          <t>25ETCAD022</t>
        </is>
      </c>
      <c r="C29" s="77" t="inlineStr">
        <is>
          <t>NAVDEEP VYAS</t>
        </is>
      </c>
      <c r="D29" s="81" t="n">
        <v>43</v>
      </c>
      <c r="E29" s="81" t="n">
        <v>25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3">
      <c r="A30" s="20" t="n">
        <v>23</v>
      </c>
      <c r="B30" s="76" t="inlineStr">
        <is>
          <t>25ETCAD023</t>
        </is>
      </c>
      <c r="C30" s="77" t="inlineStr">
        <is>
          <t>PRADHYUMN SHARMA</t>
        </is>
      </c>
      <c r="D30" s="81" t="n">
        <v>38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3">
      <c r="A31" s="20" t="n">
        <v>24</v>
      </c>
      <c r="B31" s="76" t="inlineStr">
        <is>
          <t>25ETCAD024</t>
        </is>
      </c>
      <c r="C31" s="77" t="inlineStr">
        <is>
          <t>PRANJAL PALIWAL</t>
        </is>
      </c>
      <c r="D31" s="81" t="n">
        <v>25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3">
      <c r="A32" s="20" t="n">
        <v>25</v>
      </c>
      <c r="B32" s="76" t="inlineStr">
        <is>
          <t>25ETCAD025</t>
        </is>
      </c>
      <c r="C32" s="77" t="inlineStr">
        <is>
          <t>PURANI RUDRA NILESHKUMAR</t>
        </is>
      </c>
      <c r="D32" s="81" t="n">
        <v>55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3">
      <c r="A33" s="20" t="n">
        <v>26</v>
      </c>
      <c r="B33" s="76" t="inlineStr">
        <is>
          <t>25ETCAD026</t>
        </is>
      </c>
      <c r="C33" s="77" t="inlineStr">
        <is>
          <t>RAJAT DAMOR</t>
        </is>
      </c>
      <c r="D33" s="81" t="n">
        <v>16</v>
      </c>
      <c r="E33" s="81" t="n">
        <v>27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3">
      <c r="A34" s="20" t="n">
        <v>27</v>
      </c>
      <c r="B34" s="76" t="inlineStr">
        <is>
          <t>25ETCAD027</t>
        </is>
      </c>
      <c r="C34" s="77" t="inlineStr">
        <is>
          <t>RAVINDRA KUMAWAT</t>
        </is>
      </c>
      <c r="D34" s="81" t="n">
        <v>41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3">
      <c r="A35" s="20" t="n">
        <v>28</v>
      </c>
      <c r="B35" s="76" t="inlineStr">
        <is>
          <t>25ETCAD028</t>
        </is>
      </c>
      <c r="C35" s="77" t="inlineStr">
        <is>
          <t>UDAY PRATAP SINGH DULAWAT</t>
        </is>
      </c>
      <c r="D35" s="81" t="n">
        <v>38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3">
      <c r="A36" s="20" t="n">
        <v>29</v>
      </c>
      <c r="B36" s="76" t="inlineStr">
        <is>
          <t>25ETCAD029</t>
        </is>
      </c>
      <c r="C36" s="77" t="inlineStr">
        <is>
          <t>VANSH RAJ SHRIVASTAVA</t>
        </is>
      </c>
      <c r="D36" s="81" t="n">
        <v>35</v>
      </c>
      <c r="E36" s="81" t="n">
        <v>22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3">
      <c r="A37" s="20" t="n">
        <v>30</v>
      </c>
      <c r="B37" s="76" t="inlineStr">
        <is>
          <t>25ETCAD030</t>
        </is>
      </c>
      <c r="C37" s="77" t="inlineStr">
        <is>
          <t>VIDIT SEN</t>
        </is>
      </c>
      <c r="D37" s="81" t="n">
        <v>67</v>
      </c>
      <c r="E37" s="81" t="n">
        <v>26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3">
      <c r="A38" s="20" t="n">
        <v>31</v>
      </c>
      <c r="B38" s="76" t="inlineStr">
        <is>
          <t>25ETCAD031</t>
        </is>
      </c>
      <c r="C38" s="77" t="inlineStr">
        <is>
          <t>YASH RATHI</t>
        </is>
      </c>
      <c r="D38" s="81" t="n">
        <v>59</v>
      </c>
      <c r="E38" s="81" t="n">
        <v>30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3">
      <c r="A39" s="20" t="n">
        <v>32</v>
      </c>
      <c r="B39" s="76" t="inlineStr">
        <is>
          <t>25ETCAD032</t>
        </is>
      </c>
      <c r="C39" s="77" t="inlineStr">
        <is>
          <t>YUG PARIKH</t>
        </is>
      </c>
      <c r="D39" s="81" t="n">
        <v>27</v>
      </c>
      <c r="E39" s="81" t="n">
        <v>27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3">
      <c r="A40" s="20" t="n">
        <v>33</v>
      </c>
      <c r="B40" s="76" t="inlineStr">
        <is>
          <t>25ETCCE001</t>
        </is>
      </c>
      <c r="C40" s="77" t="inlineStr">
        <is>
          <t>CHIRAG REGAR</t>
        </is>
      </c>
      <c r="D40" s="81" t="n">
        <v>7</v>
      </c>
      <c r="E40" s="81" t="n">
        <v>24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3">
      <c r="A41" s="20" t="n">
        <v>34</v>
      </c>
      <c r="B41" s="76" t="inlineStr">
        <is>
          <t>25ETCCE003</t>
        </is>
      </c>
      <c r="C41" s="77" t="inlineStr">
        <is>
          <t>HITESH KUMAR SAINI</t>
        </is>
      </c>
      <c r="D41" s="81" t="n">
        <v>42</v>
      </c>
      <c r="E41" s="81" t="n">
        <v>30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3">
      <c r="A42" s="20" t="n">
        <v>35</v>
      </c>
      <c r="B42" s="76" t="inlineStr">
        <is>
          <t>25ETCCE004</t>
        </is>
      </c>
      <c r="C42" s="77" t="inlineStr">
        <is>
          <t>KANISHK MANGRIYA</t>
        </is>
      </c>
      <c r="D42" s="81" t="n">
        <v>21</v>
      </c>
      <c r="E42" s="81" t="n">
        <v>24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3">
      <c r="A43" s="20" t="n">
        <v>36</v>
      </c>
      <c r="B43" s="76" t="inlineStr">
        <is>
          <t>25ETCCE006</t>
        </is>
      </c>
      <c r="C43" s="77" t="inlineStr">
        <is>
          <t>ROHIT SAHNI</t>
        </is>
      </c>
      <c r="D43" s="81" t="n">
        <v>31</v>
      </c>
      <c r="E43" s="81" t="n">
        <v>28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3">
      <c r="A44" s="20" t="n">
        <v>37</v>
      </c>
      <c r="B44" s="76" t="inlineStr">
        <is>
          <t>25ETCCE007</t>
        </is>
      </c>
      <c r="C44" s="77" t="inlineStr">
        <is>
          <t>SHIVA KUMAR</t>
        </is>
      </c>
      <c r="D44" s="81" t="n">
        <v>31</v>
      </c>
      <c r="E44" s="81" t="n">
        <v>28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3">
      <c r="A45" s="20" t="n">
        <v>38</v>
      </c>
      <c r="B45" s="76" t="inlineStr">
        <is>
          <t>25ETCCE008</t>
        </is>
      </c>
      <c r="C45" s="77" t="inlineStr">
        <is>
          <t>SIDDH KATARA</t>
        </is>
      </c>
      <c r="D45" s="81" t="n">
        <v>1</v>
      </c>
      <c r="E45" s="81" t="n">
        <v>22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3">
      <c r="A46" s="20" t="n">
        <v>39</v>
      </c>
      <c r="B46" s="76" t="inlineStr">
        <is>
          <t>25ETCCE009</t>
        </is>
      </c>
      <c r="C46" s="77" t="inlineStr">
        <is>
          <t>VIJAY PATEL</t>
        </is>
      </c>
      <c r="D46" s="81" t="n">
        <v>4</v>
      </c>
      <c r="E46" s="81" t="n">
        <v>22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3">
      <c r="A47" s="20" t="n">
        <v>40</v>
      </c>
      <c r="B47" s="76" t="inlineStr">
        <is>
          <t>25ETCCS001</t>
        </is>
      </c>
      <c r="C47" s="77" t="inlineStr">
        <is>
          <t>AADITYA JAGETIYA</t>
        </is>
      </c>
      <c r="D47" s="81" t="n">
        <v>18</v>
      </c>
      <c r="E47" s="81" t="n">
        <v>24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3">
      <c r="A48" s="20" t="n">
        <v>41</v>
      </c>
      <c r="B48" s="76" t="inlineStr">
        <is>
          <t>25ETCCS002</t>
        </is>
      </c>
      <c r="C48" s="77" t="inlineStr">
        <is>
          <t>AARYAN SONI</t>
        </is>
      </c>
      <c r="D48" s="81" t="n">
        <v>51</v>
      </c>
      <c r="E48" s="81" t="n">
        <v>29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3">
      <c r="A49" s="20" t="n">
        <v>42</v>
      </c>
      <c r="B49" s="76" t="inlineStr">
        <is>
          <t>25ETCCS003</t>
        </is>
      </c>
      <c r="C49" s="77" t="inlineStr">
        <is>
          <t>ABHAY SHARMA</t>
        </is>
      </c>
      <c r="D49" s="81" t="n">
        <v>37</v>
      </c>
      <c r="E49" s="81" t="n">
        <v>23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3">
      <c r="A50" s="20" t="n">
        <v>43</v>
      </c>
      <c r="B50" s="76" t="inlineStr">
        <is>
          <t>25ETCCS004</t>
        </is>
      </c>
      <c r="C50" s="77" t="inlineStr">
        <is>
          <t>ADITYA CHOUDHARY</t>
        </is>
      </c>
      <c r="D50" s="81" t="n">
        <v>12</v>
      </c>
      <c r="E50" s="81" t="n">
        <v>22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3">
      <c r="A51" s="20" t="n">
        <v>44</v>
      </c>
      <c r="B51" s="76" t="inlineStr">
        <is>
          <t>25ETCCS005</t>
        </is>
      </c>
      <c r="C51" s="77" t="inlineStr">
        <is>
          <t>ADITYA DANGI</t>
        </is>
      </c>
      <c r="D51" s="81" t="n">
        <v>19</v>
      </c>
      <c r="E51" s="81" t="n">
        <v>22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3">
      <c r="A52" s="20" t="n">
        <v>45</v>
      </c>
      <c r="B52" s="76" t="inlineStr">
        <is>
          <t>25ETCCS006</t>
        </is>
      </c>
      <c r="C52" s="77" t="inlineStr">
        <is>
          <t>ADITYA KUMAR</t>
        </is>
      </c>
      <c r="D52" s="81" t="n">
        <v>29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3">
      <c r="A53" s="20" t="n">
        <v>46</v>
      </c>
      <c r="B53" s="76" t="inlineStr">
        <is>
          <t>25ETCCS007</t>
        </is>
      </c>
      <c r="C53" s="77" t="inlineStr">
        <is>
          <t>ANANT UPADHYAY</t>
        </is>
      </c>
      <c r="D53" s="81" t="n">
        <v>14</v>
      </c>
      <c r="E53" s="81" t="n">
        <v>24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3">
      <c r="A54" s="20" t="n">
        <v>47</v>
      </c>
      <c r="B54" s="76" t="inlineStr">
        <is>
          <t>25ETCCS008</t>
        </is>
      </c>
      <c r="C54" s="77" t="inlineStr">
        <is>
          <t>ANISH DANGI</t>
        </is>
      </c>
      <c r="D54" s="81" t="n">
        <v>8</v>
      </c>
      <c r="E54" s="81" t="n">
        <v>22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3">
      <c r="A55" s="20" t="n">
        <v>48</v>
      </c>
      <c r="B55" s="76" t="inlineStr">
        <is>
          <t>25ETCCS009</t>
        </is>
      </c>
      <c r="C55" s="77" t="inlineStr">
        <is>
          <t>ANSH CHAUHAN</t>
        </is>
      </c>
      <c r="D55" s="81" t="n">
        <v>68</v>
      </c>
      <c r="E55" s="81" t="n">
        <v>30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3">
      <c r="A56" s="20" t="n">
        <v>49</v>
      </c>
      <c r="B56" s="76" t="inlineStr">
        <is>
          <t>25ETCCS010</t>
        </is>
      </c>
      <c r="C56" s="77" t="inlineStr">
        <is>
          <t>ANUJ RAO</t>
        </is>
      </c>
      <c r="D56" s="81" t="n">
        <v>0</v>
      </c>
      <c r="E56" s="81" t="n">
        <v>22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3">
      <c r="A57" s="20" t="n">
        <v>50</v>
      </c>
      <c r="B57" s="76" t="inlineStr">
        <is>
          <t>25ETCCS011</t>
        </is>
      </c>
      <c r="C57" s="77" t="inlineStr">
        <is>
          <t>ARYAN CHOUBISA</t>
        </is>
      </c>
      <c r="D57" s="81" t="n">
        <v>24</v>
      </c>
      <c r="E57" s="81" t="n">
        <v>22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3">
      <c r="A58" s="20" t="n">
        <v>51</v>
      </c>
      <c r="B58" s="76" t="inlineStr">
        <is>
          <t>25ETCCS012</t>
        </is>
      </c>
      <c r="C58" s="77" t="inlineStr">
        <is>
          <t>ASHUTOSH PATEL</t>
        </is>
      </c>
      <c r="D58" s="81" t="n">
        <v>32</v>
      </c>
      <c r="E58" s="81" t="n">
        <v>22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3">
      <c r="A59" s="20" t="n">
        <v>52</v>
      </c>
      <c r="B59" s="76" t="inlineStr">
        <is>
          <t>25ETCCS013</t>
        </is>
      </c>
      <c r="C59" s="77" t="inlineStr">
        <is>
          <t>BHAGYANSH SUKHWAL</t>
        </is>
      </c>
      <c r="D59" s="81" t="n">
        <v>56</v>
      </c>
      <c r="E59" s="81" t="n">
        <v>30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3">
      <c r="A60" s="20" t="n">
        <v>53</v>
      </c>
      <c r="B60" s="76" t="inlineStr">
        <is>
          <t>25ETCCS014</t>
        </is>
      </c>
      <c r="C60" s="77" t="inlineStr">
        <is>
          <t>BHAGYASHREE CHUNDAWAT</t>
        </is>
      </c>
      <c r="D60" s="81" t="n">
        <v>61</v>
      </c>
      <c r="E60" s="81" t="n">
        <v>28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3">
      <c r="A61" s="20" t="n">
        <v>54</v>
      </c>
      <c r="B61" s="79" t="inlineStr">
        <is>
          <t>25ETCCS015</t>
        </is>
      </c>
      <c r="C61" s="78" t="inlineStr">
        <is>
          <t>BHAKTI LODHA</t>
        </is>
      </c>
      <c r="D61" s="81" t="n">
        <v>53</v>
      </c>
      <c r="E61" s="81" t="n">
        <v>30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3">
      <c r="A62" s="20" t="n">
        <v>55</v>
      </c>
      <c r="B62" s="76" t="inlineStr">
        <is>
          <t>25ETCCS016</t>
        </is>
      </c>
      <c r="C62" s="77" t="inlineStr">
        <is>
          <t>BHANUPRATAP SINGH JAITAWAT</t>
        </is>
      </c>
      <c r="D62" s="81" t="n">
        <v>33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3">
      <c r="A63" s="20" t="n">
        <v>56</v>
      </c>
      <c r="B63" s="76" t="inlineStr">
        <is>
          <t>25ETCCS017</t>
        </is>
      </c>
      <c r="C63" s="77" t="inlineStr">
        <is>
          <t>BHAVESH PRAJAPAT</t>
        </is>
      </c>
      <c r="D63" s="81" t="n">
        <v>39</v>
      </c>
      <c r="E63" s="81" t="n">
        <v>22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3">
      <c r="A64" s="20" t="n">
        <v>57</v>
      </c>
      <c r="B64" s="76" t="inlineStr">
        <is>
          <t>25ETCCS018</t>
        </is>
      </c>
      <c r="C64" s="77" t="inlineStr">
        <is>
          <t>BHAWANI SINGH</t>
        </is>
      </c>
      <c r="D64" s="81" t="n">
        <v>19</v>
      </c>
      <c r="E64" s="81" t="n">
        <v>25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3">
      <c r="A65" s="20" t="n">
        <v>58</v>
      </c>
      <c r="B65" s="76" t="inlineStr">
        <is>
          <t>25ETCCS019</t>
        </is>
      </c>
      <c r="C65" s="77" t="inlineStr">
        <is>
          <t>BHAWESH DANGI</t>
        </is>
      </c>
      <c r="D65" s="81" t="n">
        <v>9</v>
      </c>
      <c r="E65" s="81" t="n">
        <v>25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3">
      <c r="A66" s="20" t="n">
        <v>59</v>
      </c>
      <c r="B66" s="76" t="inlineStr">
        <is>
          <t>25ETCCS020</t>
        </is>
      </c>
      <c r="C66" s="77" t="inlineStr">
        <is>
          <t>BHUMI PALIWAL</t>
        </is>
      </c>
      <c r="D66" s="81" t="n">
        <v>30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3">
      <c r="A67" s="20" t="n">
        <v>60</v>
      </c>
      <c r="B67" s="76" t="inlineStr">
        <is>
          <t>25ETCCS021</t>
        </is>
      </c>
      <c r="C67" s="77" t="inlineStr">
        <is>
          <t>CHETAN JOSHI</t>
        </is>
      </c>
      <c r="D67" s="81" t="n">
        <v>11</v>
      </c>
      <c r="E67" s="81" t="n">
        <v>26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3">
      <c r="A68" s="20" t="n">
        <v>61</v>
      </c>
      <c r="B68" s="76" t="inlineStr">
        <is>
          <t>25ETCCS022</t>
        </is>
      </c>
      <c r="C68" s="77" t="inlineStr">
        <is>
          <t>CHETAN PALIWAL</t>
        </is>
      </c>
      <c r="D68" s="81" t="n">
        <v>25</v>
      </c>
      <c r="E68" s="81" t="n">
        <v>26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3">
      <c r="A69" s="20" t="n">
        <v>62</v>
      </c>
      <c r="B69" s="76" t="inlineStr">
        <is>
          <t>25ETCCS023</t>
        </is>
      </c>
      <c r="C69" s="77" t="inlineStr">
        <is>
          <t>DAKSH JAIN</t>
        </is>
      </c>
      <c r="D69" s="81" t="n">
        <v>61</v>
      </c>
      <c r="E69" s="81" t="n">
        <v>21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3">
      <c r="A70" s="20" t="n">
        <v>63</v>
      </c>
      <c r="B70" s="76" t="inlineStr">
        <is>
          <t>25ETCCS024</t>
        </is>
      </c>
      <c r="C70" s="77" t="inlineStr">
        <is>
          <t>DAKSH PANERI</t>
        </is>
      </c>
      <c r="D70" s="81" t="n">
        <v>1</v>
      </c>
      <c r="E70" s="81" t="n">
        <v>26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3">
      <c r="A71" s="20" t="n">
        <v>64</v>
      </c>
      <c r="B71" s="76" t="inlineStr">
        <is>
          <t>25ETCCS025</t>
        </is>
      </c>
      <c r="C71" s="77" t="inlineStr">
        <is>
          <t>DAKSH PARIKH</t>
        </is>
      </c>
      <c r="D71" s="81" t="n">
        <v>11</v>
      </c>
      <c r="E71" s="81" t="n">
        <v>22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3">
      <c r="A72" s="20" t="n">
        <v>65</v>
      </c>
      <c r="B72" s="76" t="inlineStr">
        <is>
          <t>25ETCCS026</t>
        </is>
      </c>
      <c r="C72" s="77" t="inlineStr">
        <is>
          <t>DAKSH RAJ JEENGAR</t>
        </is>
      </c>
      <c r="D72" s="81" t="n">
        <v>50</v>
      </c>
      <c r="E72" s="81" t="n">
        <v>29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3">
      <c r="A73" s="20" t="n">
        <v>66</v>
      </c>
      <c r="B73" s="76" t="inlineStr">
        <is>
          <t>25ETCCS027</t>
        </is>
      </c>
      <c r="C73" s="77" t="inlineStr">
        <is>
          <t>DAKSH VYAS</t>
        </is>
      </c>
      <c r="D73" s="81" t="n">
        <v>27</v>
      </c>
      <c r="E73" s="81" t="n">
        <v>27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3">
      <c r="A74" s="20" t="n">
        <v>67</v>
      </c>
      <c r="B74" s="76" t="inlineStr">
        <is>
          <t>25ETCCS028</t>
        </is>
      </c>
      <c r="C74" s="77" t="inlineStr">
        <is>
          <t>DEEPANSHI JAIN</t>
        </is>
      </c>
      <c r="D74" s="81" t="n">
        <v>65</v>
      </c>
      <c r="E74" s="81" t="n">
        <v>30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3">
      <c r="A75" s="20" t="n">
        <v>68</v>
      </c>
      <c r="B75" s="76" t="inlineStr">
        <is>
          <t>25ETCCS029</t>
        </is>
      </c>
      <c r="C75" s="77" t="inlineStr">
        <is>
          <t>DEVANSH THOMAS DAS</t>
        </is>
      </c>
      <c r="D75" s="81" t="n">
        <v>45</v>
      </c>
      <c r="E75" s="81" t="n">
        <v>26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3">
      <c r="A76" s="20" t="n">
        <v>69</v>
      </c>
      <c r="B76" s="76" t="inlineStr">
        <is>
          <t>25ETCCS030</t>
        </is>
      </c>
      <c r="C76" s="77" t="inlineStr">
        <is>
          <t>DHANI KAVDIA</t>
        </is>
      </c>
      <c r="D76" s="81" t="n">
        <v>41</v>
      </c>
      <c r="E76" s="81" t="n">
        <v>30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3">
      <c r="A77" s="20" t="n">
        <v>70</v>
      </c>
      <c r="B77" s="76" t="inlineStr">
        <is>
          <t>25ETCCS031</t>
        </is>
      </c>
      <c r="C77" s="77" t="inlineStr">
        <is>
          <t>DHAWAL MENARIA</t>
        </is>
      </c>
      <c r="D77" s="81" t="n">
        <v>63</v>
      </c>
      <c r="E77" s="81" t="n">
        <v>30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3">
      <c r="A78" s="20" t="n">
        <v>71</v>
      </c>
      <c r="B78" s="76" t="inlineStr">
        <is>
          <t>25ETCCS032</t>
        </is>
      </c>
      <c r="C78" s="77" t="inlineStr">
        <is>
          <t>DHRUV LOHAR</t>
        </is>
      </c>
      <c r="D78" s="81" t="n">
        <v>1</v>
      </c>
      <c r="E78" s="81" t="n">
        <v>22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3">
      <c r="A79" s="20" t="n">
        <v>72</v>
      </c>
      <c r="B79" s="76" t="inlineStr">
        <is>
          <t>25ETCCS033</t>
        </is>
      </c>
      <c r="C79" s="77" t="inlineStr">
        <is>
          <t>DIKSHITA MITTAL</t>
        </is>
      </c>
      <c r="D79" s="81" t="n">
        <v>48</v>
      </c>
      <c r="E79" s="81" t="n">
        <v>30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3">
      <c r="A80" s="20" t="n">
        <v>73</v>
      </c>
      <c r="B80" s="76" t="inlineStr">
        <is>
          <t>25ETCCS034</t>
        </is>
      </c>
      <c r="C80" s="77" t="inlineStr">
        <is>
          <t>DIVYANSH JAIN</t>
        </is>
      </c>
      <c r="D80" s="81" t="n">
        <v>26</v>
      </c>
      <c r="E80" s="81" t="n">
        <v>28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3">
      <c r="A81" s="20" t="n">
        <v>74</v>
      </c>
      <c r="B81" s="76" t="inlineStr">
        <is>
          <t>25ETCCS035</t>
        </is>
      </c>
      <c r="C81" s="77" t="inlineStr">
        <is>
          <t>FARHAZ HUSSAIN</t>
        </is>
      </c>
      <c r="D81" s="81" t="n">
        <v>68</v>
      </c>
      <c r="E81" s="81" t="n">
        <v>25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3">
      <c r="A82" s="20" t="n">
        <v>75</v>
      </c>
      <c r="B82" s="76" t="inlineStr">
        <is>
          <t>25ETCCS036</t>
        </is>
      </c>
      <c r="C82" s="77" t="inlineStr">
        <is>
          <t>GARGI JAIN</t>
        </is>
      </c>
      <c r="D82" s="81" t="n">
        <v>10</v>
      </c>
      <c r="E82" s="81" t="n">
        <v>28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3">
      <c r="A83" s="20" t="n">
        <v>76</v>
      </c>
      <c r="B83" s="76" t="inlineStr">
        <is>
          <t>25ETCCS037</t>
        </is>
      </c>
      <c r="C83" s="77" t="inlineStr">
        <is>
          <t>GARV SUHALKA</t>
        </is>
      </c>
      <c r="D83" s="81" t="n">
        <v>13</v>
      </c>
      <c r="E83" s="81" t="n">
        <v>22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3">
      <c r="A84" s="20" t="n">
        <v>77</v>
      </c>
      <c r="B84" s="76" t="inlineStr">
        <is>
          <t>25ETCCS038</t>
        </is>
      </c>
      <c r="C84" s="77" t="inlineStr">
        <is>
          <t>GARVITA SHARMA</t>
        </is>
      </c>
      <c r="D84" s="81" t="n">
        <v>20</v>
      </c>
      <c r="E84" s="81" t="n">
        <v>23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3">
      <c r="A85" s="20" t="n">
        <v>78</v>
      </c>
      <c r="B85" s="76" t="inlineStr">
        <is>
          <t>25ETCCS039</t>
        </is>
      </c>
      <c r="C85" s="77" t="inlineStr">
        <is>
          <t>GAURANG SHARMA</t>
        </is>
      </c>
      <c r="D85" s="81" t="n">
        <v>0</v>
      </c>
      <c r="E85" s="81" t="n">
        <v>22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3">
      <c r="A86" s="20" t="n">
        <v>79</v>
      </c>
      <c r="B86" s="79" t="inlineStr">
        <is>
          <t>25ETCCS040</t>
        </is>
      </c>
      <c r="C86" s="78" t="inlineStr">
        <is>
          <t>GAURANK TRIVEDI</t>
        </is>
      </c>
      <c r="D86" s="81" t="n">
        <v>34</v>
      </c>
      <c r="E86" s="81" t="n">
        <v>23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3">
      <c r="A87" s="20" t="n">
        <v>80</v>
      </c>
      <c r="B87" s="76" t="inlineStr">
        <is>
          <t>25ETCCS041</t>
        </is>
      </c>
      <c r="C87" s="77" t="inlineStr">
        <is>
          <t>GAURAV NARAYAN DEB</t>
        </is>
      </c>
      <c r="D87" s="81" t="n">
        <v>61</v>
      </c>
      <c r="E87" s="81" t="n">
        <v>30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3">
      <c r="A88" s="20" t="n">
        <v>81</v>
      </c>
      <c r="B88" s="76" t="inlineStr">
        <is>
          <t>25ETCCS042</t>
        </is>
      </c>
      <c r="C88" s="77" t="inlineStr">
        <is>
          <t>GAVEESH GOSWAMI</t>
        </is>
      </c>
      <c r="D88" s="81" t="n">
        <v>25</v>
      </c>
      <c r="E88" s="81" t="n">
        <v>25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3">
      <c r="A89" s="20" t="n">
        <v>82</v>
      </c>
      <c r="B89" s="76" t="inlineStr">
        <is>
          <t>25ETCCS043</t>
        </is>
      </c>
      <c r="C89" s="77" t="inlineStr">
        <is>
          <t>GEETIKA RATHORE</t>
        </is>
      </c>
      <c r="D89" s="81" t="n">
        <v>60</v>
      </c>
      <c r="E89" s="81" t="n">
        <v>23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3">
      <c r="A90" s="20" t="n">
        <v>83</v>
      </c>
      <c r="B90" s="76" t="inlineStr">
        <is>
          <t>25ETCCS044</t>
        </is>
      </c>
      <c r="C90" s="77" t="inlineStr">
        <is>
          <t>GUNGUN SEN</t>
        </is>
      </c>
      <c r="D90" s="81" t="n">
        <v>43</v>
      </c>
      <c r="E90" s="81" t="n">
        <v>28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3">
      <c r="A91" s="20" t="n">
        <v>84</v>
      </c>
      <c r="B91" s="76" t="inlineStr">
        <is>
          <t>25ETCCS045</t>
        </is>
      </c>
      <c r="C91" s="77" t="inlineStr">
        <is>
          <t>HANEEKSHA JAIN</t>
        </is>
      </c>
      <c r="D91" s="81" t="n">
        <v>37</v>
      </c>
      <c r="E91" s="81" t="n">
        <v>30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3">
      <c r="A92" s="20" t="n">
        <v>85</v>
      </c>
      <c r="B92" s="79" t="inlineStr">
        <is>
          <t>25ETCCS046</t>
        </is>
      </c>
      <c r="C92" s="78" t="inlineStr">
        <is>
          <t>HARDIK DAVE</t>
        </is>
      </c>
      <c r="D92" s="81" t="n">
        <v>13</v>
      </c>
      <c r="E92" s="81" t="n">
        <v>26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3">
      <c r="A93" s="20" t="n">
        <v>86</v>
      </c>
      <c r="B93" s="76" t="inlineStr">
        <is>
          <t>25ETCCS047</t>
        </is>
      </c>
      <c r="C93" s="77" t="inlineStr">
        <is>
          <t>HARDIK PURSWANI</t>
        </is>
      </c>
      <c r="D93" s="81" t="n">
        <v>16</v>
      </c>
      <c r="E93" s="81" t="n">
        <v>26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3">
      <c r="A94" s="20" t="n">
        <v>87</v>
      </c>
      <c r="B94" s="76" t="inlineStr">
        <is>
          <t>25ETCCS048</t>
        </is>
      </c>
      <c r="C94" s="77" t="inlineStr">
        <is>
          <t>HARSH CHHABRA</t>
        </is>
      </c>
      <c r="D94" s="81" t="n">
        <v>25</v>
      </c>
      <c r="E94" s="81" t="n">
        <v>27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3">
      <c r="A95" s="20" t="n">
        <v>88</v>
      </c>
      <c r="B95" s="76" t="inlineStr">
        <is>
          <t>25ETCCS049</t>
        </is>
      </c>
      <c r="C95" s="77" t="inlineStr">
        <is>
          <t>HARSH JAIN</t>
        </is>
      </c>
      <c r="D95" s="81" t="n">
        <v>55</v>
      </c>
      <c r="E95" s="81" t="n">
        <v>30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3">
      <c r="A96" s="20" t="n">
        <v>89</v>
      </c>
      <c r="B96" s="76" t="inlineStr">
        <is>
          <t>25ETCCS051</t>
        </is>
      </c>
      <c r="C96" s="77" t="inlineStr">
        <is>
          <t>HARSHIT KASERA</t>
        </is>
      </c>
      <c r="D96" s="81" t="n">
        <v>25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3">
      <c r="A97" s="20" t="n">
        <v>90</v>
      </c>
      <c r="B97" s="76" t="inlineStr">
        <is>
          <t>25ETCCS052</t>
        </is>
      </c>
      <c r="C97" s="77" t="inlineStr">
        <is>
          <t>HARSHIT SHARMA</t>
        </is>
      </c>
      <c r="D97" s="81" t="n">
        <v>11</v>
      </c>
      <c r="E97" s="81" t="n">
        <v>22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3">
      <c r="A98" s="20" t="n">
        <v>91</v>
      </c>
      <c r="B98" s="76" t="inlineStr">
        <is>
          <t>25ETCCS053</t>
        </is>
      </c>
      <c r="C98" s="77" t="inlineStr">
        <is>
          <t>HARSHITA KUMAWAT</t>
        </is>
      </c>
      <c r="D98" s="81" t="n">
        <v>58</v>
      </c>
      <c r="E98" s="81" t="n">
        <v>30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3">
      <c r="A99" s="20" t="n">
        <v>92</v>
      </c>
      <c r="B99" s="76" t="inlineStr">
        <is>
          <t>25ETCCS054</t>
        </is>
      </c>
      <c r="C99" s="77" t="inlineStr">
        <is>
          <t>HARSHUL DHARMAWAT</t>
        </is>
      </c>
      <c r="D99" s="81" t="n">
        <v>36</v>
      </c>
      <c r="E99" s="81" t="n">
        <v>27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3">
      <c r="A100" s="20" t="n">
        <v>93</v>
      </c>
      <c r="B100" s="76" t="inlineStr">
        <is>
          <t>25ETCCS055</t>
        </is>
      </c>
      <c r="C100" s="77" t="inlineStr">
        <is>
          <t>HARSHUL PANERI</t>
        </is>
      </c>
      <c r="D100" s="81" t="n">
        <v>20</v>
      </c>
      <c r="E100" s="81" t="n">
        <v>24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3">
      <c r="A101" s="20" t="n">
        <v>94</v>
      </c>
      <c r="B101" s="76" t="inlineStr">
        <is>
          <t>25ETCCS056</t>
        </is>
      </c>
      <c r="C101" s="77" t="inlineStr">
        <is>
          <t>HARSHWARDHAN SINGH CHOUHAN</t>
        </is>
      </c>
      <c r="D101" s="81" t="n">
        <v>12</v>
      </c>
      <c r="E101" s="81" t="n">
        <v>25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3">
      <c r="A102" s="20" t="n">
        <v>95</v>
      </c>
      <c r="B102" s="76" t="inlineStr">
        <is>
          <t>25ETCCS057</t>
        </is>
      </c>
      <c r="C102" s="77" t="inlineStr">
        <is>
          <t>HERAMB MALI</t>
        </is>
      </c>
      <c r="D102" s="81" t="n">
        <v>58</v>
      </c>
      <c r="E102" s="81" t="n">
        <v>30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3">
      <c r="A103" s="20" t="n">
        <v>96</v>
      </c>
      <c r="B103" s="76" t="inlineStr">
        <is>
          <t>25ETCCS058</t>
        </is>
      </c>
      <c r="C103" s="77" t="inlineStr">
        <is>
          <t>HIMANSHU SONI</t>
        </is>
      </c>
      <c r="D103" s="81" t="n">
        <v>49</v>
      </c>
      <c r="E103" s="81" t="n">
        <v>30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3">
      <c r="A104" s="20" t="n">
        <v>97</v>
      </c>
      <c r="B104" s="76" t="inlineStr">
        <is>
          <t>25ETCCS059</t>
        </is>
      </c>
      <c r="C104" s="77" t="inlineStr">
        <is>
          <t>HIMMAT CHOUDHARY</t>
        </is>
      </c>
      <c r="D104" s="81" t="n">
        <v>0</v>
      </c>
      <c r="E104" s="81" t="n">
        <v>20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3">
      <c r="A105" s="20" t="n">
        <v>98</v>
      </c>
      <c r="B105" s="76" t="inlineStr">
        <is>
          <t>25ETCCS060</t>
        </is>
      </c>
      <c r="C105" s="77" t="inlineStr">
        <is>
          <t>HITARTH JAIN</t>
        </is>
      </c>
      <c r="D105" s="81" t="n">
        <v>22</v>
      </c>
      <c r="E105" s="81" t="n">
        <v>25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3">
      <c r="A106" s="20" t="n">
        <v>99</v>
      </c>
      <c r="B106" s="76" t="inlineStr">
        <is>
          <t>25ETCCS061</t>
        </is>
      </c>
      <c r="C106" s="77" t="inlineStr">
        <is>
          <t>HRITIK CHOUBISA</t>
        </is>
      </c>
      <c r="D106" s="81" t="n">
        <v>46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3">
      <c r="A107" s="20" t="n">
        <v>100</v>
      </c>
      <c r="B107" s="76" t="inlineStr">
        <is>
          <t>25ETCCS062</t>
        </is>
      </c>
      <c r="C107" s="77" t="inlineStr">
        <is>
          <t>JANVI JAROLI</t>
        </is>
      </c>
      <c r="D107" s="81" t="n">
        <v>61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3">
      <c r="A108" s="20" t="n">
        <v>101</v>
      </c>
      <c r="B108" s="76" t="inlineStr">
        <is>
          <t>25ETCCS063</t>
        </is>
      </c>
      <c r="C108" s="77" t="inlineStr">
        <is>
          <t>JAY JAIN</t>
        </is>
      </c>
      <c r="D108" s="81" t="n">
        <v>4</v>
      </c>
      <c r="E108" s="81" t="n">
        <v>21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3">
      <c r="A109" s="20" t="n">
        <v>102</v>
      </c>
      <c r="B109" s="76" t="inlineStr">
        <is>
          <t>25ETCCS064</t>
        </is>
      </c>
      <c r="C109" s="77" t="inlineStr">
        <is>
          <t>JAYESH PALIWAL</t>
        </is>
      </c>
      <c r="D109" s="81" t="n">
        <v>20</v>
      </c>
      <c r="E109" s="81" t="n">
        <v>24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3">
      <c r="A110" s="20" t="n">
        <v>103</v>
      </c>
      <c r="B110" s="76" t="inlineStr">
        <is>
          <t>25ETCCS065</t>
        </is>
      </c>
      <c r="C110" s="77" t="inlineStr">
        <is>
          <t>JINESH GEHLOT</t>
        </is>
      </c>
      <c r="D110" s="81" t="n">
        <v>35</v>
      </c>
      <c r="E110" s="81" t="n">
        <v>28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3">
      <c r="A111" s="20" t="n">
        <v>104</v>
      </c>
      <c r="B111" s="76" t="inlineStr">
        <is>
          <t>25ETCCS066</t>
        </is>
      </c>
      <c r="C111" s="77" t="inlineStr">
        <is>
          <t>JOSHI OM PRANAVKUMAR</t>
        </is>
      </c>
      <c r="D111" s="81" t="n">
        <v>24</v>
      </c>
      <c r="E111" s="81" t="n">
        <v>25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3">
      <c r="A112" s="20" t="n">
        <v>105</v>
      </c>
      <c r="B112" s="76" t="inlineStr">
        <is>
          <t>25ETCCS067</t>
        </is>
      </c>
      <c r="C112" s="77" t="inlineStr">
        <is>
          <t>JOYDEEP SONI</t>
        </is>
      </c>
      <c r="D112" s="81" t="n">
        <v>36</v>
      </c>
      <c r="E112" s="81" t="n">
        <v>26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3">
      <c r="A113" s="20" t="n">
        <v>106</v>
      </c>
      <c r="B113" s="76" t="inlineStr">
        <is>
          <t>25ETCCS068</t>
        </is>
      </c>
      <c r="C113" s="77" t="inlineStr">
        <is>
          <t>KABIR BHARAWA</t>
        </is>
      </c>
      <c r="D113" s="81" t="n">
        <v>57</v>
      </c>
      <c r="E113" s="81" t="n">
        <v>25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3">
      <c r="A114" s="20" t="n">
        <v>107</v>
      </c>
      <c r="B114" s="76" t="inlineStr">
        <is>
          <t>25ETCCS069</t>
        </is>
      </c>
      <c r="C114" s="77" t="inlineStr">
        <is>
          <t>KANISHK JAIN</t>
        </is>
      </c>
      <c r="D114" s="81" t="n">
        <v>56</v>
      </c>
      <c r="E114" s="81" t="n">
        <v>22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3">
      <c r="A115" s="20" t="n">
        <v>108</v>
      </c>
      <c r="B115" s="76" t="inlineStr">
        <is>
          <t>25ETCCS070</t>
        </is>
      </c>
      <c r="C115" s="77" t="inlineStr">
        <is>
          <t>KARNIKA JAIN</t>
        </is>
      </c>
      <c r="D115" s="81" t="n">
        <v>23</v>
      </c>
      <c r="E115" s="81" t="n">
        <v>28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3">
      <c r="A116" s="20" t="n">
        <v>109</v>
      </c>
      <c r="B116" s="76" t="inlineStr">
        <is>
          <t>25ETCCS071</t>
        </is>
      </c>
      <c r="C116" s="77" t="inlineStr">
        <is>
          <t>KARTIKEYA TAUNK</t>
        </is>
      </c>
      <c r="D116" s="81" t="n">
        <v>69</v>
      </c>
      <c r="E116" s="81" t="n">
        <v>28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3">
      <c r="A117" s="20" t="n">
        <v>110</v>
      </c>
      <c r="B117" s="76" t="inlineStr">
        <is>
          <t>25ETCCS072</t>
        </is>
      </c>
      <c r="C117" s="77" t="inlineStr">
        <is>
          <t>KASHWIKA SUHALKA</t>
        </is>
      </c>
      <c r="D117" s="81" t="n">
        <v>18</v>
      </c>
      <c r="E117" s="81" t="n">
        <v>27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3">
      <c r="A118" s="20" t="n">
        <v>111</v>
      </c>
      <c r="B118" s="76" t="inlineStr">
        <is>
          <t>25ETCCS073</t>
        </is>
      </c>
      <c r="C118" s="77" t="inlineStr">
        <is>
          <t>KEVALYA GAJAWAT</t>
        </is>
      </c>
      <c r="D118" s="81" t="n">
        <v>26</v>
      </c>
      <c r="E118" s="81" t="n">
        <v>30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3">
      <c r="A119" s="20" t="n">
        <v>112</v>
      </c>
      <c r="B119" s="76" t="inlineStr">
        <is>
          <t>25ETCCS074</t>
        </is>
      </c>
      <c r="C119" s="77" t="inlineStr">
        <is>
          <t>KHUSH KOTHARI</t>
        </is>
      </c>
      <c r="D119" s="81" t="n">
        <v>33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3">
      <c r="A120" s="20" t="n">
        <v>113</v>
      </c>
      <c r="B120" s="76" t="inlineStr">
        <is>
          <t>25ETCCS075</t>
        </is>
      </c>
      <c r="C120" s="77" t="inlineStr">
        <is>
          <t>KHUSHI KOTHARI</t>
        </is>
      </c>
      <c r="D120" s="81" t="n">
        <v>46</v>
      </c>
      <c r="E120" s="81" t="n">
        <v>28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3">
      <c r="A121" s="20" t="n">
        <v>114</v>
      </c>
      <c r="B121" s="79" t="inlineStr">
        <is>
          <t>25ETCCS076</t>
        </is>
      </c>
      <c r="C121" s="78" t="inlineStr">
        <is>
          <t>KHUSHWANT TAK</t>
        </is>
      </c>
      <c r="D121" s="81" t="n">
        <v>13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3">
      <c r="A122" s="20" t="n">
        <v>115</v>
      </c>
      <c r="B122" s="76" t="inlineStr">
        <is>
          <t>25ETCCS077</t>
        </is>
      </c>
      <c r="C122" s="77" t="inlineStr">
        <is>
          <t>KRISH BUJ</t>
        </is>
      </c>
      <c r="D122" s="81" t="n">
        <v>2</v>
      </c>
      <c r="E122" s="81" t="n">
        <v>24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3">
      <c r="A123" s="20" t="n">
        <v>116</v>
      </c>
      <c r="B123" s="76" t="inlineStr">
        <is>
          <t>25ETCCS078</t>
        </is>
      </c>
      <c r="C123" s="77" t="inlineStr">
        <is>
          <t>KRISHNA KUMAR BHOI</t>
        </is>
      </c>
      <c r="D123" s="81" t="n">
        <v>33</v>
      </c>
      <c r="E123" s="81" t="n">
        <v>26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3">
      <c r="A124" s="20" t="n">
        <v>117</v>
      </c>
      <c r="B124" s="76" t="inlineStr">
        <is>
          <t>25ETCCS079</t>
        </is>
      </c>
      <c r="C124" s="77" t="inlineStr">
        <is>
          <t>KRISHNA PALIWAL</t>
        </is>
      </c>
      <c r="D124" s="81" t="n">
        <v>32</v>
      </c>
      <c r="E124" s="81" t="n">
        <v>24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3">
      <c r="A125" s="20" t="n">
        <v>118</v>
      </c>
      <c r="B125" s="79" t="inlineStr">
        <is>
          <t>25ETCCS080</t>
        </is>
      </c>
      <c r="C125" s="78" t="inlineStr">
        <is>
          <t>KRISHNA SHARMA</t>
        </is>
      </c>
      <c r="D125" s="81" t="n">
        <v>30</v>
      </c>
      <c r="E125" s="81" t="n">
        <v>22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3">
      <c r="A126" s="20" t="n">
        <v>119</v>
      </c>
      <c r="B126" s="76" t="inlineStr">
        <is>
          <t>25ETCCS081</t>
        </is>
      </c>
      <c r="C126" s="77" t="inlineStr">
        <is>
          <t>KUSHAGRA CHOUBISA</t>
        </is>
      </c>
      <c r="D126" s="81" t="n">
        <v>50</v>
      </c>
      <c r="E126" s="81" t="n">
        <v>27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3">
      <c r="A127" s="20" t="n">
        <v>120</v>
      </c>
      <c r="B127" s="76" t="inlineStr">
        <is>
          <t>25ETCCS082</t>
        </is>
      </c>
      <c r="C127" s="77" t="inlineStr">
        <is>
          <t>KUSHAGRA PALIWAL</t>
        </is>
      </c>
      <c r="D127" s="81" t="n">
        <v>28</v>
      </c>
      <c r="E127" s="81" t="n">
        <v>29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3">
      <c r="A128" s="20" t="n">
        <v>121</v>
      </c>
      <c r="B128" s="76" t="inlineStr">
        <is>
          <t>25ETCCS083</t>
        </is>
      </c>
      <c r="C128" s="77" t="inlineStr">
        <is>
          <t>LAKSHITA JAIN</t>
        </is>
      </c>
      <c r="D128" s="81" t="n">
        <v>58</v>
      </c>
      <c r="E128" s="81" t="n">
        <v>26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3">
      <c r="A129" s="20" t="n">
        <v>122</v>
      </c>
      <c r="B129" s="76" t="inlineStr">
        <is>
          <t>25ETCCS084</t>
        </is>
      </c>
      <c r="C129" s="77" t="inlineStr">
        <is>
          <t>LAKSHYA BAJWA</t>
        </is>
      </c>
      <c r="D129" s="81" t="n">
        <v>51</v>
      </c>
      <c r="E129" s="81" t="n">
        <v>25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3">
      <c r="A130" s="20" t="n">
        <v>123</v>
      </c>
      <c r="B130" s="76" t="inlineStr">
        <is>
          <t>25ETCCS085</t>
        </is>
      </c>
      <c r="C130" s="77" t="inlineStr">
        <is>
          <t>LAKSHYA JOSHI</t>
        </is>
      </c>
      <c r="D130" s="81" t="n">
        <v>45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3">
      <c r="A131" s="20" t="n">
        <v>124</v>
      </c>
      <c r="B131" s="76" t="inlineStr">
        <is>
          <t>25ETCCS086</t>
        </is>
      </c>
      <c r="C131" s="77" t="inlineStr">
        <is>
          <t>LAKSHYA SAINI</t>
        </is>
      </c>
      <c r="D131" s="81" t="n">
        <v>26</v>
      </c>
      <c r="E131" s="81" t="n">
        <v>22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3">
      <c r="A132" s="20" t="n">
        <v>125</v>
      </c>
      <c r="B132" s="76" t="inlineStr">
        <is>
          <t>25ETCCS087</t>
        </is>
      </c>
      <c r="C132" s="77" t="inlineStr">
        <is>
          <t>MADHUR VERMA</t>
        </is>
      </c>
      <c r="D132" s="81" t="n">
        <v>59</v>
      </c>
      <c r="E132" s="81" t="n">
        <v>25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3">
      <c r="A133" s="20" t="n">
        <v>126</v>
      </c>
      <c r="B133" s="76" t="inlineStr">
        <is>
          <t>25ETCCS088</t>
        </is>
      </c>
      <c r="C133" s="77" t="inlineStr">
        <is>
          <t>MAHIKA ASAWARA</t>
        </is>
      </c>
      <c r="D133" s="81" t="n">
        <v>42</v>
      </c>
      <c r="E133" s="81" t="n">
        <v>24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3">
      <c r="A134" s="20" t="n">
        <v>127</v>
      </c>
      <c r="B134" s="76" t="inlineStr">
        <is>
          <t>25ETCCS089</t>
        </is>
      </c>
      <c r="C134" s="77" t="inlineStr">
        <is>
          <t>MANAS PRAJAPAT</t>
        </is>
      </c>
      <c r="D134" s="81" t="n">
        <v>5</v>
      </c>
      <c r="E134" s="81" t="n">
        <v>25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3">
      <c r="A135" s="20" t="n">
        <v>128</v>
      </c>
      <c r="B135" s="76" t="inlineStr">
        <is>
          <t>25ETCCS090</t>
        </is>
      </c>
      <c r="C135" s="77" t="inlineStr">
        <is>
          <t>MANASVI GADIA</t>
        </is>
      </c>
      <c r="D135" s="81" t="n">
        <v>15</v>
      </c>
      <c r="E135" s="81" t="n">
        <v>30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3">
      <c r="A136" s="20" t="n">
        <v>129</v>
      </c>
      <c r="B136" s="76" t="inlineStr">
        <is>
          <t>25ETCCS091</t>
        </is>
      </c>
      <c r="C136" s="77" t="inlineStr">
        <is>
          <t>MANISH TRIPATHI</t>
        </is>
      </c>
      <c r="D136" s="81" t="n">
        <v>37</v>
      </c>
      <c r="E136" s="81" t="n">
        <v>25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3">
      <c r="A137" s="20" t="n">
        <v>130</v>
      </c>
      <c r="B137" s="76" t="inlineStr">
        <is>
          <t>25ETCCS092</t>
        </is>
      </c>
      <c r="C137" s="77" t="inlineStr">
        <is>
          <t>MANTHAN TAILOR</t>
        </is>
      </c>
      <c r="D137" s="81" t="n">
        <v>35</v>
      </c>
      <c r="E137" s="81" t="n">
        <v>25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3">
      <c r="A138" s="20" t="n">
        <v>131</v>
      </c>
      <c r="B138" s="76" t="inlineStr">
        <is>
          <t>25ETCCS093</t>
        </is>
      </c>
      <c r="C138" s="77" t="inlineStr">
        <is>
          <t>MANVENDRA SINGH</t>
        </is>
      </c>
      <c r="D138" s="81" t="n">
        <v>29</v>
      </c>
      <c r="E138" s="81" t="n">
        <v>28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3">
      <c r="A139" s="20" t="n">
        <v>132</v>
      </c>
      <c r="B139" s="76" t="inlineStr">
        <is>
          <t>25ETCCS094</t>
        </is>
      </c>
      <c r="C139" s="77" t="inlineStr">
        <is>
          <t>MAYANK TELI</t>
        </is>
      </c>
      <c r="D139" s="81" t="n">
        <v>59</v>
      </c>
      <c r="E139" s="81" t="n">
        <v>25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3">
      <c r="A140" s="20" t="n">
        <v>133</v>
      </c>
      <c r="B140" s="76" t="inlineStr">
        <is>
          <t>25ETCCS095</t>
        </is>
      </c>
      <c r="C140" s="77" t="inlineStr">
        <is>
          <t>MAYANK VAIRAGI</t>
        </is>
      </c>
      <c r="D140" s="81" t="n">
        <v>35</v>
      </c>
      <c r="E140" s="81" t="n">
        <v>22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3">
      <c r="A141" s="20" t="n">
        <v>134</v>
      </c>
      <c r="B141" s="76" t="inlineStr">
        <is>
          <t>25ETCCS096</t>
        </is>
      </c>
      <c r="C141" s="77" t="inlineStr">
        <is>
          <t>MOHAMMED FARHAN</t>
        </is>
      </c>
      <c r="D141" s="81" t="n">
        <v>10</v>
      </c>
      <c r="E141" s="81" t="n">
        <v>25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3">
      <c r="A142" s="20" t="n">
        <v>135</v>
      </c>
      <c r="B142" s="76" t="inlineStr">
        <is>
          <t>25ETCCS098</t>
        </is>
      </c>
      <c r="C142" s="77" t="inlineStr">
        <is>
          <t>MS.AFRAH BANU</t>
        </is>
      </c>
      <c r="D142" s="81" t="n">
        <v>55</v>
      </c>
      <c r="E142" s="81" t="n">
        <v>30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3">
      <c r="A143" s="20" t="n">
        <v>136</v>
      </c>
      <c r="B143" s="76" t="inlineStr">
        <is>
          <t>25ETCCS099</t>
        </is>
      </c>
      <c r="C143" s="77" t="inlineStr">
        <is>
          <t>MS.AYUSHI SUTHAR</t>
        </is>
      </c>
      <c r="D143" s="81" t="n">
        <v>37</v>
      </c>
      <c r="E143" s="81" t="n">
        <v>25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3">
      <c r="A144" s="20" t="n">
        <v>137</v>
      </c>
      <c r="B144" s="76" t="inlineStr">
        <is>
          <t>25ETCCS100</t>
        </is>
      </c>
      <c r="C144" s="77" t="inlineStr">
        <is>
          <t>MS.BHAVIKA SUTHAR</t>
        </is>
      </c>
      <c r="D144" s="81" t="n">
        <v>17</v>
      </c>
      <c r="E144" s="81" t="n">
        <v>22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3">
      <c r="A145" s="20" t="n">
        <v>138</v>
      </c>
      <c r="B145" s="76" t="inlineStr">
        <is>
          <t>25ETCCS101</t>
        </is>
      </c>
      <c r="C145" s="77" t="inlineStr">
        <is>
          <t>MS.BHAVISHYA TANK</t>
        </is>
      </c>
      <c r="D145" s="81" t="n">
        <v>41</v>
      </c>
      <c r="E145" s="81" t="n">
        <v>30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3">
      <c r="A146" s="20" t="n">
        <v>139</v>
      </c>
      <c r="B146" s="76" t="inlineStr">
        <is>
          <t>25ETCCS102</t>
        </is>
      </c>
      <c r="C146" s="77" t="inlineStr">
        <is>
          <t>MS.BHAVYRAJ KUNWAR RANAWAT</t>
        </is>
      </c>
      <c r="D146" s="81" t="n">
        <v>30</v>
      </c>
      <c r="E146" s="81" t="n">
        <v>23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3">
      <c r="A147" s="20" t="n">
        <v>140</v>
      </c>
      <c r="B147" s="76" t="inlineStr">
        <is>
          <t>25ETCCS103</t>
        </is>
      </c>
      <c r="C147" s="77" t="inlineStr">
        <is>
          <t>MS.DIVYANSHI MENARIA</t>
        </is>
      </c>
      <c r="D147" s="81" t="n">
        <v>50</v>
      </c>
      <c r="E147" s="81" t="n">
        <v>28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3">
      <c r="A148" s="20" t="n">
        <v>141</v>
      </c>
      <c r="B148" s="76" t="inlineStr">
        <is>
          <t>25ETCCS104</t>
        </is>
      </c>
      <c r="C148" s="77" t="inlineStr">
        <is>
          <t>MS.DIVYANSHI PUNWAR</t>
        </is>
      </c>
      <c r="D148" s="81" t="n">
        <v>20</v>
      </c>
      <c r="E148" s="81" t="n">
        <v>29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3">
      <c r="A149" s="20" t="n">
        <v>142</v>
      </c>
      <c r="B149" s="76" t="inlineStr">
        <is>
          <t>25ETCCS105</t>
        </is>
      </c>
      <c r="C149" s="77" t="inlineStr">
        <is>
          <t>MS.DURVA BHATT</t>
        </is>
      </c>
      <c r="D149" s="81" t="n">
        <v>32</v>
      </c>
      <c r="E149" s="81" t="n">
        <v>28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3">
      <c r="A150" s="20" t="n">
        <v>143</v>
      </c>
      <c r="B150" s="76" t="inlineStr">
        <is>
          <t>25ETCCS106</t>
        </is>
      </c>
      <c r="C150" s="77" t="inlineStr">
        <is>
          <t>MS.KHUSHBOO KATARIA</t>
        </is>
      </c>
      <c r="D150" s="81" t="n">
        <v>21</v>
      </c>
      <c r="E150" s="81" t="n">
        <v>25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3">
      <c r="A151" s="20" t="n">
        <v>144</v>
      </c>
      <c r="B151" s="76" t="inlineStr">
        <is>
          <t>25ETCCS107</t>
        </is>
      </c>
      <c r="C151" s="77" t="inlineStr">
        <is>
          <t>MS.KINJAL SEHLOT</t>
        </is>
      </c>
      <c r="D151" s="81" t="n">
        <v>28</v>
      </c>
      <c r="E151" s="81" t="n">
        <v>23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3">
      <c r="A152" s="20" t="n">
        <v>145</v>
      </c>
      <c r="B152" s="76" t="inlineStr">
        <is>
          <t>25ETCCS108</t>
        </is>
      </c>
      <c r="C152" s="77" t="inlineStr">
        <is>
          <t>MS.MANSAVI KOTHARI</t>
        </is>
      </c>
      <c r="D152" s="81" t="n">
        <v>39</v>
      </c>
      <c r="E152" s="81" t="n">
        <v>30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3">
      <c r="A153" s="20" t="n">
        <v>146</v>
      </c>
      <c r="B153" s="76" t="inlineStr">
        <is>
          <t>25ETCCS109</t>
        </is>
      </c>
      <c r="C153" s="77" t="inlineStr">
        <is>
          <t>MS.NANCY MAURYA</t>
        </is>
      </c>
      <c r="D153" s="81" t="n">
        <v>43</v>
      </c>
      <c r="E153" s="81" t="n">
        <v>30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3">
      <c r="A154" s="20" t="n">
        <v>147</v>
      </c>
      <c r="B154" s="76" t="inlineStr">
        <is>
          <t>25ETCCS110</t>
        </is>
      </c>
      <c r="C154" s="77" t="inlineStr">
        <is>
          <t>MS.NEETU BHOI</t>
        </is>
      </c>
      <c r="D154" s="81" t="n">
        <v>46</v>
      </c>
      <c r="E154" s="81" t="n">
        <v>28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3">
      <c r="A155" s="20" t="n">
        <v>148</v>
      </c>
      <c r="B155" s="76" t="inlineStr">
        <is>
          <t>25ETCCS111</t>
        </is>
      </c>
      <c r="C155" s="77" t="inlineStr">
        <is>
          <t>MS.PRACHI JAIN</t>
        </is>
      </c>
      <c r="D155" s="81" t="n">
        <v>51</v>
      </c>
      <c r="E155" s="81" t="n">
        <v>28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3">
      <c r="A156" s="20" t="n">
        <v>149</v>
      </c>
      <c r="B156" s="76" t="inlineStr">
        <is>
          <t>25ETCCS112</t>
        </is>
      </c>
      <c r="C156" s="77" t="inlineStr">
        <is>
          <t>MS.RANI RAO</t>
        </is>
      </c>
      <c r="D156" s="81" t="n">
        <v>28</v>
      </c>
      <c r="E156" s="81" t="n">
        <v>26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3">
      <c r="A157" s="20" t="n">
        <v>150</v>
      </c>
      <c r="B157" s="76" t="inlineStr">
        <is>
          <t>25ETCCS113</t>
        </is>
      </c>
      <c r="C157" s="77" t="inlineStr">
        <is>
          <t>MS.RUDRIKA RATHORE</t>
        </is>
      </c>
      <c r="D157" s="81" t="n">
        <v>5</v>
      </c>
      <c r="E157" s="81" t="n">
        <v>24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3">
      <c r="A158" s="20" t="n">
        <v>151</v>
      </c>
      <c r="B158" s="76" t="inlineStr">
        <is>
          <t>25ETCCS115</t>
        </is>
      </c>
      <c r="C158" s="77" t="inlineStr">
        <is>
          <t>MS.SIDDHI MENARIA</t>
        </is>
      </c>
      <c r="D158" s="81" t="n">
        <v>46</v>
      </c>
      <c r="E158" s="81" t="n">
        <v>26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3">
      <c r="A159" s="20" t="n">
        <v>152</v>
      </c>
      <c r="B159" s="76" t="inlineStr">
        <is>
          <t>25ETCCS116</t>
        </is>
      </c>
      <c r="C159" s="77" t="inlineStr">
        <is>
          <t>MS.SIYA GOUR</t>
        </is>
      </c>
      <c r="D159" s="81" t="n">
        <v>66</v>
      </c>
      <c r="E159" s="81" t="n">
        <v>30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3">
      <c r="A160" s="20" t="n">
        <v>153</v>
      </c>
      <c r="B160" s="76" t="inlineStr">
        <is>
          <t>25ETCCS117</t>
        </is>
      </c>
      <c r="C160" s="77" t="inlineStr">
        <is>
          <t>MS.SWASTI SHARMA</t>
        </is>
      </c>
      <c r="D160" s="81" t="n">
        <v>19</v>
      </c>
      <c r="E160" s="81" t="n">
        <v>28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3">
      <c r="A161" s="20" t="n">
        <v>154</v>
      </c>
      <c r="B161" s="76" t="inlineStr">
        <is>
          <t>25ETCCS118</t>
        </is>
      </c>
      <c r="C161" s="77" t="inlineStr">
        <is>
          <t>MS.TAMANNA SAHU</t>
        </is>
      </c>
      <c r="D161" s="81" t="n">
        <v>29</v>
      </c>
      <c r="E161" s="81" t="n">
        <v>28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3">
      <c r="A162" s="20" t="n">
        <v>155</v>
      </c>
      <c r="B162" s="76" t="inlineStr">
        <is>
          <t>25ETCCS119</t>
        </is>
      </c>
      <c r="C162" s="77" t="inlineStr">
        <is>
          <t>MS.TANISHA SOLANKI</t>
        </is>
      </c>
      <c r="D162" s="81" t="n">
        <v>49</v>
      </c>
      <c r="E162" s="81" t="n">
        <v>28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3">
      <c r="A163" s="20" t="n">
        <v>156</v>
      </c>
      <c r="B163" s="76" t="inlineStr">
        <is>
          <t>25ETCCS120</t>
        </is>
      </c>
      <c r="C163" s="77" t="inlineStr">
        <is>
          <t>MS.TANYA ARORA</t>
        </is>
      </c>
      <c r="D163" s="81" t="n">
        <v>37</v>
      </c>
      <c r="E163" s="81" t="n">
        <v>28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3">
      <c r="A164" s="20" t="n">
        <v>157</v>
      </c>
      <c r="B164" s="76" t="inlineStr">
        <is>
          <t>25ETCCS121</t>
        </is>
      </c>
      <c r="C164" s="77" t="inlineStr">
        <is>
          <t>NAITIK RATHI</t>
        </is>
      </c>
      <c r="D164" s="81" t="n">
        <v>15</v>
      </c>
      <c r="E164" s="81" t="n">
        <v>26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3">
      <c r="A165" s="20" t="n">
        <v>158</v>
      </c>
      <c r="B165" s="76" t="inlineStr">
        <is>
          <t>25ETCCS123</t>
        </is>
      </c>
      <c r="C165" s="77" t="inlineStr">
        <is>
          <t>NEEV PALIWAL</t>
        </is>
      </c>
      <c r="D165" s="81" t="n">
        <v>20</v>
      </c>
      <c r="E165" s="81" t="n">
        <v>24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3">
      <c r="A166" s="20" t="n">
        <v>159</v>
      </c>
      <c r="B166" s="76" t="inlineStr">
        <is>
          <t>25ETCCS124</t>
        </is>
      </c>
      <c r="C166" s="77" t="inlineStr">
        <is>
          <t>NEHAL JAIN</t>
        </is>
      </c>
      <c r="D166" s="81" t="n">
        <v>47</v>
      </c>
      <c r="E166" s="81" t="n">
        <v>28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3">
      <c r="A167" s="20" t="n">
        <v>160</v>
      </c>
      <c r="B167" s="76" t="inlineStr">
        <is>
          <t>25ETCCS125</t>
        </is>
      </c>
      <c r="C167" s="77" t="inlineStr">
        <is>
          <t>NENISHIYA SONI</t>
        </is>
      </c>
      <c r="D167" s="81" t="n">
        <v>36</v>
      </c>
      <c r="E167" s="81" t="n">
        <v>27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3">
      <c r="A168" s="20" t="n">
        <v>161</v>
      </c>
      <c r="B168" s="76" t="inlineStr">
        <is>
          <t>25ETCCS126</t>
        </is>
      </c>
      <c r="C168" s="77" t="inlineStr">
        <is>
          <t>NIKHIL KUMAR PALIWAL</t>
        </is>
      </c>
      <c r="D168" s="81" t="n">
        <v>45</v>
      </c>
      <c r="E168" s="81" t="n">
        <v>26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3">
      <c r="A169" s="20" t="n">
        <v>162</v>
      </c>
      <c r="B169" s="76" t="inlineStr">
        <is>
          <t>25ETCCS127</t>
        </is>
      </c>
      <c r="C169" s="77" t="inlineStr">
        <is>
          <t>NIKHIL SHARMA</t>
        </is>
      </c>
      <c r="D169" s="81" t="n">
        <v>52</v>
      </c>
      <c r="E169" s="81" t="n">
        <v>26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3">
      <c r="A170" s="20" t="n">
        <v>163</v>
      </c>
      <c r="B170" s="76" t="inlineStr">
        <is>
          <t>25ETCCS128</t>
        </is>
      </c>
      <c r="C170" s="77" t="inlineStr">
        <is>
          <t>NIMEET VISHNOI</t>
        </is>
      </c>
      <c r="D170" s="81" t="n">
        <v>25</v>
      </c>
      <c r="E170" s="81" t="n">
        <v>25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3">
      <c r="A171" s="20" t="n">
        <v>164</v>
      </c>
      <c r="B171" s="79" t="inlineStr">
        <is>
          <t>25ETCCS129</t>
        </is>
      </c>
      <c r="C171" s="78" t="inlineStr">
        <is>
          <t>NIPUN PALIWAL</t>
        </is>
      </c>
      <c r="D171" s="81" t="n">
        <v>48</v>
      </c>
      <c r="E171" s="81" t="n">
        <v>24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3">
      <c r="A172" s="20" t="n">
        <v>165</v>
      </c>
      <c r="B172" s="76" t="inlineStr">
        <is>
          <t>25ETCCS130</t>
        </is>
      </c>
      <c r="C172" s="77" t="inlineStr">
        <is>
          <t>NIRBHAY SINGH PARMAR</t>
        </is>
      </c>
      <c r="D172" s="81" t="n">
        <v>52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3">
      <c r="A173" s="20" t="n">
        <v>166</v>
      </c>
      <c r="B173" s="76" t="inlineStr">
        <is>
          <t>25ETCCS132</t>
        </is>
      </c>
      <c r="C173" s="77" t="inlineStr">
        <is>
          <t>PARITOSH MALVIYA</t>
        </is>
      </c>
      <c r="D173" s="81" t="n">
        <v>36</v>
      </c>
      <c r="E173" s="81" t="n">
        <v>27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3">
      <c r="A174" s="20" t="n">
        <v>167</v>
      </c>
      <c r="B174" s="76" t="inlineStr">
        <is>
          <t>25ETCCS133</t>
        </is>
      </c>
      <c r="C174" s="77" t="inlineStr">
        <is>
          <t>PATEL JAL DILIPBHAI</t>
        </is>
      </c>
      <c r="D174" s="81" t="n">
        <v>30</v>
      </c>
      <c r="E174" s="81" t="n">
        <v>25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3">
      <c r="A175" s="20" t="n">
        <v>168</v>
      </c>
      <c r="B175" s="76" t="inlineStr">
        <is>
          <t>25ETCCS134</t>
        </is>
      </c>
      <c r="C175" s="77" t="inlineStr">
        <is>
          <t>PIYUSH RAJPUROHIT</t>
        </is>
      </c>
      <c r="D175" s="81" t="n">
        <v>23</v>
      </c>
      <c r="E175" s="81" t="n">
        <v>22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3">
      <c r="A176" s="20" t="n">
        <v>169</v>
      </c>
      <c r="B176" s="76" t="inlineStr">
        <is>
          <t>25ETCCS135</t>
        </is>
      </c>
      <c r="C176" s="77" t="inlineStr">
        <is>
          <t>PIYUSH SHARMA</t>
        </is>
      </c>
      <c r="D176" s="81" t="n">
        <v>14</v>
      </c>
      <c r="E176" s="81" t="n">
        <v>22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3">
      <c r="A177" s="20" t="n">
        <v>170</v>
      </c>
      <c r="B177" s="76" t="inlineStr">
        <is>
          <t>25ETCCS136</t>
        </is>
      </c>
      <c r="C177" s="77" t="inlineStr">
        <is>
          <t>POORVI SHARMA</t>
        </is>
      </c>
      <c r="D177" s="81" t="n">
        <v>37</v>
      </c>
      <c r="E177" s="81" t="n">
        <v>28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3">
      <c r="A178" s="20" t="n">
        <v>171</v>
      </c>
      <c r="B178" s="76" t="inlineStr">
        <is>
          <t>25ETCCS137</t>
        </is>
      </c>
      <c r="C178" s="77" t="inlineStr">
        <is>
          <t>PRADEEP SHARMA</t>
        </is>
      </c>
      <c r="D178" s="81" t="n">
        <v>13</v>
      </c>
      <c r="E178" s="81" t="n">
        <v>26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3">
      <c r="A179" s="20" t="n">
        <v>172</v>
      </c>
      <c r="B179" s="76" t="inlineStr">
        <is>
          <t>25ETCCS138</t>
        </is>
      </c>
      <c r="C179" s="77" t="inlineStr">
        <is>
          <t>PRAMESH LOHAR</t>
        </is>
      </c>
      <c r="D179" s="81" t="n">
        <v>11</v>
      </c>
      <c r="E179" s="81" t="n">
        <v>24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3">
      <c r="A180" s="20" t="n">
        <v>173</v>
      </c>
      <c r="B180" s="76" t="inlineStr">
        <is>
          <t>25ETCCS139</t>
        </is>
      </c>
      <c r="C180" s="77" t="inlineStr">
        <is>
          <t>PRANAV AUDICHYA</t>
        </is>
      </c>
      <c r="D180" s="81" t="n">
        <v>9</v>
      </c>
      <c r="E180" s="81" t="n">
        <v>23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3">
      <c r="A181" s="20" t="n">
        <v>174</v>
      </c>
      <c r="B181" s="76" t="inlineStr">
        <is>
          <t>25ETCCS140</t>
        </is>
      </c>
      <c r="C181" s="77" t="inlineStr">
        <is>
          <t>PRANSHU JAIN</t>
        </is>
      </c>
      <c r="D181" s="81" t="n">
        <v>48</v>
      </c>
      <c r="E181" s="81" t="n">
        <v>26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3">
      <c r="A182" s="20" t="n">
        <v>175</v>
      </c>
      <c r="B182" s="76" t="inlineStr">
        <is>
          <t>25ETCCS141</t>
        </is>
      </c>
      <c r="C182" s="77" t="inlineStr">
        <is>
          <t>PRATEEK SONI</t>
        </is>
      </c>
      <c r="D182" s="81" t="n">
        <v>55</v>
      </c>
      <c r="E182" s="81" t="n">
        <v>23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3">
      <c r="A183" s="20" t="n">
        <v>176</v>
      </c>
      <c r="B183" s="76" t="inlineStr">
        <is>
          <t>25ETCCS142</t>
        </is>
      </c>
      <c r="C183" s="77" t="inlineStr">
        <is>
          <t>PRATYAKSH PURBIA</t>
        </is>
      </c>
      <c r="D183" s="81" t="n">
        <v>51</v>
      </c>
      <c r="E183" s="81" t="n">
        <v>27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3">
      <c r="A184" s="20" t="n">
        <v>177</v>
      </c>
      <c r="B184" s="76" t="inlineStr">
        <is>
          <t>25ETCCS143</t>
        </is>
      </c>
      <c r="C184" s="77" t="inlineStr">
        <is>
          <t>PRAVIN SINGH CHUNDAWAT</t>
        </is>
      </c>
      <c r="D184" s="81" t="n">
        <v>27</v>
      </c>
      <c r="E184" s="81" t="n">
        <v>30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3">
      <c r="A185" s="20" t="n">
        <v>178</v>
      </c>
      <c r="B185" s="76" t="inlineStr">
        <is>
          <t>25ETCCS144</t>
        </is>
      </c>
      <c r="C185" s="77" t="inlineStr">
        <is>
          <t>PREM PRAJAPAT</t>
        </is>
      </c>
      <c r="D185" s="81" t="n">
        <v>17</v>
      </c>
      <c r="E185" s="81" t="n">
        <v>22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3">
      <c r="A186" s="20" t="n">
        <v>179</v>
      </c>
      <c r="B186" s="76" t="inlineStr">
        <is>
          <t>25ETCCS145</t>
        </is>
      </c>
      <c r="C186" s="77" t="inlineStr">
        <is>
          <t>PRINCE KUMAWAT</t>
        </is>
      </c>
      <c r="D186" s="81" t="n">
        <v>8</v>
      </c>
      <c r="E186" s="81" t="n">
        <v>25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3">
      <c r="A187" s="20" t="n">
        <v>180</v>
      </c>
      <c r="B187" s="76" t="inlineStr">
        <is>
          <t>25ETCCS146</t>
        </is>
      </c>
      <c r="C187" s="77" t="inlineStr">
        <is>
          <t>PRIYANSH CHOUDHARY</t>
        </is>
      </c>
      <c r="D187" s="81" t="n">
        <v>10</v>
      </c>
      <c r="E187" s="81" t="n">
        <v>25</v>
      </c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3">
      <c r="A188" s="20" t="n">
        <v>181</v>
      </c>
      <c r="B188" s="79" t="inlineStr">
        <is>
          <t>25ETCCS147</t>
        </is>
      </c>
      <c r="C188" s="78" t="inlineStr">
        <is>
          <t>PULKIT GUPTA</t>
        </is>
      </c>
      <c r="D188" s="81" t="n">
        <v>21</v>
      </c>
      <c r="E188" s="81" t="n">
        <v>26</v>
      </c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3">
      <c r="A189" s="20" t="n">
        <v>182</v>
      </c>
      <c r="B189" s="76" t="inlineStr">
        <is>
          <t>25ETCCS148</t>
        </is>
      </c>
      <c r="C189" s="77" t="inlineStr">
        <is>
          <t>PULKIT SHARMA</t>
        </is>
      </c>
      <c r="D189" s="81" t="n">
        <v>27</v>
      </c>
      <c r="E189" s="81" t="n">
        <v>24</v>
      </c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3">
      <c r="A190" s="20" t="n">
        <v>183</v>
      </c>
      <c r="B190" s="76" t="inlineStr">
        <is>
          <t>25ETCCS149</t>
        </is>
      </c>
      <c r="C190" s="77" t="inlineStr">
        <is>
          <t>PUNIT OMPRAKASH TRIVEDI</t>
        </is>
      </c>
      <c r="D190" s="81" t="n">
        <v>5</v>
      </c>
      <c r="E190" s="81" t="n">
        <v>22</v>
      </c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3">
      <c r="A191" s="20" t="n">
        <v>184</v>
      </c>
      <c r="B191" s="76" t="inlineStr">
        <is>
          <t>25ETCCS150</t>
        </is>
      </c>
      <c r="C191" s="77" t="inlineStr">
        <is>
          <t>PURAN CHOUDHARY</t>
        </is>
      </c>
      <c r="D191" s="81" t="n">
        <v>4</v>
      </c>
      <c r="E191" s="81" t="n">
        <v>22</v>
      </c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3">
      <c r="A192" s="20" t="n">
        <v>185</v>
      </c>
      <c r="B192" s="79" t="inlineStr">
        <is>
          <t>25ETCCS151</t>
        </is>
      </c>
      <c r="C192" s="78" t="inlineStr">
        <is>
          <t>RAJVEER SINGH ARORA</t>
        </is>
      </c>
      <c r="D192" s="81" t="n">
        <v>24</v>
      </c>
      <c r="E192" s="81" t="n">
        <v>23</v>
      </c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3">
      <c r="A193" s="20" t="n">
        <v>186</v>
      </c>
      <c r="B193" s="76" t="inlineStr">
        <is>
          <t>25ETCCS152</t>
        </is>
      </c>
      <c r="C193" s="77" t="inlineStr">
        <is>
          <t>RAKSHITA PALIWAL</t>
        </is>
      </c>
      <c r="D193" s="81" t="n">
        <v>19</v>
      </c>
      <c r="E193" s="81" t="n">
        <v>28</v>
      </c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3">
      <c r="A194" s="20" t="n">
        <v>187</v>
      </c>
      <c r="B194" s="76" t="inlineStr">
        <is>
          <t>25ETCCS153</t>
        </is>
      </c>
      <c r="C194" s="77" t="inlineStr">
        <is>
          <t>RENU KUMARI</t>
        </is>
      </c>
      <c r="D194" s="81" t="n">
        <v>34</v>
      </c>
      <c r="E194" s="81" t="n">
        <v>27</v>
      </c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3">
      <c r="A195" s="20" t="n">
        <v>188</v>
      </c>
      <c r="B195" s="76" t="inlineStr">
        <is>
          <t>25ETCCS154</t>
        </is>
      </c>
      <c r="C195" s="77" t="inlineStr">
        <is>
          <t>RISHI PUROHIT</t>
        </is>
      </c>
      <c r="D195" s="81" t="n">
        <v>50</v>
      </c>
      <c r="E195" s="81" t="n">
        <v>26</v>
      </c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3">
      <c r="A196" s="20" t="n">
        <v>189</v>
      </c>
      <c r="B196" s="76" t="inlineStr">
        <is>
          <t>25ETCCS155</t>
        </is>
      </c>
      <c r="C196" s="77" t="inlineStr">
        <is>
          <t>RISHIKA ALAWAT</t>
        </is>
      </c>
      <c r="D196" s="81" t="n">
        <v>47</v>
      </c>
      <c r="E196" s="81" t="n">
        <v>22</v>
      </c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3">
      <c r="A197" s="20" t="n">
        <v>190</v>
      </c>
      <c r="B197" s="76" t="inlineStr">
        <is>
          <t>25ETCCS156</t>
        </is>
      </c>
      <c r="C197" s="77" t="inlineStr">
        <is>
          <t>RITESH KUMAR</t>
        </is>
      </c>
      <c r="D197" s="81" t="n">
        <v>51</v>
      </c>
      <c r="E197" s="81" t="n">
        <v>24</v>
      </c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3">
      <c r="A198" s="20" t="n">
        <v>191</v>
      </c>
      <c r="B198" s="76" t="inlineStr">
        <is>
          <t>25ETCCS157</t>
        </is>
      </c>
      <c r="C198" s="77" t="inlineStr">
        <is>
          <t>RUDRAKSH PATWA</t>
        </is>
      </c>
      <c r="D198" s="81" t="n">
        <v>29</v>
      </c>
      <c r="E198" s="81" t="n">
        <v>24</v>
      </c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3">
      <c r="A199" s="20" t="n">
        <v>192</v>
      </c>
      <c r="B199" s="76" t="inlineStr">
        <is>
          <t>25ETCCS158</t>
        </is>
      </c>
      <c r="C199" s="77" t="inlineStr">
        <is>
          <t>SAMAR PRATAP S BIST</t>
        </is>
      </c>
      <c r="D199" s="81" t="n">
        <v>32</v>
      </c>
      <c r="E199" s="81" t="n">
        <v>26</v>
      </c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3">
      <c r="A200" s="20" t="n">
        <v>193</v>
      </c>
      <c r="B200" s="76" t="inlineStr">
        <is>
          <t>25ETCCS159</t>
        </is>
      </c>
      <c r="C200" s="77" t="inlineStr">
        <is>
          <t>SAMEER HUSAIN</t>
        </is>
      </c>
      <c r="D200" s="81" t="n">
        <v>7</v>
      </c>
      <c r="E200" s="81" t="n">
        <v>26</v>
      </c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3">
      <c r="A201" s="20" t="n">
        <v>194</v>
      </c>
      <c r="B201" s="76" t="inlineStr">
        <is>
          <t>25ETCCS160</t>
        </is>
      </c>
      <c r="C201" s="77" t="inlineStr">
        <is>
          <t>SANYAM JAIN</t>
        </is>
      </c>
      <c r="D201" s="81" t="n">
        <v>43</v>
      </c>
      <c r="E201" s="81" t="n">
        <v>26</v>
      </c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3">
      <c r="A202" s="20" t="n">
        <v>195</v>
      </c>
      <c r="B202" s="76" t="inlineStr">
        <is>
          <t>25ETCCS161</t>
        </is>
      </c>
      <c r="C202" s="77" t="inlineStr">
        <is>
          <t>SANYAM PORWAL</t>
        </is>
      </c>
      <c r="D202" s="81" t="n">
        <v>9</v>
      </c>
      <c r="E202" s="81" t="n">
        <v>24</v>
      </c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3">
      <c r="A203" s="20" t="n">
        <v>196</v>
      </c>
      <c r="B203" s="76" t="inlineStr">
        <is>
          <t>25ETCCS162</t>
        </is>
      </c>
      <c r="C203" s="77" t="inlineStr">
        <is>
          <t>SHAGUN HARKAWAT</t>
        </is>
      </c>
      <c r="D203" s="81" t="n">
        <v>42</v>
      </c>
      <c r="E203" s="81" t="n">
        <v>24</v>
      </c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3">
      <c r="A204" s="20" t="n">
        <v>197</v>
      </c>
      <c r="B204" s="76" t="inlineStr">
        <is>
          <t>25ETCCS163</t>
        </is>
      </c>
      <c r="C204" s="77" t="inlineStr">
        <is>
          <t>SHAURYA CHOUDHARY</t>
        </is>
      </c>
      <c r="D204" s="81" t="n">
        <v>33</v>
      </c>
      <c r="E204" s="81" t="n">
        <v>28</v>
      </c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3">
      <c r="A205" s="20" t="n">
        <v>198</v>
      </c>
      <c r="B205" s="76" t="inlineStr">
        <is>
          <t>25ETCCS164</t>
        </is>
      </c>
      <c r="C205" s="77" t="inlineStr">
        <is>
          <t>SHIVAM KUMAR MISHRA</t>
        </is>
      </c>
      <c r="D205" s="81" t="n">
        <v>6</v>
      </c>
      <c r="E205" s="81" t="n">
        <v>30</v>
      </c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3">
      <c r="A206" s="20" t="n">
        <v>199</v>
      </c>
      <c r="B206" s="76" t="inlineStr">
        <is>
          <t>25ETCCS165</t>
        </is>
      </c>
      <c r="C206" s="77" t="inlineStr">
        <is>
          <t>SHIVAM SHRIMALI</t>
        </is>
      </c>
      <c r="D206" s="81" t="n">
        <v>8</v>
      </c>
      <c r="E206" s="81" t="n">
        <v>22</v>
      </c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3">
      <c r="A207" s="20" t="n">
        <v>200</v>
      </c>
      <c r="B207" s="76" t="inlineStr">
        <is>
          <t>25ETCCS166</t>
        </is>
      </c>
      <c r="C207" s="77" t="inlineStr">
        <is>
          <t>SHOURYARAJ SINGH RATHORE</t>
        </is>
      </c>
      <c r="D207" s="81" t="n">
        <v>29</v>
      </c>
      <c r="E207" s="81" t="n">
        <v>22</v>
      </c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3">
      <c r="A208" s="20" t="n">
        <v>201</v>
      </c>
      <c r="B208" s="76" t="inlineStr">
        <is>
          <t>25ETCCS167</t>
        </is>
      </c>
      <c r="C208" s="77" t="inlineStr">
        <is>
          <t>SHREYA SOLANKI</t>
        </is>
      </c>
      <c r="D208" s="81" t="n">
        <v>63</v>
      </c>
      <c r="E208" s="81" t="n">
        <v>30</v>
      </c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3">
      <c r="A209" s="20" t="n">
        <v>202</v>
      </c>
      <c r="B209" s="76" t="inlineStr">
        <is>
          <t>25ETCCS168</t>
        </is>
      </c>
      <c r="C209" s="77" t="inlineStr">
        <is>
          <t>SHUBHAM PUROHIT</t>
        </is>
      </c>
      <c r="D209" s="81" t="n">
        <v>51</v>
      </c>
      <c r="E209" s="81" t="n">
        <v>24</v>
      </c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3">
      <c r="A210" s="20" t="n">
        <v>203</v>
      </c>
      <c r="B210" s="79" t="inlineStr">
        <is>
          <t>25ETCCS169</t>
        </is>
      </c>
      <c r="C210" s="78" t="inlineStr">
        <is>
          <t>SHUBHAM SINGH GOUR</t>
        </is>
      </c>
      <c r="D210" s="81" t="n">
        <v>22</v>
      </c>
      <c r="E210" s="81" t="n">
        <v>22</v>
      </c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3">
      <c r="A211" s="20" t="n">
        <v>204</v>
      </c>
      <c r="B211" s="76" t="inlineStr">
        <is>
          <t>25ETCCS170</t>
        </is>
      </c>
      <c r="C211" s="77" t="inlineStr">
        <is>
          <t>SIDDHI JAIN</t>
        </is>
      </c>
      <c r="D211" s="81" t="n">
        <v>55</v>
      </c>
      <c r="E211" s="81" t="n">
        <v>30</v>
      </c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3">
      <c r="A212" s="20" t="n">
        <v>205</v>
      </c>
      <c r="B212" s="76" t="inlineStr">
        <is>
          <t>25ETCCS171</t>
        </is>
      </c>
      <c r="C212" s="77" t="inlineStr">
        <is>
          <t>SWAPNIL KUMAWAT</t>
        </is>
      </c>
      <c r="D212" s="81" t="n">
        <v>25</v>
      </c>
      <c r="E212" s="81" t="n">
        <v>28</v>
      </c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3">
      <c r="A213" s="20" t="n">
        <v>206</v>
      </c>
      <c r="B213" s="76" t="inlineStr">
        <is>
          <t>25ETCCS172</t>
        </is>
      </c>
      <c r="C213" s="77" t="inlineStr">
        <is>
          <t>TANISHQ LODHA</t>
        </is>
      </c>
      <c r="D213" s="81" t="n">
        <v>29</v>
      </c>
      <c r="E213" s="81" t="n">
        <v>26</v>
      </c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3">
      <c r="A214" s="20" t="n">
        <v>207</v>
      </c>
      <c r="B214" s="76" t="inlineStr">
        <is>
          <t>25ETCCS173</t>
        </is>
      </c>
      <c r="C214" s="77" t="inlineStr">
        <is>
          <t>TANMAY SOLANKI</t>
        </is>
      </c>
      <c r="D214" s="81" t="n">
        <v>25</v>
      </c>
      <c r="E214" s="81" t="n">
        <v>26</v>
      </c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3">
      <c r="A215" s="20" t="n">
        <v>208</v>
      </c>
      <c r="B215" s="76" t="inlineStr">
        <is>
          <t>25ETCCS174</t>
        </is>
      </c>
      <c r="C215" s="77" t="inlineStr">
        <is>
          <t>TAUQEER RAZA</t>
        </is>
      </c>
      <c r="D215" s="81" t="n">
        <v>42</v>
      </c>
      <c r="E215" s="81" t="n">
        <v>25</v>
      </c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3">
      <c r="A216" s="20" t="n">
        <v>209</v>
      </c>
      <c r="B216" s="76" t="inlineStr">
        <is>
          <t>25ETCCS175</t>
        </is>
      </c>
      <c r="C216" s="77" t="inlineStr">
        <is>
          <t>TRISHTA PRAJAPAT</t>
        </is>
      </c>
      <c r="D216" s="81" t="n">
        <v>28</v>
      </c>
      <c r="E216" s="81" t="n">
        <v>27</v>
      </c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3">
      <c r="A217" s="20" t="n">
        <v>210</v>
      </c>
      <c r="B217" s="76" t="inlineStr">
        <is>
          <t>25ETCCS176</t>
        </is>
      </c>
      <c r="C217" s="77" t="inlineStr">
        <is>
          <t>VAIBHAV CHOUBISA</t>
        </is>
      </c>
      <c r="D217" s="81" t="n">
        <v>11</v>
      </c>
      <c r="E217" s="81" t="n">
        <v>23</v>
      </c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3">
      <c r="A218" s="20" t="n">
        <v>211</v>
      </c>
      <c r="B218" s="79" t="inlineStr">
        <is>
          <t>25ETCCS177</t>
        </is>
      </c>
      <c r="C218" s="78" t="inlineStr">
        <is>
          <t>VANISHA SANGAWAT</t>
        </is>
      </c>
      <c r="D218" s="81" t="n">
        <v>36</v>
      </c>
      <c r="E218" s="81" t="n">
        <v>30</v>
      </c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3">
      <c r="A219" s="20" t="n">
        <v>212</v>
      </c>
      <c r="B219" s="76" t="inlineStr">
        <is>
          <t>25ETCCS178</t>
        </is>
      </c>
      <c r="C219" s="77" t="inlineStr">
        <is>
          <t>VANSH LOHAR</t>
        </is>
      </c>
      <c r="D219" s="81" t="n">
        <v>25</v>
      </c>
      <c r="E219" s="81" t="n">
        <v>22</v>
      </c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3">
      <c r="A220" s="20" t="n">
        <v>213</v>
      </c>
      <c r="B220" s="83" t="inlineStr">
        <is>
          <t>25ETCCS179</t>
        </is>
      </c>
      <c r="C220" s="84" t="inlineStr">
        <is>
          <t>VIBHOR PALIWAL</t>
        </is>
      </c>
      <c r="D220" s="85" t="n">
        <v>10</v>
      </c>
      <c r="E220" s="85" t="n">
        <v>22</v>
      </c>
      <c r="F220" s="81">
        <f>D220+E220</f>
        <v/>
      </c>
      <c r="G220" s="22">
        <f>IF((D220/$D$6)&gt;=$D$7,1,0)</f>
        <v/>
      </c>
      <c r="H220" s="23">
        <f>IF((E220/$E$6)&gt;=$E$7,1,0)</f>
        <v/>
      </c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9.5" customHeight="1" s="93">
      <c r="A221" s="20" t="n">
        <v>214</v>
      </c>
      <c r="B221" s="83" t="inlineStr">
        <is>
          <t>25ETCCS180</t>
        </is>
      </c>
      <c r="C221" s="84" t="inlineStr">
        <is>
          <t>VIBHUTI MAHESHWARI</t>
        </is>
      </c>
      <c r="D221" s="85" t="n">
        <v>18</v>
      </c>
      <c r="E221" s="85" t="n">
        <v>30</v>
      </c>
      <c r="F221" s="81">
        <f>D221+E221</f>
        <v/>
      </c>
      <c r="G221" s="22">
        <f>IF((D221/$D$6)&gt;=$D$7,1,0)</f>
        <v/>
      </c>
      <c r="H221" s="23">
        <f>IF((E221/$E$6)&gt;=$E$7,1,0)</f>
        <v/>
      </c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9.5" customHeight="1" s="93">
      <c r="A222" s="20" t="n">
        <v>215</v>
      </c>
      <c r="B222" s="83" t="inlineStr">
        <is>
          <t>25ETCCS181</t>
        </is>
      </c>
      <c r="C222" s="84" t="inlineStr">
        <is>
          <t>VIDHI PATEL</t>
        </is>
      </c>
      <c r="D222" s="85" t="n">
        <v>37</v>
      </c>
      <c r="E222" s="85" t="n">
        <v>30</v>
      </c>
      <c r="F222" s="81">
        <f>D222+E222</f>
        <v/>
      </c>
      <c r="G222" s="22">
        <f>IF((D222/$D$6)&gt;=$D$7,1,0)</f>
        <v/>
      </c>
      <c r="H222" s="23">
        <f>IF((E222/$E$6)&gt;=$E$7,1,0)</f>
        <v/>
      </c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9.5" customHeight="1" s="93">
      <c r="A223" s="20" t="n">
        <v>216</v>
      </c>
      <c r="B223" s="83" t="inlineStr">
        <is>
          <t>25ETCCS182</t>
        </is>
      </c>
      <c r="C223" s="84" t="inlineStr">
        <is>
          <t>VIJAY KUMAR SALVI</t>
        </is>
      </c>
      <c r="D223" s="85" t="n">
        <v>10</v>
      </c>
      <c r="E223" s="85" t="n">
        <v>22</v>
      </c>
      <c r="F223" s="81">
        <f>D223+E223</f>
        <v/>
      </c>
      <c r="G223" s="22">
        <f>IF((D223/$D$6)&gt;=$D$7,1,0)</f>
        <v/>
      </c>
      <c r="H223" s="23">
        <f>IF((E223/$E$6)&gt;=$E$7,1,0)</f>
        <v/>
      </c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9.5" customHeight="1" s="93">
      <c r="A224" s="20" t="n">
        <v>217</v>
      </c>
      <c r="B224" s="83" t="inlineStr">
        <is>
          <t>25ETCCS183</t>
        </is>
      </c>
      <c r="C224" s="84" t="inlineStr">
        <is>
          <t>VINEET KUMAR PRAJAPAT</t>
        </is>
      </c>
      <c r="D224" s="85" t="n">
        <v>43</v>
      </c>
      <c r="E224" s="85" t="n">
        <v>22</v>
      </c>
      <c r="F224" s="81">
        <f>D224+E224</f>
        <v/>
      </c>
      <c r="G224" s="22">
        <f>IF((D224/$D$6)&gt;=$D$7,1,0)</f>
        <v/>
      </c>
      <c r="H224" s="23">
        <f>IF((E224/$E$6)&gt;=$E$7,1,0)</f>
        <v/>
      </c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9.5" customHeight="1" s="93">
      <c r="A225" s="20" t="n">
        <v>218</v>
      </c>
      <c r="B225" s="83" t="inlineStr">
        <is>
          <t>25ETCCS184</t>
        </is>
      </c>
      <c r="C225" s="84" t="inlineStr">
        <is>
          <t>YASH DANGI</t>
        </is>
      </c>
      <c r="D225" s="85" t="n">
        <v>35</v>
      </c>
      <c r="E225" s="85" t="n">
        <v>22</v>
      </c>
      <c r="F225" s="81">
        <f>D225+E225</f>
        <v/>
      </c>
      <c r="G225" s="22">
        <f>IF((D225/$D$6)&gt;=$D$7,1,0)</f>
        <v/>
      </c>
      <c r="H225" s="23">
        <f>IF((E225/$E$6)&gt;=$E$7,1,0)</f>
        <v/>
      </c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9.5" customHeight="1" s="93">
      <c r="A226" s="20" t="n">
        <v>219</v>
      </c>
      <c r="B226" s="83" t="inlineStr">
        <is>
          <t>25ETCCS185</t>
        </is>
      </c>
      <c r="C226" s="84" t="inlineStr">
        <is>
          <t>YASH JOSHI</t>
        </is>
      </c>
      <c r="D226" s="85" t="n">
        <v>46</v>
      </c>
      <c r="E226" s="85" t="n">
        <v>24</v>
      </c>
      <c r="F226" s="81">
        <f>D226+E226</f>
        <v/>
      </c>
      <c r="G226" s="22">
        <f>IF((D226/$D$6)&gt;=$D$7,1,0)</f>
        <v/>
      </c>
      <c r="H226" s="23">
        <f>IF((E226/$E$6)&gt;=$E$7,1,0)</f>
        <v/>
      </c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9.5" customHeight="1" s="93">
      <c r="A227" s="20" t="n">
        <v>220</v>
      </c>
      <c r="B227" s="83" t="inlineStr">
        <is>
          <t>25ETCCS186</t>
        </is>
      </c>
      <c r="C227" s="84" t="inlineStr">
        <is>
          <t>YASHASWINI SINGH</t>
        </is>
      </c>
      <c r="D227" s="85" t="n">
        <v>47</v>
      </c>
      <c r="E227" s="85" t="n">
        <v>25</v>
      </c>
      <c r="F227" s="81">
        <f>D227+E227</f>
        <v/>
      </c>
      <c r="G227" s="22">
        <f>IF((D227/$D$6)&gt;=$D$7,1,0)</f>
        <v/>
      </c>
      <c r="H227" s="23">
        <f>IF((E227/$E$6)&gt;=$E$7,1,0)</f>
        <v/>
      </c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9.5" customHeight="1" s="93">
      <c r="A228" s="20" t="n">
        <v>221</v>
      </c>
      <c r="B228" s="83" t="inlineStr">
        <is>
          <t>25ETCCS187</t>
        </is>
      </c>
      <c r="C228" s="84" t="inlineStr">
        <is>
          <t>YOJAN SHARMA</t>
        </is>
      </c>
      <c r="D228" s="85" t="n">
        <v>22</v>
      </c>
      <c r="E228" s="85" t="n">
        <v>28</v>
      </c>
      <c r="F228" s="81">
        <f>D228+E228</f>
        <v/>
      </c>
      <c r="G228" s="22">
        <f>IF((D228/$D$6)&gt;=$D$7,1,0)</f>
        <v/>
      </c>
      <c r="H228" s="23">
        <f>IF((E228/$E$6)&gt;=$E$7,1,0)</f>
        <v/>
      </c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9.5" customHeight="1" s="93">
      <c r="A229" s="20" t="n">
        <v>222</v>
      </c>
      <c r="B229" s="83" t="inlineStr">
        <is>
          <t>25ETCCS188</t>
        </is>
      </c>
      <c r="C229" s="84" t="inlineStr">
        <is>
          <t>YUVRAJ CHOUDHARY</t>
        </is>
      </c>
      <c r="D229" s="85" t="n">
        <v>24</v>
      </c>
      <c r="E229" s="85" t="n">
        <v>23</v>
      </c>
      <c r="F229" s="81">
        <f>D229+E229</f>
        <v/>
      </c>
      <c r="G229" s="22">
        <f>IF((D229/$D$6)&gt;=$D$7,1,0)</f>
        <v/>
      </c>
      <c r="H229" s="23">
        <f>IF((E229/$E$6)&gt;=$E$7,1,0)</f>
        <v/>
      </c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9.5" customHeight="1" s="93">
      <c r="A230" s="20" t="n">
        <v>223</v>
      </c>
      <c r="B230" s="83" t="inlineStr">
        <is>
          <t>25ETCCS189</t>
        </is>
      </c>
      <c r="C230" s="84" t="inlineStr">
        <is>
          <t>YUVRAJ JOSHI</t>
        </is>
      </c>
      <c r="D230" s="85" t="n">
        <v>22</v>
      </c>
      <c r="E230" s="85" t="n">
        <v>27</v>
      </c>
      <c r="F230" s="81">
        <f>D230+E230</f>
        <v/>
      </c>
      <c r="G230" s="22">
        <f>IF((D230/$D$6)&gt;=$D$7,1,0)</f>
        <v/>
      </c>
      <c r="H230" s="23">
        <f>IF((E230/$E$6)&gt;=$E$7,1,0)</f>
        <v/>
      </c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9.5" customHeight="1" s="93">
      <c r="A231" s="20" t="n">
        <v>224</v>
      </c>
      <c r="B231" s="83" t="inlineStr">
        <is>
          <t>25ETCEC002</t>
        </is>
      </c>
      <c r="C231" s="84" t="inlineStr">
        <is>
          <t>AMAN SINGH KANAWAT</t>
        </is>
      </c>
      <c r="D231" s="85" t="n">
        <v>56</v>
      </c>
      <c r="E231" s="85" t="n">
        <v>30</v>
      </c>
      <c r="F231" s="81">
        <f>D231+E231</f>
        <v/>
      </c>
      <c r="G231" s="22">
        <f>IF((D231/$D$6)&gt;=$D$7,1,0)</f>
        <v/>
      </c>
      <c r="H231" s="23">
        <f>IF((E231/$E$6)&gt;=$E$7,1,0)</f>
        <v/>
      </c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9.5" customHeight="1" s="93">
      <c r="A232" s="20" t="n">
        <v>225</v>
      </c>
      <c r="B232" s="83" t="inlineStr">
        <is>
          <t>25ETCEC003</t>
        </is>
      </c>
      <c r="C232" s="84" t="inlineStr">
        <is>
          <t>BHAWIN JANGID</t>
        </is>
      </c>
      <c r="D232" s="85" t="n">
        <v>48</v>
      </c>
      <c r="E232" s="85" t="n">
        <v>27</v>
      </c>
      <c r="F232" s="81">
        <f>D232+E232</f>
        <v/>
      </c>
      <c r="G232" s="22">
        <f>IF((D232/$D$6)&gt;=$D$7,1,0)</f>
        <v/>
      </c>
      <c r="H232" s="23">
        <f>IF((E232/$E$6)&gt;=$E$7,1,0)</f>
        <v/>
      </c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9.5" customHeight="1" s="93">
      <c r="A233" s="20" t="n">
        <v>226</v>
      </c>
      <c r="B233" s="83" t="inlineStr">
        <is>
          <t>25ETCEC004</t>
        </is>
      </c>
      <c r="C233" s="84" t="inlineStr">
        <is>
          <t>DHAIRYA MEHTA</t>
        </is>
      </c>
      <c r="D233" s="85" t="n">
        <v>35</v>
      </c>
      <c r="E233" s="85" t="n">
        <v>26</v>
      </c>
      <c r="F233" s="81">
        <f>D233+E233</f>
        <v/>
      </c>
      <c r="G233" s="22">
        <f>IF((D233/$D$6)&gt;=$D$7,1,0)</f>
        <v/>
      </c>
      <c r="H233" s="23">
        <f>IF((E233/$E$6)&gt;=$E$7,1,0)</f>
        <v/>
      </c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9.5" customHeight="1" s="93">
      <c r="A234" s="20" t="n">
        <v>227</v>
      </c>
      <c r="B234" s="83" t="inlineStr">
        <is>
          <t>25ETCEC005</t>
        </is>
      </c>
      <c r="C234" s="84" t="inlineStr">
        <is>
          <t>DHRUV KHANDELWAL</t>
        </is>
      </c>
      <c r="D234" s="85" t="n">
        <v>32</v>
      </c>
      <c r="E234" s="85" t="n">
        <v>26</v>
      </c>
      <c r="F234" s="81">
        <f>D234+E234</f>
        <v/>
      </c>
      <c r="G234" s="22">
        <f>IF((D234/$D$6)&gt;=$D$7,1,0)</f>
        <v/>
      </c>
      <c r="H234" s="23">
        <f>IF((E234/$E$6)&gt;=$E$7,1,0)</f>
        <v/>
      </c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9.5" customHeight="1" s="93">
      <c r="A235" s="20" t="n">
        <v>228</v>
      </c>
      <c r="B235" s="83" t="inlineStr">
        <is>
          <t>25ETCEC006</t>
        </is>
      </c>
      <c r="C235" s="84" t="inlineStr">
        <is>
          <t>HAREN PRATAP SINGH KARNOT</t>
        </is>
      </c>
      <c r="D235" s="85" t="n">
        <v>54</v>
      </c>
      <c r="E235" s="85" t="n">
        <v>28</v>
      </c>
      <c r="F235" s="81">
        <f>D235+E235</f>
        <v/>
      </c>
      <c r="G235" s="22">
        <f>IF((D235/$D$6)&gt;=$D$7,1,0)</f>
        <v/>
      </c>
      <c r="H235" s="23">
        <f>IF((E235/$E$6)&gt;=$E$7,1,0)</f>
        <v/>
      </c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9.5" customHeight="1" s="93">
      <c r="A236" s="20" t="n">
        <v>229</v>
      </c>
      <c r="B236" s="83" t="inlineStr">
        <is>
          <t>25ETCEC007</t>
        </is>
      </c>
      <c r="C236" s="84" t="inlineStr">
        <is>
          <t>HEMANSH BYAWAT</t>
        </is>
      </c>
      <c r="D236" s="85" t="n">
        <v>44</v>
      </c>
      <c r="E236" s="85" t="n">
        <v>25</v>
      </c>
      <c r="F236" s="81">
        <f>D236+E236</f>
        <v/>
      </c>
      <c r="G236" s="22">
        <f>IF((D236/$D$6)&gt;=$D$7,1,0)</f>
        <v/>
      </c>
      <c r="H236" s="23">
        <f>IF((E236/$E$6)&gt;=$E$7,1,0)</f>
        <v/>
      </c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9.5" customHeight="1" s="93">
      <c r="A237" s="20" t="n">
        <v>230</v>
      </c>
      <c r="B237" s="83" t="inlineStr">
        <is>
          <t>25ETCEC008</t>
        </is>
      </c>
      <c r="C237" s="84" t="inlineStr">
        <is>
          <t>KAVYANSH SANKHLA</t>
        </is>
      </c>
      <c r="D237" s="85" t="n">
        <v>66</v>
      </c>
      <c r="E237" s="85" t="n">
        <v>30</v>
      </c>
      <c r="F237" s="81">
        <f>D237+E237</f>
        <v/>
      </c>
      <c r="G237" s="22">
        <f>IF((D237/$D$6)&gt;=$D$7,1,0)</f>
        <v/>
      </c>
      <c r="H237" s="23">
        <f>IF((E237/$E$6)&gt;=$E$7,1,0)</f>
        <v/>
      </c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9.5" customHeight="1" s="93">
      <c r="A238" s="20" t="n">
        <v>231</v>
      </c>
      <c r="B238" s="83" t="inlineStr">
        <is>
          <t>25ETCEC009</t>
        </is>
      </c>
      <c r="C238" s="84" t="inlineStr">
        <is>
          <t>KRISHNAKANT JOSHI</t>
        </is>
      </c>
      <c r="D238" s="85" t="n">
        <v>2</v>
      </c>
      <c r="E238" s="85" t="n">
        <v>24</v>
      </c>
      <c r="F238" s="81">
        <f>D238+E238</f>
        <v/>
      </c>
      <c r="G238" s="22">
        <f>IF((D238/$D$6)&gt;=$D$7,1,0)</f>
        <v/>
      </c>
      <c r="H238" s="23">
        <f>IF((E238/$E$6)&gt;=$E$7,1,0)</f>
        <v/>
      </c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9.5" customHeight="1" s="93">
      <c r="A239" s="20" t="n">
        <v>232</v>
      </c>
      <c r="B239" s="83" t="inlineStr">
        <is>
          <t>25ETCEC010</t>
        </is>
      </c>
      <c r="C239" s="84" t="inlineStr">
        <is>
          <t>LAKSHYA JAIN</t>
        </is>
      </c>
      <c r="D239" s="85" t="n">
        <v>0</v>
      </c>
      <c r="E239" s="85" t="n">
        <v>22</v>
      </c>
      <c r="F239" s="81">
        <f>D239+E239</f>
        <v/>
      </c>
      <c r="G239" s="22">
        <f>IF((D239/$D$6)&gt;=$D$7,1,0)</f>
        <v/>
      </c>
      <c r="H239" s="23">
        <f>IF((E239/$E$6)&gt;=$E$7,1,0)</f>
        <v/>
      </c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9.5" customHeight="1" s="93">
      <c r="A240" s="20" t="n">
        <v>233</v>
      </c>
      <c r="B240" s="83" t="inlineStr">
        <is>
          <t>25ETCEC011</t>
        </is>
      </c>
      <c r="C240" s="84" t="inlineStr">
        <is>
          <t>LOKENDRA SINGH RATHORE</t>
        </is>
      </c>
      <c r="D240" s="85" t="n">
        <v>26</v>
      </c>
      <c r="E240" s="85" t="n">
        <v>26</v>
      </c>
      <c r="F240" s="81">
        <f>D240+E240</f>
        <v/>
      </c>
      <c r="G240" s="22">
        <f>IF((D240/$D$6)&gt;=$D$7,1,0)</f>
        <v/>
      </c>
      <c r="H240" s="23">
        <f>IF((E240/$E$6)&gt;=$E$7,1,0)</f>
        <v/>
      </c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9.5" customHeight="1" s="93">
      <c r="A241" s="20" t="n">
        <v>234</v>
      </c>
      <c r="B241" s="83" t="inlineStr">
        <is>
          <t>25ETCEC012</t>
        </is>
      </c>
      <c r="C241" s="84" t="inlineStr">
        <is>
          <t>MANAL JOSHI</t>
        </is>
      </c>
      <c r="D241" s="85" t="n">
        <v>9</v>
      </c>
      <c r="E241" s="85" t="n">
        <v>26</v>
      </c>
      <c r="F241" s="81">
        <f>D241+E241</f>
        <v/>
      </c>
      <c r="G241" s="22">
        <f>IF((D241/$D$6)&gt;=$D$7,1,0)</f>
        <v/>
      </c>
      <c r="H241" s="23">
        <f>IF((E241/$E$6)&gt;=$E$7,1,0)</f>
        <v/>
      </c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9.5" customHeight="1" s="93">
      <c r="A242" s="20" t="n">
        <v>235</v>
      </c>
      <c r="B242" s="83" t="inlineStr">
        <is>
          <t>25ETCEC013</t>
        </is>
      </c>
      <c r="C242" s="84" t="inlineStr">
        <is>
          <t>MEHUL SEN</t>
        </is>
      </c>
      <c r="D242" s="85" t="n">
        <v>48</v>
      </c>
      <c r="E242" s="85" t="n">
        <v>28</v>
      </c>
      <c r="F242" s="81">
        <f>D242+E242</f>
        <v/>
      </c>
      <c r="G242" s="22">
        <f>IF((D242/$D$6)&gt;=$D$7,1,0)</f>
        <v/>
      </c>
      <c r="H242" s="23">
        <f>IF((E242/$E$6)&gt;=$E$7,1,0)</f>
        <v/>
      </c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9.5" customHeight="1" s="93">
      <c r="A243" s="20" t="n">
        <v>236</v>
      </c>
      <c r="B243" s="83" t="inlineStr">
        <is>
          <t>25ETCEC014</t>
        </is>
      </c>
      <c r="C243" s="84" t="inlineStr">
        <is>
          <t>MS.AKSHARA JANGID</t>
        </is>
      </c>
      <c r="D243" s="85" t="n">
        <v>14</v>
      </c>
      <c r="E243" s="85" t="n">
        <v>25</v>
      </c>
      <c r="F243" s="81">
        <f>D243+E243</f>
        <v/>
      </c>
      <c r="G243" s="22">
        <f>IF((D243/$D$6)&gt;=$D$7,1,0)</f>
        <v/>
      </c>
      <c r="H243" s="23">
        <f>IF((E243/$E$6)&gt;=$E$7,1,0)</f>
        <v/>
      </c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9.5" customHeight="1" s="93">
      <c r="A244" s="20" t="n">
        <v>237</v>
      </c>
      <c r="B244" s="83" t="inlineStr">
        <is>
          <t>25ETCEC015</t>
        </is>
      </c>
      <c r="C244" s="84" t="inlineStr">
        <is>
          <t>MS.CHARVI BHAGTANI</t>
        </is>
      </c>
      <c r="D244" s="85" t="n">
        <v>46</v>
      </c>
      <c r="E244" s="85" t="n">
        <v>30</v>
      </c>
      <c r="F244" s="81">
        <f>D244+E244</f>
        <v/>
      </c>
      <c r="G244" s="22">
        <f>IF((D244/$D$6)&gt;=$D$7,1,0)</f>
        <v/>
      </c>
      <c r="H244" s="23">
        <f>IF((E244/$E$6)&gt;=$E$7,1,0)</f>
        <v/>
      </c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9.5" customHeight="1" s="93">
      <c r="A245" s="20" t="n">
        <v>238</v>
      </c>
      <c r="B245" s="83" t="inlineStr">
        <is>
          <t>25ETCEC016</t>
        </is>
      </c>
      <c r="C245" s="84" t="inlineStr">
        <is>
          <t>MS.MINAL KALRA</t>
        </is>
      </c>
      <c r="D245" s="85" t="n">
        <v>35</v>
      </c>
      <c r="E245" s="85" t="n">
        <v>27</v>
      </c>
      <c r="F245" s="81">
        <f>D245+E245</f>
        <v/>
      </c>
      <c r="G245" s="22">
        <f>IF((D245/$D$6)&gt;=$D$7,1,0)</f>
        <v/>
      </c>
      <c r="H245" s="23">
        <f>IF((E245/$E$6)&gt;=$E$7,1,0)</f>
        <v/>
      </c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9.5" customHeight="1" s="93">
      <c r="A246" s="20" t="n">
        <v>239</v>
      </c>
      <c r="B246" s="83" t="inlineStr">
        <is>
          <t>25ETCEC017</t>
        </is>
      </c>
      <c r="C246" s="84" t="inlineStr">
        <is>
          <t>MUKUL SUTHAR</t>
        </is>
      </c>
      <c r="D246" s="85" t="n">
        <v>4</v>
      </c>
      <c r="E246" s="85" t="n">
        <v>24</v>
      </c>
      <c r="F246" s="81">
        <f>D246+E246</f>
        <v/>
      </c>
      <c r="G246" s="22">
        <f>IF((D246/$D$6)&gt;=$D$7,1,0)</f>
        <v/>
      </c>
      <c r="H246" s="23">
        <f>IF((E246/$E$6)&gt;=$E$7,1,0)</f>
        <v/>
      </c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9.5" customHeight="1" s="93">
      <c r="A247" s="20" t="n">
        <v>240</v>
      </c>
      <c r="B247" s="83" t="inlineStr">
        <is>
          <t>25ETCEC018</t>
        </is>
      </c>
      <c r="C247" s="84" t="inlineStr">
        <is>
          <t>NITESH TELI</t>
        </is>
      </c>
      <c r="D247" s="85" t="n">
        <v>29</v>
      </c>
      <c r="E247" s="85" t="n">
        <v>25</v>
      </c>
      <c r="F247" s="81">
        <f>D247+E247</f>
        <v/>
      </c>
      <c r="G247" s="22">
        <f>IF((D247/$D$6)&gt;=$D$7,1,0)</f>
        <v/>
      </c>
      <c r="H247" s="23">
        <f>IF((E247/$E$6)&gt;=$E$7,1,0)</f>
        <v/>
      </c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9.5" customHeight="1" s="93">
      <c r="A248" s="20" t="n">
        <v>241</v>
      </c>
      <c r="B248" s="83" t="inlineStr">
        <is>
          <t>25ETCEC019</t>
        </is>
      </c>
      <c r="C248" s="84" t="inlineStr">
        <is>
          <t>SAHIL TIWARI</t>
        </is>
      </c>
      <c r="D248" s="85" t="n">
        <v>0</v>
      </c>
      <c r="E248" s="85" t="n">
        <v>22</v>
      </c>
      <c r="F248" s="81">
        <f>D248+E248</f>
        <v/>
      </c>
      <c r="G248" s="22">
        <f>IF((D248/$D$6)&gt;=$D$7,1,0)</f>
        <v/>
      </c>
      <c r="H248" s="23">
        <f>IF((E248/$E$6)&gt;=$E$7,1,0)</f>
        <v/>
      </c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9.5" customHeight="1" s="93">
      <c r="A249" s="20" t="n">
        <v>242</v>
      </c>
      <c r="B249" s="83" t="inlineStr">
        <is>
          <t>25ETCEC020</t>
        </is>
      </c>
      <c r="C249" s="84" t="inlineStr">
        <is>
          <t>SAMIKSHA VYAS</t>
        </is>
      </c>
      <c r="D249" s="85" t="n">
        <v>14</v>
      </c>
      <c r="E249" s="85" t="n">
        <v>25</v>
      </c>
      <c r="F249" s="81">
        <f>D249+E249</f>
        <v/>
      </c>
      <c r="G249" s="22">
        <f>IF((D249/$D$6)&gt;=$D$7,1,0)</f>
        <v/>
      </c>
      <c r="H249" s="23">
        <f>IF((E249/$E$6)&gt;=$E$7,1,0)</f>
        <v/>
      </c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9.5" customHeight="1" s="93">
      <c r="A250" s="20" t="n">
        <v>243</v>
      </c>
      <c r="B250" s="83" t="inlineStr">
        <is>
          <t>25ETCEC021</t>
        </is>
      </c>
      <c r="C250" s="84" t="inlineStr">
        <is>
          <t>SHEKHAR NAT</t>
        </is>
      </c>
      <c r="D250" s="85" t="n">
        <v>4</v>
      </c>
      <c r="E250" s="85" t="n">
        <v>25</v>
      </c>
      <c r="F250" s="81">
        <f>D250+E250</f>
        <v/>
      </c>
      <c r="G250" s="22">
        <f>IF((D250/$D$6)&gt;=$D$7,1,0)</f>
        <v/>
      </c>
      <c r="H250" s="23">
        <f>IF((E250/$E$6)&gt;=$E$7,1,0)</f>
        <v/>
      </c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9.5" customHeight="1" s="93">
      <c r="A251" s="20" t="n">
        <v>244</v>
      </c>
      <c r="B251" s="83" t="inlineStr">
        <is>
          <t>25ETCEC022</t>
        </is>
      </c>
      <c r="C251" s="84" t="inlineStr">
        <is>
          <t>SOMYA BOLIA</t>
        </is>
      </c>
      <c r="D251" s="85" t="n">
        <v>37</v>
      </c>
      <c r="E251" s="85" t="n">
        <v>26</v>
      </c>
      <c r="F251" s="81">
        <f>D251+E251</f>
        <v/>
      </c>
      <c r="G251" s="22">
        <f>IF((D251/$D$6)&gt;=$D$7,1,0)</f>
        <v/>
      </c>
      <c r="H251" s="23">
        <f>IF((E251/$E$6)&gt;=$E$7,1,0)</f>
        <v/>
      </c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9.5" customHeight="1" s="93">
      <c r="A252" s="20" t="n">
        <v>245</v>
      </c>
      <c r="B252" s="83" t="inlineStr">
        <is>
          <t>25ETCEC023</t>
        </is>
      </c>
      <c r="C252" s="84" t="inlineStr">
        <is>
          <t>TOSHIT JAIN</t>
        </is>
      </c>
      <c r="D252" s="85" t="n">
        <v>30</v>
      </c>
      <c r="E252" s="85" t="n">
        <v>24</v>
      </c>
      <c r="F252" s="81">
        <f>D252+E252</f>
        <v/>
      </c>
      <c r="G252" s="22">
        <f>IF((D252/$D$6)&gt;=$D$7,1,0)</f>
        <v/>
      </c>
      <c r="H252" s="23">
        <f>IF((E252/$E$6)&gt;=$E$7,1,0)</f>
        <v/>
      </c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9.5" customHeight="1" s="93">
      <c r="A253" s="20" t="n">
        <v>246</v>
      </c>
      <c r="B253" s="83" t="inlineStr">
        <is>
          <t>25ETCEC024</t>
        </is>
      </c>
      <c r="C253" s="84" t="inlineStr">
        <is>
          <t>VAISHNAV CHANDA MADANLAA</t>
        </is>
      </c>
      <c r="D253" s="85" t="n">
        <v>26</v>
      </c>
      <c r="E253" s="85" t="n">
        <v>24</v>
      </c>
      <c r="F253" s="81">
        <f>D253+E253</f>
        <v/>
      </c>
      <c r="G253" s="22">
        <f>IF((D253/$D$6)&gt;=$D$7,1,0)</f>
        <v/>
      </c>
      <c r="H253" s="23">
        <f>IF((E253/$E$6)&gt;=$E$7,1,0)</f>
        <v/>
      </c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9.5" customHeight="1" s="93">
      <c r="A254" s="20" t="n">
        <v>247</v>
      </c>
      <c r="B254" s="83" t="inlineStr">
        <is>
          <t>25ETCEC025</t>
        </is>
      </c>
      <c r="C254" s="84" t="inlineStr">
        <is>
          <t>VIJAY GIRI GOSWAMI</t>
        </is>
      </c>
      <c r="D254" s="85" t="n">
        <v>46</v>
      </c>
      <c r="E254" s="85" t="n">
        <v>30</v>
      </c>
      <c r="F254" s="81">
        <f>D254+E254</f>
        <v/>
      </c>
      <c r="G254" s="22">
        <f>IF((D254/$D$6)&gt;=$D$7,1,0)</f>
        <v/>
      </c>
      <c r="H254" s="23">
        <f>IF((E254/$E$6)&gt;=$E$7,1,0)</f>
        <v/>
      </c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9.5" customHeight="1" s="93">
      <c r="A255" s="20" t="n">
        <v>248</v>
      </c>
      <c r="B255" s="83" t="inlineStr">
        <is>
          <t>25ETCEC026</t>
        </is>
      </c>
      <c r="C255" s="84" t="inlineStr">
        <is>
          <t>VISHWAJEET SINGH RAO</t>
        </is>
      </c>
      <c r="D255" s="85" t="n">
        <v>52</v>
      </c>
      <c r="E255" s="85" t="n">
        <v>30</v>
      </c>
      <c r="F255" s="81">
        <f>D255+E255</f>
        <v/>
      </c>
      <c r="G255" s="22">
        <f>IF((D255/$D$6)&gt;=$D$7,1,0)</f>
        <v/>
      </c>
      <c r="H255" s="23">
        <f>IF((E255/$E$6)&gt;=$E$7,1,0)</f>
        <v/>
      </c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9.5" customHeight="1" s="93">
      <c r="A256" s="20" t="n">
        <v>249</v>
      </c>
      <c r="B256" s="83" t="inlineStr">
        <is>
          <t>25ETCEC027</t>
        </is>
      </c>
      <c r="C256" s="84" t="inlineStr">
        <is>
          <t>YASH SONI</t>
        </is>
      </c>
      <c r="D256" s="85" t="n">
        <v>20</v>
      </c>
      <c r="E256" s="85" t="n">
        <v>26</v>
      </c>
      <c r="F256" s="81">
        <f>D256+E256</f>
        <v/>
      </c>
      <c r="G256" s="22">
        <f>IF((D256/$D$6)&gt;=$D$7,1,0)</f>
        <v/>
      </c>
      <c r="H256" s="23">
        <f>IF((E256/$E$6)&gt;=$E$7,1,0)</f>
        <v/>
      </c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9.5" customHeight="1" s="93">
      <c r="A257" s="20" t="n"/>
      <c r="B257" s="26" t="n"/>
      <c r="C257" s="27" t="n"/>
      <c r="D257" s="28" t="n">
        <v>249</v>
      </c>
      <c r="E257" s="28" t="n">
        <v>249</v>
      </c>
      <c r="F257" s="25" t="n"/>
      <c r="G257" s="15">
        <f>COUNTIF(G8:G256,1)</f>
        <v/>
      </c>
      <c r="H257" s="15">
        <f>COUNTIF(H8:H256,1)</f>
        <v/>
      </c>
    </row>
    <row r="258" ht="15.75" customHeight="1" s="93">
      <c r="A258" s="29" t="inlineStr">
        <is>
          <t>CO Attainment Calculation</t>
        </is>
      </c>
      <c r="B258" s="30" t="n"/>
      <c r="C258" s="31" t="n"/>
      <c r="D258" s="32" t="inlineStr">
        <is>
          <t>% of students get &gt;= Target %</t>
        </is>
      </c>
      <c r="E258" s="32" t="inlineStr">
        <is>
          <t>CO Attainment Level</t>
        </is>
      </c>
      <c r="F258" s="32" t="inlineStr">
        <is>
          <t>Signature Subject Teacher</t>
        </is>
      </c>
      <c r="G258" s="128" t="n"/>
      <c r="H258" s="129" t="n"/>
    </row>
    <row r="259" ht="19.5" customHeight="1" s="93">
      <c r="A259" s="29" t="inlineStr">
        <is>
          <t>Attainment of End Term Exam</t>
        </is>
      </c>
      <c r="B259" s="30" t="n"/>
      <c r="C259" s="31" t="n"/>
      <c r="D259" s="33">
        <f>ROUND((G257/D257*100),0)</f>
        <v/>
      </c>
      <c r="E259" s="32">
        <f>IF(D259&gt;100,"ERROR",IF(D259&gt;=61,3,IF(D259&gt;=46,2,IF(D259&gt;=16,1,IF(D259&gt;15,0,0)))))</f>
        <v/>
      </c>
      <c r="F259" s="34" t="n"/>
      <c r="G259" s="35" t="n"/>
      <c r="H259" s="36" t="n"/>
    </row>
    <row r="260" ht="19.5" customHeight="1" s="93">
      <c r="A260" s="29" t="inlineStr">
        <is>
          <t>Attainment of Sessional Exam</t>
        </is>
      </c>
      <c r="B260" s="30" t="n"/>
      <c r="C260" s="31" t="n"/>
      <c r="D260" s="33">
        <f>ROUND((H257/E257*100),0)</f>
        <v/>
      </c>
      <c r="E260" s="33">
        <f>IF(D260&gt;100,"ERROR",IF(D260&gt;=61,3,IF(D260&gt;=46,2,IF(D260&gt;=16,1,IF(D260&gt;15,0,0)))))</f>
        <v/>
      </c>
      <c r="F260" s="37" t="n"/>
      <c r="G260" s="38" t="n"/>
      <c r="H260" s="39" t="n"/>
    </row>
    <row r="261" ht="15.75" customHeight="1" s="93">
      <c r="D261" s="40" t="n"/>
      <c r="E261" s="40" t="n"/>
    </row>
    <row r="262" ht="15.75" customHeight="1" s="93">
      <c r="D262" s="40" t="n"/>
      <c r="E262" s="40" t="n"/>
    </row>
    <row r="263" ht="15.75" customHeight="1" s="93">
      <c r="D263" s="40" t="n"/>
      <c r="E263" s="40" t="n"/>
    </row>
    <row r="264" ht="15.75" customHeight="1" s="93">
      <c r="D264" s="40" t="n"/>
      <c r="E264" s="40" t="n"/>
    </row>
    <row r="265" ht="15.75" customHeight="1" s="93">
      <c r="D265" s="40" t="n"/>
      <c r="E265" s="40" t="n"/>
    </row>
    <row r="266" ht="15.75" customHeight="1" s="93">
      <c r="D266" s="40" t="n"/>
      <c r="E266" s="40" t="n"/>
    </row>
    <row r="267" ht="15.75" customHeight="1" s="93">
      <c r="D267" s="40" t="n"/>
      <c r="E267" s="40" t="n"/>
    </row>
    <row r="268" ht="15.75" customHeight="1" s="93">
      <c r="D268" s="40" t="n"/>
      <c r="E268" s="40" t="n"/>
    </row>
    <row r="269" ht="15.75" customHeight="1" s="93">
      <c r="D269" s="40" t="n"/>
      <c r="E269" s="40" t="n"/>
    </row>
    <row r="270" ht="15.75" customHeight="1" s="93">
      <c r="D270" s="40" t="n"/>
      <c r="E270" s="40" t="n"/>
    </row>
    <row r="271" ht="15.75" customHeight="1" s="93">
      <c r="D271" s="40" t="n"/>
      <c r="E271" s="40" t="n"/>
    </row>
    <row r="272" ht="15.75" customHeight="1" s="93">
      <c r="D272" s="40" t="n"/>
      <c r="E272" s="40" t="n"/>
    </row>
    <row r="273" ht="15.75" customHeight="1" s="93">
      <c r="D273" s="40" t="n"/>
      <c r="E273" s="40" t="n"/>
    </row>
    <row r="274" ht="15.75" customHeight="1" s="93">
      <c r="D274" s="40" t="n"/>
      <c r="E274" s="40" t="n"/>
    </row>
    <row r="275" ht="15.75" customHeight="1" s="93">
      <c r="D275" s="40" t="n"/>
      <c r="E275" s="40" t="n"/>
    </row>
    <row r="276" ht="15.75" customHeight="1" s="93">
      <c r="D276" s="40" t="n"/>
      <c r="E276" s="40" t="n"/>
    </row>
    <row r="277" ht="15.75" customHeight="1" s="93">
      <c r="D277" s="40" t="n"/>
      <c r="E277" s="40" t="n"/>
    </row>
    <row r="278" ht="15.75" customHeight="1" s="93">
      <c r="D278" s="40" t="n"/>
      <c r="E278" s="40" t="n"/>
    </row>
    <row r="279" ht="15.75" customHeight="1" s="93">
      <c r="D279" s="40" t="n"/>
      <c r="E279" s="40" t="n"/>
    </row>
    <row r="280" ht="15.75" customHeight="1" s="93">
      <c r="D280" s="40" t="n"/>
      <c r="E280" s="40" t="n"/>
    </row>
    <row r="281" ht="15.75" customHeight="1" s="93">
      <c r="D281" s="40" t="n"/>
      <c r="E281" s="40" t="n"/>
    </row>
    <row r="282" ht="15.75" customHeight="1" s="93">
      <c r="D282" s="40" t="n"/>
      <c r="E282" s="40" t="n"/>
    </row>
    <row r="283" ht="15.75" customHeight="1" s="93">
      <c r="D283" s="40" t="n"/>
      <c r="E283" s="40" t="n"/>
    </row>
    <row r="284" ht="15.75" customHeight="1" s="93">
      <c r="D284" s="40" t="n"/>
      <c r="E284" s="40" t="n"/>
    </row>
    <row r="285" ht="15.75" customHeight="1" s="93">
      <c r="D285" s="40" t="n"/>
      <c r="E285" s="40" t="n"/>
    </row>
    <row r="286" ht="15.75" customHeight="1" s="93">
      <c r="D286" s="40" t="n"/>
      <c r="E286" s="40" t="n"/>
    </row>
    <row r="287" ht="15.75" customHeight="1" s="93">
      <c r="D287" s="40" t="n"/>
      <c r="E287" s="40" t="n"/>
    </row>
    <row r="288" ht="15.75" customHeight="1" s="93">
      <c r="D288" s="40" t="n"/>
      <c r="E288" s="40" t="n"/>
    </row>
    <row r="289" ht="15.75" customHeight="1" s="93">
      <c r="D289" s="40" t="n"/>
      <c r="E289" s="40" t="n"/>
    </row>
    <row r="290" ht="15.75" customHeight="1" s="93">
      <c r="D290" s="40" t="n"/>
      <c r="E290" s="40" t="n"/>
    </row>
    <row r="291" ht="15.75" customHeight="1" s="93">
      <c r="D291" s="40" t="n"/>
      <c r="E291" s="40" t="n"/>
    </row>
    <row r="292" ht="15.75" customHeight="1" s="93">
      <c r="D292" s="40" t="n"/>
      <c r="E292" s="40" t="n"/>
    </row>
    <row r="293" ht="15.75" customHeight="1" s="93">
      <c r="D293" s="40" t="n"/>
      <c r="E293" s="40" t="n"/>
    </row>
    <row r="294" ht="15.75" customHeight="1" s="93">
      <c r="D294" s="40" t="n"/>
      <c r="E294" s="40" t="n"/>
    </row>
    <row r="295" ht="15.75" customHeight="1" s="93">
      <c r="D295" s="40" t="n"/>
      <c r="E295" s="40" t="n"/>
    </row>
    <row r="296" ht="15.75" customHeight="1" s="93">
      <c r="D296" s="40" t="n"/>
      <c r="E296" s="40" t="n"/>
    </row>
    <row r="297" ht="15.75" customHeight="1" s="93">
      <c r="D297" s="40" t="n"/>
      <c r="E297" s="40" t="n"/>
    </row>
    <row r="298" ht="15.75" customHeight="1" s="93">
      <c r="D298" s="40" t="n"/>
      <c r="E298" s="40" t="n"/>
    </row>
    <row r="299" ht="15.75" customHeight="1" s="93">
      <c r="D299" s="40" t="n"/>
      <c r="E299" s="40" t="n"/>
    </row>
    <row r="300" ht="15.75" customHeight="1" s="93">
      <c r="D300" s="40" t="n"/>
      <c r="E300" s="40" t="n"/>
    </row>
    <row r="301" ht="15.75" customHeight="1" s="93">
      <c r="D301" s="40" t="n"/>
      <c r="E301" s="40" t="n"/>
    </row>
    <row r="302" ht="15.75" customHeight="1" s="93">
      <c r="D302" s="40" t="n"/>
      <c r="E302" s="40" t="n"/>
    </row>
    <row r="303" ht="15.75" customHeight="1" s="93">
      <c r="D303" s="40" t="n"/>
      <c r="E303" s="40" t="n"/>
    </row>
    <row r="304" ht="15.75" customHeight="1" s="93">
      <c r="D304" s="40" t="n"/>
      <c r="E304" s="40" t="n"/>
    </row>
    <row r="305" ht="15.75" customHeight="1" s="93">
      <c r="D305" s="40" t="n"/>
      <c r="E305" s="40" t="n"/>
    </row>
    <row r="306" ht="15.75" customHeight="1" s="93">
      <c r="D306" s="40" t="n"/>
      <c r="E306" s="40" t="n"/>
    </row>
    <row r="307" ht="15.75" customHeight="1" s="93">
      <c r="D307" s="40" t="n"/>
      <c r="E307" s="40" t="n"/>
    </row>
    <row r="308" ht="15.75" customHeight="1" s="93">
      <c r="D308" s="40" t="n"/>
      <c r="E308" s="40" t="n"/>
    </row>
    <row r="309" ht="15.75" customHeight="1" s="93">
      <c r="D309" s="40" t="n"/>
      <c r="E309" s="40" t="n"/>
    </row>
    <row r="310" ht="15.75" customHeight="1" s="93">
      <c r="D310" s="40" t="n"/>
      <c r="E310" s="40" t="n"/>
    </row>
    <row r="311" ht="15.75" customHeight="1" s="93">
      <c r="D311" s="40" t="n"/>
      <c r="E311" s="40" t="n"/>
    </row>
    <row r="312" ht="15.75" customHeight="1" s="93">
      <c r="D312" s="40" t="n"/>
      <c r="E312" s="40" t="n"/>
    </row>
    <row r="313" ht="15.75" customHeight="1" s="93">
      <c r="D313" s="40" t="n"/>
      <c r="E313" s="40" t="n"/>
    </row>
    <row r="314" ht="15.75" customHeight="1" s="93">
      <c r="D314" s="40" t="n"/>
      <c r="E314" s="40" t="n"/>
    </row>
    <row r="315" ht="15.75" customHeight="1" s="93">
      <c r="D315" s="40" t="n"/>
      <c r="E315" s="40" t="n"/>
    </row>
    <row r="316" ht="15.75" customHeight="1" s="93">
      <c r="D316" s="40" t="n"/>
      <c r="E316" s="40" t="n"/>
    </row>
    <row r="317" ht="15.75" customHeight="1" s="93">
      <c r="D317" s="40" t="n"/>
      <c r="E317" s="40" t="n"/>
    </row>
    <row r="318" ht="15.75" customHeight="1" s="93">
      <c r="D318" s="40" t="n"/>
      <c r="E318" s="40" t="n"/>
    </row>
    <row r="319" ht="15.75" customHeight="1" s="93">
      <c r="D319" s="40" t="n"/>
      <c r="E319" s="40" t="n"/>
    </row>
    <row r="320" ht="15.75" customHeight="1" s="93">
      <c r="D320" s="40" t="n"/>
      <c r="E320" s="40" t="n"/>
    </row>
    <row r="321" ht="15.75" customHeight="1" s="93">
      <c r="D321" s="40" t="n"/>
      <c r="E321" s="40" t="n"/>
    </row>
    <row r="322" ht="15.75" customHeight="1" s="93">
      <c r="D322" s="40" t="n"/>
      <c r="E322" s="40" t="n"/>
    </row>
    <row r="323" ht="15.75" customHeight="1" s="93">
      <c r="D323" s="40" t="n"/>
      <c r="E323" s="40" t="n"/>
    </row>
    <row r="324" ht="15.75" customHeight="1" s="93">
      <c r="D324" s="40" t="n"/>
      <c r="E324" s="40" t="n"/>
    </row>
    <row r="325" ht="15.75" customHeight="1" s="93">
      <c r="D325" s="40" t="n"/>
      <c r="E325" s="40" t="n"/>
    </row>
    <row r="326" ht="15.75" customHeight="1" s="93">
      <c r="D326" s="40" t="n"/>
      <c r="E326" s="40" t="n"/>
    </row>
    <row r="327" ht="15.75" customHeight="1" s="93">
      <c r="D327" s="40" t="n"/>
      <c r="E327" s="40" t="n"/>
    </row>
    <row r="328" ht="15.75" customHeight="1" s="93">
      <c r="D328" s="40" t="n"/>
      <c r="E328" s="40" t="n"/>
    </row>
    <row r="329" ht="15.75" customHeight="1" s="93">
      <c r="D329" s="40" t="n"/>
      <c r="E329" s="40" t="n"/>
    </row>
    <row r="330" ht="15.75" customHeight="1" s="93">
      <c r="D330" s="40" t="n"/>
      <c r="E330" s="40" t="n"/>
    </row>
    <row r="331" ht="15.75" customHeight="1" s="93">
      <c r="D331" s="40" t="n"/>
      <c r="E331" s="40" t="n"/>
    </row>
    <row r="332" ht="15.75" customHeight="1" s="93">
      <c r="D332" s="40" t="n"/>
      <c r="E332" s="40" t="n"/>
    </row>
    <row r="333" ht="15.75" customHeight="1" s="93">
      <c r="D333" s="40" t="n"/>
      <c r="E333" s="40" t="n"/>
    </row>
    <row r="334" ht="15.75" customHeight="1" s="93">
      <c r="D334" s="40" t="n"/>
      <c r="E334" s="40" t="n"/>
    </row>
    <row r="335" ht="15.75" customHeight="1" s="93">
      <c r="D335" s="40" t="n"/>
      <c r="E335" s="40" t="n"/>
    </row>
    <row r="336" ht="15.75" customHeight="1" s="93">
      <c r="D336" s="40" t="n"/>
      <c r="E336" s="40" t="n"/>
    </row>
    <row r="337" ht="15.75" customHeight="1" s="93">
      <c r="D337" s="40" t="n"/>
      <c r="E337" s="40" t="n"/>
    </row>
    <row r="338" ht="15.75" customHeight="1" s="93">
      <c r="D338" s="40" t="n"/>
      <c r="E338" s="40" t="n"/>
    </row>
    <row r="339" ht="15.75" customHeight="1" s="93">
      <c r="D339" s="40" t="n"/>
      <c r="E339" s="40" t="n"/>
    </row>
    <row r="340" ht="15.75" customHeight="1" s="93">
      <c r="D340" s="40" t="n"/>
      <c r="E340" s="40" t="n"/>
    </row>
    <row r="341" ht="15.75" customHeight="1" s="93">
      <c r="D341" s="40" t="n"/>
      <c r="E341" s="40" t="n"/>
    </row>
    <row r="342" ht="15.75" customHeight="1" s="93">
      <c r="D342" s="40" t="n"/>
      <c r="E342" s="40" t="n"/>
    </row>
    <row r="343" ht="15.75" customHeight="1" s="93">
      <c r="D343" s="40" t="n"/>
      <c r="E343" s="40" t="n"/>
    </row>
    <row r="344" ht="15.75" customHeight="1" s="93">
      <c r="D344" s="40" t="n"/>
      <c r="E344" s="40" t="n"/>
    </row>
    <row r="345" ht="15.75" customHeight="1" s="93">
      <c r="D345" s="40" t="n"/>
      <c r="E345" s="40" t="n"/>
    </row>
    <row r="346" ht="15.75" customHeight="1" s="93">
      <c r="D346" s="40" t="n"/>
      <c r="E346" s="40" t="n"/>
    </row>
    <row r="347" ht="15.75" customHeight="1" s="93">
      <c r="D347" s="40" t="n"/>
      <c r="E347" s="40" t="n"/>
    </row>
    <row r="348" ht="15.75" customHeight="1" s="93">
      <c r="D348" s="40" t="n"/>
      <c r="E348" s="40" t="n"/>
    </row>
    <row r="349" ht="15.75" customHeight="1" s="93">
      <c r="D349" s="40" t="n"/>
      <c r="E349" s="40" t="n"/>
    </row>
    <row r="350" ht="15.75" customHeight="1" s="93">
      <c r="D350" s="40" t="n"/>
      <c r="E350" s="40" t="n"/>
    </row>
    <row r="351" ht="15.75" customHeight="1" s="93">
      <c r="D351" s="40" t="n"/>
      <c r="E351" s="40" t="n"/>
    </row>
    <row r="352" ht="15.75" customHeight="1" s="93">
      <c r="D352" s="40" t="n"/>
      <c r="E352" s="40" t="n"/>
    </row>
    <row r="353" ht="15.75" customHeight="1" s="93">
      <c r="D353" s="40" t="n"/>
      <c r="E353" s="40" t="n"/>
    </row>
    <row r="354" ht="15.75" customHeight="1" s="93">
      <c r="D354" s="40" t="n"/>
      <c r="E354" s="40" t="n"/>
    </row>
    <row r="355" ht="15.75" customHeight="1" s="93">
      <c r="D355" s="40" t="n"/>
      <c r="E355" s="40" t="n"/>
    </row>
    <row r="356" ht="15.75" customHeight="1" s="93">
      <c r="D356" s="40" t="n"/>
      <c r="E356" s="40" t="n"/>
    </row>
    <row r="357" ht="15.75" customHeight="1" s="93">
      <c r="D357" s="40" t="n"/>
      <c r="E357" s="40" t="n"/>
    </row>
    <row r="358" ht="15.75" customHeight="1" s="93">
      <c r="D358" s="40" t="n"/>
      <c r="E358" s="40" t="n"/>
    </row>
    <row r="359" ht="15.75" customHeight="1" s="93">
      <c r="D359" s="40" t="n"/>
      <c r="E359" s="40" t="n"/>
    </row>
    <row r="360" ht="15.75" customHeight="1" s="93">
      <c r="D360" s="40" t="n"/>
      <c r="E360" s="40" t="n"/>
    </row>
    <row r="361" ht="15.75" customHeight="1" s="93">
      <c r="D361" s="40" t="n"/>
      <c r="E361" s="40" t="n"/>
    </row>
    <row r="362" ht="15.75" customHeight="1" s="93">
      <c r="D362" s="40" t="n"/>
      <c r="E362" s="40" t="n"/>
    </row>
    <row r="363" ht="15.75" customHeight="1" s="93">
      <c r="D363" s="40" t="n"/>
      <c r="E363" s="40" t="n"/>
    </row>
    <row r="364" ht="15.75" customHeight="1" s="93">
      <c r="D364" s="40" t="n"/>
      <c r="E364" s="40" t="n"/>
    </row>
    <row r="365" ht="15.75" customHeight="1" s="93">
      <c r="D365" s="40" t="n"/>
      <c r="E365" s="40" t="n"/>
    </row>
    <row r="366" ht="15.75" customHeight="1" s="93">
      <c r="D366" s="40" t="n"/>
      <c r="E366" s="40" t="n"/>
    </row>
    <row r="367" ht="15.75" customHeight="1" s="93">
      <c r="D367" s="40" t="n"/>
      <c r="E367" s="40" t="n"/>
    </row>
    <row r="368" ht="15.75" customHeight="1" s="93">
      <c r="D368" s="40" t="n"/>
      <c r="E368" s="40" t="n"/>
    </row>
    <row r="369" ht="15.75" customHeight="1" s="93">
      <c r="D369" s="40" t="n"/>
      <c r="E369" s="40" t="n"/>
    </row>
    <row r="370" ht="15.75" customHeight="1" s="93">
      <c r="D370" s="40" t="n"/>
      <c r="E370" s="40" t="n"/>
    </row>
    <row r="371" ht="15.75" customHeight="1" s="93">
      <c r="D371" s="40" t="n"/>
      <c r="E371" s="40" t="n"/>
    </row>
    <row r="372" ht="15.75" customHeight="1" s="93">
      <c r="D372" s="40" t="n"/>
      <c r="E372" s="40" t="n"/>
    </row>
    <row r="373" ht="15.75" customHeight="1" s="93">
      <c r="D373" s="40" t="n"/>
      <c r="E373" s="40" t="n"/>
    </row>
    <row r="374" ht="15.75" customHeight="1" s="93">
      <c r="D374" s="40" t="n"/>
      <c r="E374" s="40" t="n"/>
    </row>
    <row r="375" ht="15.75" customHeight="1" s="93">
      <c r="D375" s="40" t="n"/>
      <c r="E375" s="40" t="n"/>
    </row>
    <row r="376" ht="15.75" customHeight="1" s="93">
      <c r="D376" s="40" t="n"/>
      <c r="E376" s="40" t="n"/>
    </row>
    <row r="377" ht="15.75" customHeight="1" s="93">
      <c r="D377" s="40" t="n"/>
      <c r="E377" s="40" t="n"/>
    </row>
    <row r="378" ht="15.75" customHeight="1" s="93">
      <c r="D378" s="40" t="n"/>
      <c r="E378" s="40" t="n"/>
    </row>
    <row r="379" ht="15.75" customHeight="1" s="93">
      <c r="D379" s="40" t="n"/>
      <c r="E379" s="40" t="n"/>
    </row>
    <row r="380" ht="15.75" customHeight="1" s="93">
      <c r="D380" s="40" t="n"/>
      <c r="E380" s="40" t="n"/>
    </row>
    <row r="381" ht="15.75" customHeight="1" s="93">
      <c r="D381" s="40" t="n"/>
      <c r="E381" s="40" t="n"/>
    </row>
    <row r="382" ht="15.75" customHeight="1" s="93">
      <c r="D382" s="40" t="n"/>
      <c r="E382" s="40" t="n"/>
    </row>
    <row r="383" ht="15.75" customHeight="1" s="93">
      <c r="D383" s="40" t="n"/>
      <c r="E383" s="40" t="n"/>
    </row>
    <row r="384" ht="15.75" customHeight="1" s="93">
      <c r="D384" s="40" t="n"/>
      <c r="E384" s="40" t="n"/>
    </row>
    <row r="385" ht="15.75" customHeight="1" s="93">
      <c r="D385" s="40" t="n"/>
      <c r="E385" s="40" t="n"/>
    </row>
    <row r="386" ht="15.75" customHeight="1" s="93">
      <c r="D386" s="40" t="n"/>
      <c r="E386" s="40" t="n"/>
    </row>
    <row r="387" ht="15.75" customHeight="1" s="93">
      <c r="D387" s="40" t="n"/>
      <c r="E387" s="40" t="n"/>
    </row>
    <row r="388" ht="15.75" customHeight="1" s="93">
      <c r="D388" s="40" t="n"/>
      <c r="E388" s="40" t="n"/>
    </row>
    <row r="389" ht="15.75" customHeight="1" s="93">
      <c r="D389" s="40" t="n"/>
      <c r="E389" s="40" t="n"/>
    </row>
    <row r="390" ht="15.75" customHeight="1" s="93">
      <c r="D390" s="40" t="n"/>
      <c r="E390" s="40" t="n"/>
    </row>
    <row r="391" ht="15.75" customHeight="1" s="93">
      <c r="D391" s="40" t="n"/>
      <c r="E391" s="40" t="n"/>
    </row>
    <row r="392" ht="15.75" customHeight="1" s="93">
      <c r="D392" s="40" t="n"/>
      <c r="E392" s="40" t="n"/>
    </row>
    <row r="393" ht="15.75" customHeight="1" s="93">
      <c r="D393" s="40" t="n"/>
      <c r="E393" s="40" t="n"/>
    </row>
    <row r="394" ht="15.75" customHeight="1" s="93">
      <c r="D394" s="40" t="n"/>
      <c r="E394" s="40" t="n"/>
    </row>
    <row r="395" ht="15.75" customHeight="1" s="93">
      <c r="D395" s="40" t="n"/>
      <c r="E395" s="40" t="n"/>
    </row>
    <row r="396" ht="15.75" customHeight="1" s="93">
      <c r="D396" s="40" t="n"/>
      <c r="E396" s="40" t="n"/>
    </row>
    <row r="397" ht="15.75" customHeight="1" s="93">
      <c r="D397" s="40" t="n"/>
      <c r="E397" s="40" t="n"/>
    </row>
    <row r="398" ht="15.75" customHeight="1" s="93">
      <c r="D398" s="40" t="n"/>
      <c r="E398" s="40" t="n"/>
    </row>
    <row r="399" ht="15.75" customHeight="1" s="93">
      <c r="D399" s="40" t="n"/>
      <c r="E399" s="40" t="n"/>
    </row>
    <row r="400" ht="15.75" customHeight="1" s="93">
      <c r="D400" s="40" t="n"/>
      <c r="E400" s="40" t="n"/>
    </row>
    <row r="401" ht="15.75" customHeight="1" s="93">
      <c r="D401" s="40" t="n"/>
      <c r="E401" s="40" t="n"/>
    </row>
    <row r="402" ht="15.75" customHeight="1" s="93">
      <c r="D402" s="40" t="n"/>
      <c r="E402" s="40" t="n"/>
    </row>
    <row r="403" ht="15.75" customHeight="1" s="93">
      <c r="D403" s="40" t="n"/>
      <c r="E403" s="40" t="n"/>
    </row>
    <row r="404" ht="15.75" customHeight="1" s="93">
      <c r="D404" s="40" t="n"/>
      <c r="E404" s="40" t="n"/>
    </row>
    <row r="405" ht="15.75" customHeight="1" s="93">
      <c r="D405" s="40" t="n"/>
      <c r="E405" s="40" t="n"/>
    </row>
    <row r="406" ht="15.75" customHeight="1" s="93">
      <c r="D406" s="40" t="n"/>
      <c r="E406" s="40" t="n"/>
    </row>
    <row r="407" ht="15.75" customHeight="1" s="93">
      <c r="D407" s="40" t="n"/>
      <c r="E407" s="40" t="n"/>
    </row>
    <row r="408" ht="15.75" customHeight="1" s="93">
      <c r="D408" s="40" t="n"/>
      <c r="E408" s="40" t="n"/>
    </row>
    <row r="409" ht="15.75" customHeight="1" s="93">
      <c r="D409" s="40" t="n"/>
      <c r="E409" s="40" t="n"/>
    </row>
    <row r="410" ht="15.75" customHeight="1" s="93">
      <c r="D410" s="40" t="n"/>
      <c r="E410" s="40" t="n"/>
    </row>
    <row r="411" ht="15.75" customHeight="1" s="93">
      <c r="D411" s="40" t="n"/>
      <c r="E411" s="40" t="n"/>
    </row>
    <row r="412" ht="15.75" customHeight="1" s="93">
      <c r="D412" s="40" t="n"/>
      <c r="E412" s="40" t="n"/>
    </row>
    <row r="413" ht="15.75" customHeight="1" s="93">
      <c r="D413" s="40" t="n"/>
      <c r="E413" s="40" t="n"/>
    </row>
    <row r="414" ht="15.75" customHeight="1" s="93">
      <c r="D414" s="40" t="n"/>
      <c r="E414" s="40" t="n"/>
    </row>
    <row r="415" ht="15.75" customHeight="1" s="93">
      <c r="D415" s="40" t="n"/>
      <c r="E415" s="40" t="n"/>
    </row>
    <row r="416" ht="15.75" customHeight="1" s="93">
      <c r="D416" s="40" t="n"/>
      <c r="E416" s="40" t="n"/>
    </row>
    <row r="417" ht="15.75" customHeight="1" s="93">
      <c r="D417" s="40" t="n"/>
      <c r="E417" s="40" t="n"/>
    </row>
    <row r="418" ht="15.75" customHeight="1" s="93">
      <c r="D418" s="40" t="n"/>
      <c r="E418" s="40" t="n"/>
    </row>
    <row r="419" ht="15.75" customHeight="1" s="93">
      <c r="D419" s="40" t="n"/>
      <c r="E419" s="40" t="n"/>
    </row>
    <row r="420" ht="15.75" customHeight="1" s="93">
      <c r="D420" s="40" t="n"/>
      <c r="E420" s="40" t="n"/>
    </row>
    <row r="421" ht="15.75" customHeight="1" s="93">
      <c r="D421" s="40" t="n"/>
      <c r="E421" s="40" t="n"/>
    </row>
    <row r="422" ht="15.75" customHeight="1" s="93">
      <c r="D422" s="40" t="n"/>
      <c r="E422" s="40" t="n"/>
    </row>
    <row r="423" ht="15.75" customHeight="1" s="93">
      <c r="D423" s="40" t="n"/>
      <c r="E423" s="40" t="n"/>
    </row>
    <row r="424" ht="15.75" customHeight="1" s="93">
      <c r="D424" s="40" t="n"/>
      <c r="E424" s="40" t="n"/>
    </row>
    <row r="425" ht="15.75" customHeight="1" s="93">
      <c r="D425" s="40" t="n"/>
      <c r="E425" s="40" t="n"/>
    </row>
    <row r="426" ht="15.75" customHeight="1" s="93">
      <c r="D426" s="40" t="n"/>
      <c r="E426" s="40" t="n"/>
    </row>
    <row r="427" ht="15.75" customHeight="1" s="93">
      <c r="D427" s="40" t="n"/>
      <c r="E427" s="40" t="n"/>
    </row>
    <row r="428" ht="15.75" customHeight="1" s="93">
      <c r="D428" s="40" t="n"/>
      <c r="E428" s="40" t="n"/>
    </row>
    <row r="429" ht="15.75" customHeight="1" s="93">
      <c r="D429" s="40" t="n"/>
      <c r="E429" s="40" t="n"/>
    </row>
    <row r="430" ht="15.75" customHeight="1" s="93">
      <c r="D430" s="40" t="n"/>
      <c r="E430" s="40" t="n"/>
    </row>
    <row r="431" ht="15.75" customHeight="1" s="93">
      <c r="D431" s="40" t="n"/>
      <c r="E431" s="40" t="n"/>
    </row>
    <row r="432" ht="15.75" customHeight="1" s="93">
      <c r="D432" s="40" t="n"/>
      <c r="E432" s="40" t="n"/>
    </row>
    <row r="433" ht="15.75" customHeight="1" s="93">
      <c r="D433" s="40" t="n"/>
      <c r="E433" s="40" t="n"/>
    </row>
    <row r="434" ht="15.75" customHeight="1" s="93">
      <c r="D434" s="40" t="n"/>
      <c r="E434" s="40" t="n"/>
    </row>
    <row r="435" ht="15.75" customHeight="1" s="93">
      <c r="D435" s="40" t="n"/>
      <c r="E435" s="40" t="n"/>
    </row>
    <row r="436" ht="15.75" customHeight="1" s="93">
      <c r="D436" s="40" t="n"/>
      <c r="E436" s="40" t="n"/>
    </row>
    <row r="437" ht="15.75" customHeight="1" s="93">
      <c r="D437" s="40" t="n"/>
      <c r="E437" s="40" t="n"/>
    </row>
    <row r="438" ht="15.75" customHeight="1" s="93">
      <c r="D438" s="40" t="n"/>
      <c r="E438" s="40" t="n"/>
    </row>
    <row r="439" ht="15.75" customHeight="1" s="93">
      <c r="D439" s="40" t="n"/>
      <c r="E439" s="40" t="n"/>
    </row>
    <row r="440" ht="15.75" customHeight="1" s="93">
      <c r="D440" s="40" t="n"/>
      <c r="E440" s="40" t="n"/>
    </row>
    <row r="441" ht="15.75" customHeight="1" s="93">
      <c r="D441" s="40" t="n"/>
      <c r="E441" s="40" t="n"/>
    </row>
    <row r="442" ht="15.75" customHeight="1" s="93">
      <c r="D442" s="40" t="n"/>
      <c r="E442" s="40" t="n"/>
    </row>
    <row r="443" ht="15.75" customHeight="1" s="93">
      <c r="D443" s="40" t="n"/>
      <c r="E443" s="40" t="n"/>
    </row>
    <row r="444" ht="15.75" customHeight="1" s="93">
      <c r="D444" s="40" t="n"/>
      <c r="E444" s="40" t="n"/>
    </row>
    <row r="445" ht="15.75" customHeight="1" s="93">
      <c r="D445" s="40" t="n"/>
      <c r="E445" s="40" t="n"/>
    </row>
    <row r="446" ht="15.75" customHeight="1" s="93">
      <c r="D446" s="40" t="n"/>
      <c r="E446" s="40" t="n"/>
    </row>
    <row r="447" ht="15.75" customHeight="1" s="93">
      <c r="D447" s="40" t="n"/>
      <c r="E447" s="40" t="n"/>
    </row>
    <row r="448" ht="15.75" customHeight="1" s="93">
      <c r="D448" s="40" t="n"/>
      <c r="E448" s="40" t="n"/>
    </row>
    <row r="449" ht="15.75" customHeight="1" s="93">
      <c r="D449" s="40" t="n"/>
      <c r="E449" s="40" t="n"/>
    </row>
    <row r="450" ht="15.75" customHeight="1" s="93">
      <c r="D450" s="40" t="n"/>
      <c r="E450" s="40" t="n"/>
    </row>
    <row r="451" ht="15.75" customHeight="1" s="93">
      <c r="D451" s="40" t="n"/>
      <c r="E451" s="40" t="n"/>
    </row>
    <row r="452" ht="15.75" customHeight="1" s="93">
      <c r="D452" s="40" t="n"/>
      <c r="E452" s="40" t="n"/>
    </row>
    <row r="453" ht="15.75" customHeight="1" s="93">
      <c r="D453" s="40" t="n"/>
      <c r="E453" s="40" t="n"/>
    </row>
    <row r="454" ht="15.75" customHeight="1" s="93">
      <c r="D454" s="40" t="n"/>
      <c r="E454" s="40" t="n"/>
    </row>
    <row r="455" ht="15.75" customHeight="1" s="93">
      <c r="D455" s="40" t="n"/>
      <c r="E455" s="40" t="n"/>
    </row>
    <row r="456" ht="15.75" customHeight="1" s="93">
      <c r="D456" s="40" t="n"/>
      <c r="E456" s="40" t="n"/>
    </row>
    <row r="457" ht="15.75" customHeight="1" s="93">
      <c r="D457" s="40" t="n"/>
      <c r="E457" s="40" t="n"/>
    </row>
    <row r="458" ht="15.75" customHeight="1" s="93">
      <c r="D458" s="40" t="n"/>
      <c r="E458" s="40" t="n"/>
    </row>
    <row r="459" ht="15.75" customHeight="1" s="93">
      <c r="D459" s="40" t="n"/>
      <c r="E459" s="40" t="n"/>
    </row>
    <row r="460" ht="15.75" customHeight="1" s="93">
      <c r="D460" s="40" t="n"/>
      <c r="E460" s="40" t="n"/>
    </row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  <row r="1001" ht="15.75" customHeight="1" s="93"/>
    <row r="1002" ht="15.75" customHeight="1" s="93"/>
    <row r="1003" ht="15.75" customHeight="1" s="93"/>
    <row r="1004" ht="15.75" customHeight="1" s="93"/>
    <row r="1005" ht="15.75" customHeight="1" s="93"/>
    <row r="1006" ht="15.75" customHeight="1" s="93"/>
    <row r="1007" ht="15.75" customHeight="1" s="93"/>
    <row r="1008" ht="15.75" customHeight="1" s="93"/>
    <row r="1009" ht="15.75" customHeight="1" s="93"/>
    <row r="1010" ht="15.75" customHeight="1" s="93"/>
    <row r="1011" ht="15.75" customHeight="1" s="93"/>
    <row r="1012" ht="15.75" customHeight="1" s="93"/>
    <row r="1013" ht="15.75" customHeight="1" s="93"/>
    <row r="1014" ht="15.75" customHeight="1" s="93"/>
    <row r="1015" ht="15.75" customHeight="1" s="93"/>
    <row r="1016" ht="15.75" customHeight="1" s="93"/>
    <row r="1017" ht="15.75" customHeight="1" s="93"/>
    <row r="1018" ht="15.75" customHeight="1" s="93"/>
    <row r="1019" ht="15.75" customHeight="1" s="93"/>
    <row r="1020" ht="15.75" customHeight="1" s="93"/>
    <row r="1021" ht="15.75" customHeight="1" s="93"/>
    <row r="1022" ht="15.75" customHeight="1" s="93"/>
    <row r="1023" ht="15.75" customHeight="1" s="93"/>
    <row r="1024" ht="15.75" customHeight="1" s="93"/>
    <row r="1025" ht="15.75" customHeight="1" s="93"/>
    <row r="1026" ht="15.75" customHeight="1" s="93"/>
    <row r="1027" ht="15.75" customHeight="1" s="93"/>
    <row r="1028" ht="15.75" customHeight="1" s="93"/>
    <row r="1029" ht="15.75" customHeight="1" s="93"/>
    <row r="1030" ht="15.75" customHeight="1" s="93"/>
    <row r="1031" ht="15.75" customHeight="1" s="93"/>
    <row r="1032" ht="15.75" customHeight="1" s="93"/>
    <row r="1033" ht="15.75" customHeight="1" s="93"/>
    <row r="1034" ht="15.75" customHeight="1" s="93"/>
    <row r="1035" ht="15.75" customHeight="1" s="93"/>
    <row r="1036" ht="15.75" customHeight="1" s="93"/>
    <row r="1037" ht="15.75" customHeight="1" s="93"/>
    <row r="1038" ht="15.75" customHeight="1" s="93"/>
    <row r="1039" ht="15.75" customHeight="1" s="93"/>
    <row r="1040" ht="15.75" customHeight="1" s="93"/>
    <row r="1041" ht="15.75" customHeight="1" s="93"/>
    <row r="1042" ht="15.75" customHeight="1" s="93"/>
    <row r="1043" ht="15.75" customHeight="1" s="93"/>
    <row r="1044" ht="15.75" customHeight="1" s="93"/>
    <row r="1045" ht="15.75" customHeight="1" s="93"/>
    <row r="1046" ht="15.75" customHeight="1" s="93"/>
    <row r="1047" ht="15.75" customHeight="1" s="93"/>
    <row r="1048" ht="15.75" customHeight="1" s="93"/>
    <row r="1049" ht="15.75" customHeight="1" s="93"/>
    <row r="1050" ht="15.75" customHeight="1" s="93"/>
    <row r="1051" ht="15.75" customHeight="1" s="93"/>
    <row r="1052" ht="15.75" customHeight="1" s="93"/>
    <row r="1053" ht="15.75" customHeight="1" s="93"/>
    <row r="1054" ht="15.75" customHeight="1" s="93"/>
    <row r="1055" ht="15.75" customHeight="1" s="93"/>
    <row r="1056" ht="15.75" customHeight="1" s="93"/>
    <row r="1057" ht="15.75" customHeight="1" s="93"/>
    <row r="1058" ht="15.75" customHeight="1" s="93"/>
    <row r="1059" ht="15.75" customHeight="1" s="93"/>
    <row r="1060" ht="15.75" customHeight="1" s="93"/>
    <row r="1061" ht="15.75" customHeight="1" s="93"/>
    <row r="1062" ht="15.75" customHeight="1" s="93"/>
    <row r="1063" ht="15.75" customHeight="1" s="93"/>
    <row r="1064" ht="15.75" customHeight="1" s="93"/>
    <row r="1065" ht="15.75" customHeight="1" s="93"/>
    <row r="1066" ht="15.75" customHeight="1" s="93"/>
    <row r="1067" ht="15.75" customHeight="1" s="93"/>
    <row r="1068" ht="15.75" customHeight="1" s="93"/>
    <row r="1069" ht="15.75" customHeight="1" s="93"/>
    <row r="1070" ht="15.75" customHeight="1" s="93"/>
    <row r="1071" ht="15.75" customHeight="1" s="93"/>
  </sheetData>
  <mergeCells count="9">
    <mergeCell ref="A5:A6"/>
    <mergeCell ref="A4:H4"/>
    <mergeCell ref="A3:H3"/>
    <mergeCell ref="A2:H2"/>
    <mergeCell ref="G5:H5"/>
    <mergeCell ref="F258:H258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256">
    <cfRule type="containsText" priority="3" operator="containsText" dxfId="1" text="AB">
      <formula>NOT(ISERROR(SEARCH(("AB"),(F8))))</formula>
    </cfRule>
  </conditionalFormatting>
  <conditionalFormatting sqref="G8:H256">
    <cfRule type="cellIs" priority="8" operator="equal" dxfId="0">
      <formula>0</formula>
    </cfRule>
  </conditionalFormatting>
  <conditionalFormatting sqref="E8:E256">
    <cfRule type="cellIs" priority="19" operator="equal" dxfId="0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3" min="1" max="1"/>
    <col width="8.8984375" customWidth="1" style="93" min="2" max="2"/>
    <col width="12.8984375" customWidth="1" style="93" min="3" max="3"/>
    <col width="13.19921875" customWidth="1" style="93" min="4" max="4"/>
    <col width="11" customWidth="1" style="93" min="5" max="5"/>
    <col width="12.69921875" customWidth="1" style="93" min="6" max="7"/>
    <col width="17.69921875" customWidth="1" style="93" min="8" max="8"/>
    <col width="13.19921875" customWidth="1" style="93" min="9" max="9"/>
    <col width="12.69921875" customWidth="1" style="93" min="10" max="26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9" t="n"/>
    </row>
    <row r="2" ht="19.5" customHeight="1" s="93">
      <c r="A2" s="15" t="inlineStr">
        <is>
          <t xml:space="preserve">Attainment of Subject </t>
        </is>
      </c>
      <c r="B2" s="128" t="n"/>
      <c r="C2" s="128" t="n"/>
      <c r="D2" s="128" t="n"/>
      <c r="E2" s="128" t="n"/>
      <c r="F2" s="128" t="n"/>
      <c r="G2" s="128" t="n"/>
      <c r="H2" s="128" t="n"/>
      <c r="I2" s="129" t="n"/>
    </row>
    <row r="3" ht="19.5" customHeight="1" s="93">
      <c r="A3" s="15">
        <f>'CO-PO Mapping'!A3:P3</f>
        <v/>
      </c>
      <c r="B3" s="128" t="n"/>
      <c r="C3" s="128" t="n"/>
      <c r="D3" s="128" t="n"/>
      <c r="E3" s="128" t="n"/>
      <c r="F3" s="128" t="n"/>
      <c r="G3" s="128" t="n"/>
      <c r="H3" s="128" t="n"/>
      <c r="I3" s="129" t="n"/>
    </row>
    <row r="4" ht="19.5" customHeight="1" s="93">
      <c r="A4" s="15">
        <f>'CO-PO Mapping'!A4:P4</f>
        <v/>
      </c>
      <c r="B4" s="128" t="n"/>
      <c r="C4" s="128" t="n"/>
      <c r="D4" s="128" t="n"/>
      <c r="E4" s="128" t="n"/>
      <c r="F4" s="128" t="n"/>
      <c r="G4" s="128" t="n"/>
      <c r="H4" s="128" t="n"/>
      <c r="I4" s="129" t="n"/>
    </row>
    <row r="5" ht="78" customHeight="1" s="93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3">
      <c r="A6" s="41">
        <f>'CO-PO Mapping'!A11</f>
        <v/>
      </c>
      <c r="B6" s="41" t="inlineStr">
        <is>
          <t>5CS2-03</t>
        </is>
      </c>
      <c r="C6" s="41">
        <f>'Sessional + End Term Assessment'!D259</f>
        <v/>
      </c>
      <c r="D6" s="41">
        <f>'Sessional + End Term Assessment'!E259</f>
        <v/>
      </c>
      <c r="E6" s="41">
        <f>D6*'Sessional + End Term Assessment'!D6/'Sessional + End Term Assessment'!F6</f>
        <v/>
      </c>
      <c r="F6" s="41">
        <f>'Sessional + End Term Assessment'!D260</f>
        <v/>
      </c>
      <c r="G6" s="41">
        <f>'Sessional + End Term Assessment'!E260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3">
      <c r="A7" s="33" t="inlineStr">
        <is>
          <t>Signature HOD</t>
        </is>
      </c>
      <c r="B7" s="131" t="n"/>
      <c r="C7" s="131" t="n"/>
      <c r="D7" s="131" t="n"/>
      <c r="E7" s="131" t="n"/>
      <c r="F7" s="132" t="n"/>
      <c r="G7" s="32" t="inlineStr">
        <is>
          <t>Signature Subject Teacher</t>
        </is>
      </c>
      <c r="H7" s="128" t="n"/>
      <c r="I7" s="129" t="n"/>
    </row>
    <row r="8" ht="13.8" customHeight="1" s="93">
      <c r="A8" s="133" t="n"/>
      <c r="F8" s="134" t="n"/>
      <c r="G8" s="33" t="n"/>
      <c r="H8" s="131" t="n"/>
      <c r="I8" s="132" t="n"/>
    </row>
    <row r="9" ht="13.8" customHeight="1" s="93">
      <c r="A9" s="135" t="n"/>
      <c r="B9" s="136" t="n"/>
      <c r="C9" s="136" t="n"/>
      <c r="D9" s="136" t="n"/>
      <c r="E9" s="136" t="n"/>
      <c r="F9" s="137" t="n"/>
      <c r="G9" s="135" t="n"/>
      <c r="H9" s="136" t="n"/>
      <c r="I9" s="137" t="n"/>
    </row>
    <row r="21" ht="15.75" customHeight="1" s="93"/>
    <row r="22" ht="15.75" customHeight="1" s="93"/>
    <row r="23" ht="15.75" customHeight="1" s="93"/>
    <row r="24" ht="15.75" customHeight="1" s="93"/>
    <row r="25" ht="15.75" customHeight="1" s="93"/>
    <row r="26" ht="15.75" customHeight="1" s="93"/>
    <row r="27" ht="15.75" customHeight="1" s="93"/>
    <row r="28" ht="15.75" customHeight="1" s="93"/>
    <row r="29" ht="15.75" customHeight="1" s="93"/>
    <row r="30" ht="15.75" customHeight="1" s="93"/>
    <row r="31" ht="15.75" customHeight="1" s="93"/>
    <row r="32" ht="15.75" customHeight="1" s="93"/>
    <row r="33" ht="15.75" customHeight="1" s="93"/>
    <row r="34" ht="15.75" customHeight="1" s="93"/>
    <row r="35" ht="15.75" customHeight="1" s="93"/>
    <row r="36" ht="15.75" customHeight="1" s="93"/>
    <row r="37" ht="15.75" customHeight="1" s="93"/>
    <row r="38" ht="15.75" customHeight="1" s="93"/>
    <row r="39" ht="15.75" customHeight="1" s="93"/>
    <row r="40" ht="15.75" customHeight="1" s="93"/>
    <row r="41" ht="15.75" customHeight="1" s="93"/>
    <row r="42" ht="15.75" customHeight="1" s="93"/>
    <row r="43" ht="15.75" customHeight="1" s="93"/>
    <row r="44" ht="15.75" customHeight="1" s="93"/>
    <row r="45" ht="15.75" customHeight="1" s="93"/>
    <row r="46" ht="15.75" customHeight="1" s="93"/>
    <row r="47" ht="15.75" customHeight="1" s="93"/>
    <row r="48" ht="15.75" customHeight="1" s="93"/>
    <row r="49" ht="15.75" customHeight="1" s="93"/>
    <row r="50" ht="15.75" customHeight="1" s="93"/>
    <row r="51" ht="15.75" customHeight="1" s="93"/>
    <row r="52" ht="15.75" customHeight="1" s="93"/>
    <row r="53" ht="15.75" customHeight="1" s="93"/>
    <row r="54" ht="15.75" customHeight="1" s="93"/>
    <row r="55" ht="15.75" customHeight="1" s="93"/>
    <row r="56" ht="15.75" customHeight="1" s="93"/>
    <row r="57" ht="15.75" customHeight="1" s="93"/>
    <row r="58" ht="15.75" customHeight="1" s="93"/>
    <row r="59" ht="15.75" customHeight="1" s="93"/>
    <row r="60" ht="15.75" customHeight="1" s="93"/>
    <row r="61" ht="15.75" customHeight="1" s="93"/>
    <row r="62" ht="15.75" customHeight="1" s="93"/>
    <row r="63" ht="15.75" customHeight="1" s="93"/>
    <row r="64" ht="15.75" customHeight="1" s="93"/>
    <row r="65" ht="15.75" customHeight="1" s="93"/>
    <row r="66" ht="15.75" customHeight="1" s="93"/>
    <row r="67" ht="15.75" customHeight="1" s="93"/>
    <row r="68" ht="15.75" customHeight="1" s="93"/>
    <row r="69" ht="15.75" customHeight="1" s="93"/>
    <row r="70" ht="15.75" customHeight="1" s="93"/>
    <row r="71" ht="15.75" customHeight="1" s="93"/>
    <row r="72" ht="15.75" customHeight="1" s="93"/>
    <row r="73" ht="15.75" customHeight="1" s="93"/>
    <row r="74" ht="15.75" customHeight="1" s="93"/>
    <row r="75" ht="15.75" customHeight="1" s="93"/>
    <row r="76" ht="15.75" customHeight="1" s="93"/>
    <row r="77" ht="15.75" customHeight="1" s="93"/>
    <row r="78" ht="15.75" customHeight="1" s="93"/>
    <row r="79" ht="15.75" customHeight="1" s="93"/>
    <row r="80" ht="15.75" customHeight="1" s="93"/>
    <row r="81" ht="15.75" customHeight="1" s="93"/>
    <row r="82" ht="15.75" customHeight="1" s="93"/>
    <row r="83" ht="15.75" customHeight="1" s="93"/>
    <row r="84" ht="15.75" customHeight="1" s="93"/>
    <row r="85" ht="15.75" customHeight="1" s="93"/>
    <row r="86" ht="15.75" customHeight="1" s="93"/>
    <row r="87" ht="15.75" customHeight="1" s="93"/>
    <row r="88" ht="15.75" customHeight="1" s="93"/>
    <row r="89" ht="15.75" customHeight="1" s="93"/>
    <row r="90" ht="15.75" customHeight="1" s="93"/>
    <row r="91" ht="15.75" customHeight="1" s="93"/>
    <row r="92" ht="15.75" customHeight="1" s="93"/>
    <row r="93" ht="15.75" customHeight="1" s="93"/>
    <row r="94" ht="15.75" customHeight="1" s="93"/>
    <row r="95" ht="15.75" customHeight="1" s="93"/>
    <row r="96" ht="15.75" customHeight="1" s="93"/>
    <row r="97" ht="15.75" customHeight="1" s="93"/>
    <row r="98" ht="15.75" customHeight="1" s="93"/>
    <row r="99" ht="15.75" customHeight="1" s="93"/>
    <row r="100" ht="15.75" customHeight="1" s="93"/>
    <row r="101" ht="15.75" customHeight="1" s="93"/>
    <row r="102" ht="15.75" customHeight="1" s="93"/>
    <row r="103" ht="15.75" customHeight="1" s="93"/>
    <row r="104" ht="15.75" customHeight="1" s="93"/>
    <row r="105" ht="15.75" customHeight="1" s="93"/>
    <row r="106" ht="15.75" customHeight="1" s="93"/>
    <row r="107" ht="15.75" customHeight="1" s="93"/>
    <row r="108" ht="15.75" customHeight="1" s="93"/>
    <row r="109" ht="15.75" customHeight="1" s="93"/>
    <row r="110" ht="15.75" customHeight="1" s="93"/>
    <row r="111" ht="15.75" customHeight="1" s="93"/>
    <row r="112" ht="15.75" customHeight="1" s="93"/>
    <row r="113" ht="15.75" customHeight="1" s="93"/>
    <row r="114" ht="15.75" customHeight="1" s="93"/>
    <row r="115" ht="15.75" customHeight="1" s="93"/>
    <row r="116" ht="15.75" customHeight="1" s="93"/>
    <row r="117" ht="15.75" customHeight="1" s="93"/>
    <row r="118" ht="15.75" customHeight="1" s="93"/>
    <row r="119" ht="15.75" customHeight="1" s="93"/>
    <row r="120" ht="15.75" customHeight="1" s="93"/>
    <row r="121" ht="15.75" customHeight="1" s="93"/>
    <row r="122" ht="15.75" customHeight="1" s="93"/>
    <row r="123" ht="15.75" customHeight="1" s="93"/>
    <row r="124" ht="15.75" customHeight="1" s="93"/>
    <row r="125" ht="15.75" customHeight="1" s="93"/>
    <row r="126" ht="15.75" customHeight="1" s="93"/>
    <row r="127" ht="15.75" customHeight="1" s="93"/>
    <row r="128" ht="15.75" customHeight="1" s="93"/>
    <row r="129" ht="15.75" customHeight="1" s="93"/>
    <row r="130" ht="15.75" customHeight="1" s="93"/>
    <row r="131" ht="15.75" customHeight="1" s="93"/>
    <row r="132" ht="15.75" customHeight="1" s="93"/>
    <row r="133" ht="15.75" customHeight="1" s="93"/>
    <row r="134" ht="15.75" customHeight="1" s="93"/>
    <row r="135" ht="15.75" customHeight="1" s="93"/>
    <row r="136" ht="15.75" customHeight="1" s="93"/>
    <row r="137" ht="15.75" customHeight="1" s="93"/>
    <row r="138" ht="15.75" customHeight="1" s="93"/>
    <row r="139" ht="15.75" customHeight="1" s="93"/>
    <row r="140" ht="15.75" customHeight="1" s="93"/>
    <row r="141" ht="15.75" customHeight="1" s="93"/>
    <row r="142" ht="15.75" customHeight="1" s="93"/>
    <row r="143" ht="15.75" customHeight="1" s="93"/>
    <row r="144" ht="15.75" customHeight="1" s="93"/>
    <row r="145" ht="15.75" customHeight="1" s="93"/>
    <row r="146" ht="15.75" customHeight="1" s="93"/>
    <row r="147" ht="15.75" customHeight="1" s="93"/>
    <row r="148" ht="15.75" customHeight="1" s="93"/>
    <row r="149" ht="15.75" customHeight="1" s="93"/>
    <row r="150" ht="15.75" customHeight="1" s="93"/>
    <row r="151" ht="15.75" customHeight="1" s="93"/>
    <row r="152" ht="15.75" customHeight="1" s="93"/>
    <row r="153" ht="15.75" customHeight="1" s="93"/>
    <row r="154" ht="15.75" customHeight="1" s="93"/>
    <row r="155" ht="15.75" customHeight="1" s="93"/>
    <row r="156" ht="15.75" customHeight="1" s="93"/>
    <row r="157" ht="15.75" customHeight="1" s="93"/>
    <row r="158" ht="15.75" customHeight="1" s="93"/>
    <row r="159" ht="15.75" customHeight="1" s="93"/>
    <row r="160" ht="15.75" customHeight="1" s="93"/>
    <row r="161" ht="15.75" customHeight="1" s="93"/>
    <row r="162" ht="15.75" customHeight="1" s="93"/>
    <row r="163" ht="15.75" customHeight="1" s="93"/>
    <row r="164" ht="15.75" customHeight="1" s="93"/>
    <row r="165" ht="15.75" customHeight="1" s="93"/>
    <row r="166" ht="15.75" customHeight="1" s="93"/>
    <row r="167" ht="15.75" customHeight="1" s="93"/>
    <row r="168" ht="15.75" customHeight="1" s="93"/>
    <row r="169" ht="15.75" customHeight="1" s="93"/>
    <row r="170" ht="15.75" customHeight="1" s="93"/>
    <row r="171" ht="15.75" customHeight="1" s="93"/>
    <row r="172" ht="15.75" customHeight="1" s="93"/>
    <row r="173" ht="15.75" customHeight="1" s="93"/>
    <row r="174" ht="15.75" customHeight="1" s="93"/>
    <row r="175" ht="15.75" customHeight="1" s="93"/>
    <row r="176" ht="15.75" customHeight="1" s="93"/>
    <row r="177" ht="15.75" customHeight="1" s="93"/>
    <row r="178" ht="15.75" customHeight="1" s="93"/>
    <row r="179" ht="15.75" customHeight="1" s="93"/>
    <row r="180" ht="15.75" customHeight="1" s="93"/>
    <row r="181" ht="15.75" customHeight="1" s="93"/>
    <row r="182" ht="15.75" customHeight="1" s="93"/>
    <row r="183" ht="15.75" customHeight="1" s="93"/>
    <row r="184" ht="15.75" customHeight="1" s="93"/>
    <row r="185" ht="15.75" customHeight="1" s="93"/>
    <row r="186" ht="15.75" customHeight="1" s="93"/>
    <row r="187" ht="15.75" customHeight="1" s="93"/>
    <row r="188" ht="15.75" customHeight="1" s="93"/>
    <row r="189" ht="15.75" customHeight="1" s="93"/>
    <row r="190" ht="15.75" customHeight="1" s="93"/>
    <row r="191" ht="15.75" customHeight="1" s="93"/>
    <row r="192" ht="15.75" customHeight="1" s="93"/>
    <row r="193" ht="15.75" customHeight="1" s="93"/>
    <row r="194" ht="15.75" customHeight="1" s="93"/>
    <row r="195" ht="15.75" customHeight="1" s="93"/>
    <row r="196" ht="15.75" customHeight="1" s="93"/>
    <row r="197" ht="15.75" customHeight="1" s="93"/>
    <row r="198" ht="15.75" customHeight="1" s="93"/>
    <row r="199" ht="15.75" customHeight="1" s="93"/>
    <row r="200" ht="15.75" customHeight="1" s="93"/>
    <row r="201" ht="15.75" customHeight="1" s="93"/>
    <row r="202" ht="15.75" customHeight="1" s="93"/>
    <row r="203" ht="15.75" customHeight="1" s="93"/>
    <row r="204" ht="15.75" customHeight="1" s="93"/>
    <row r="205" ht="15.75" customHeight="1" s="93"/>
    <row r="206" ht="15.75" customHeight="1" s="93"/>
    <row r="207" ht="15.75" customHeight="1" s="93"/>
    <row r="208" ht="15.75" customHeight="1" s="93"/>
    <row r="209" ht="15.75" customHeight="1" s="93"/>
    <row r="210" ht="15.75" customHeight="1" s="93"/>
    <row r="211" ht="15.75" customHeight="1" s="93"/>
    <row r="212" ht="15.75" customHeight="1" s="93"/>
    <row r="213" ht="15.75" customHeight="1" s="93"/>
    <row r="214" ht="15.75" customHeight="1" s="93"/>
    <row r="215" ht="15.75" customHeight="1" s="93"/>
    <row r="216" ht="15.75" customHeight="1" s="93"/>
    <row r="217" ht="15.75" customHeight="1" s="93"/>
    <row r="218" ht="15.75" customHeight="1" s="93"/>
    <row r="219" ht="15.75" customHeight="1" s="93"/>
    <row r="220" ht="15.75" customHeight="1" s="93"/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3" min="1" max="1"/>
    <col width="7.69921875" customWidth="1" style="93" min="2" max="26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9" t="n"/>
    </row>
    <row r="2" ht="19.5" customHeight="1" s="93">
      <c r="A2" s="15" t="inlineStr">
        <is>
          <t>CO to PO &amp; PSO Attainment Through End Term Assessment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9" t="n"/>
    </row>
    <row r="3" ht="19.5" customHeight="1" s="93">
      <c r="A3" s="15">
        <f>'CO-PO Mapping'!A4:P4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9" t="n"/>
    </row>
    <row r="4" ht="19.5" customHeight="1" s="93">
      <c r="A4" s="15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9" t="n"/>
    </row>
    <row r="5" ht="19.5" customHeight="1" s="93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3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3">
      <c r="A7" s="33" t="inlineStr">
        <is>
          <t>Signature Subject Teacher</t>
        </is>
      </c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9" t="n"/>
      <c r="N7" s="33" t="n"/>
      <c r="O7" s="128" t="n"/>
      <c r="P7" s="129" t="n"/>
    </row>
    <row r="21" ht="15.75" customHeight="1" s="93"/>
    <row r="22" ht="15.75" customHeight="1" s="93"/>
    <row r="23" ht="15.75" customHeight="1" s="93"/>
    <row r="24" ht="15.75" customHeight="1" s="93"/>
    <row r="25" ht="15.75" customHeight="1" s="93"/>
    <row r="26" ht="15.75" customHeight="1" s="93"/>
    <row r="27" ht="15.75" customHeight="1" s="93"/>
    <row r="28" ht="15.75" customHeight="1" s="93"/>
    <row r="29" ht="15.75" customHeight="1" s="93"/>
    <row r="30" ht="15.75" customHeight="1" s="93"/>
    <row r="31" ht="15.75" customHeight="1" s="93"/>
    <row r="32" ht="15.75" customHeight="1" s="93"/>
    <row r="33" ht="15.75" customHeight="1" s="93"/>
    <row r="34" ht="15.75" customHeight="1" s="93"/>
    <row r="35" ht="15.75" customHeight="1" s="93"/>
    <row r="36" ht="15.75" customHeight="1" s="93"/>
    <row r="37" ht="15.75" customHeight="1" s="93"/>
    <row r="38" ht="15.75" customHeight="1" s="93"/>
    <row r="39" ht="15.75" customHeight="1" s="93"/>
    <row r="40" ht="15.75" customHeight="1" s="93"/>
    <row r="41" ht="15.75" customHeight="1" s="93"/>
    <row r="42" ht="15.75" customHeight="1" s="93"/>
    <row r="43" ht="15.75" customHeight="1" s="93"/>
    <row r="44" ht="15.75" customHeight="1" s="93"/>
    <row r="45" ht="15.75" customHeight="1" s="93"/>
    <row r="46" ht="15.75" customHeight="1" s="93"/>
    <row r="47" ht="15.75" customHeight="1" s="93"/>
    <row r="48" ht="15.75" customHeight="1" s="93"/>
    <row r="49" ht="15.75" customHeight="1" s="93"/>
    <row r="50" ht="15.75" customHeight="1" s="93"/>
    <row r="51" ht="15.75" customHeight="1" s="93"/>
    <row r="52" ht="15.75" customHeight="1" s="93"/>
    <row r="53" ht="15.75" customHeight="1" s="93"/>
    <row r="54" ht="15.75" customHeight="1" s="93"/>
    <row r="55" ht="15.75" customHeight="1" s="93"/>
    <row r="56" ht="15.75" customHeight="1" s="93"/>
    <row r="57" ht="15.75" customHeight="1" s="93"/>
    <row r="58" ht="15.75" customHeight="1" s="93"/>
    <row r="59" ht="15.75" customHeight="1" s="93"/>
    <row r="60" ht="15.75" customHeight="1" s="93"/>
    <row r="61" ht="15.75" customHeight="1" s="93"/>
    <row r="62" ht="15.75" customHeight="1" s="93"/>
    <row r="63" ht="15.75" customHeight="1" s="93"/>
    <row r="64" ht="15.75" customHeight="1" s="93"/>
    <row r="65" ht="15.75" customHeight="1" s="93"/>
    <row r="66" ht="15.75" customHeight="1" s="93"/>
    <row r="67" ht="15.75" customHeight="1" s="93"/>
    <row r="68" ht="15.75" customHeight="1" s="93"/>
    <row r="69" ht="15.75" customHeight="1" s="93"/>
    <row r="70" ht="15.75" customHeight="1" s="93"/>
    <row r="71" ht="15.75" customHeight="1" s="93"/>
    <row r="72" ht="15.75" customHeight="1" s="93"/>
    <row r="73" ht="15.75" customHeight="1" s="93"/>
    <row r="74" ht="15.75" customHeight="1" s="93"/>
    <row r="75" ht="15.75" customHeight="1" s="93"/>
    <row r="76" ht="15.75" customHeight="1" s="93"/>
    <row r="77" ht="15.75" customHeight="1" s="93"/>
    <row r="78" ht="15.75" customHeight="1" s="93"/>
    <row r="79" ht="15.75" customHeight="1" s="93"/>
    <row r="80" ht="15.75" customHeight="1" s="93"/>
    <row r="81" ht="15.75" customHeight="1" s="93"/>
    <row r="82" ht="15.75" customHeight="1" s="93"/>
    <row r="83" ht="15.75" customHeight="1" s="93"/>
    <row r="84" ht="15.75" customHeight="1" s="93"/>
    <row r="85" ht="15.75" customHeight="1" s="93"/>
    <row r="86" ht="15.75" customHeight="1" s="93"/>
    <row r="87" ht="15.75" customHeight="1" s="93"/>
    <row r="88" ht="15.75" customHeight="1" s="93"/>
    <row r="89" ht="15.75" customHeight="1" s="93"/>
    <row r="90" ht="15.75" customHeight="1" s="93"/>
    <row r="91" ht="15.75" customHeight="1" s="93"/>
    <row r="92" ht="15.75" customHeight="1" s="93"/>
    <row r="93" ht="15.75" customHeight="1" s="93"/>
    <row r="94" ht="15.75" customHeight="1" s="93"/>
    <row r="95" ht="15.75" customHeight="1" s="93"/>
    <row r="96" ht="15.75" customHeight="1" s="93"/>
    <row r="97" ht="15.75" customHeight="1" s="93"/>
    <row r="98" ht="15.75" customHeight="1" s="93"/>
    <row r="99" ht="15.75" customHeight="1" s="93"/>
    <row r="100" ht="15.75" customHeight="1" s="93"/>
    <row r="101" ht="15.75" customHeight="1" s="93"/>
    <row r="102" ht="15.75" customHeight="1" s="93"/>
    <row r="103" ht="15.75" customHeight="1" s="93"/>
    <row r="104" ht="15.75" customHeight="1" s="93"/>
    <row r="105" ht="15.75" customHeight="1" s="93"/>
    <row r="106" ht="15.75" customHeight="1" s="93"/>
    <row r="107" ht="15.75" customHeight="1" s="93"/>
    <row r="108" ht="15.75" customHeight="1" s="93"/>
    <row r="109" ht="15.75" customHeight="1" s="93"/>
    <row r="110" ht="15.75" customHeight="1" s="93"/>
    <row r="111" ht="15.75" customHeight="1" s="93"/>
    <row r="112" ht="15.75" customHeight="1" s="93"/>
    <row r="113" ht="15.75" customHeight="1" s="93"/>
    <row r="114" ht="15.75" customHeight="1" s="93"/>
    <row r="115" ht="15.75" customHeight="1" s="93"/>
    <row r="116" ht="15.75" customHeight="1" s="93"/>
    <row r="117" ht="15.75" customHeight="1" s="93"/>
    <row r="118" ht="15.75" customHeight="1" s="93"/>
    <row r="119" ht="15.75" customHeight="1" s="93"/>
    <row r="120" ht="15.75" customHeight="1" s="93"/>
    <row r="121" ht="15.75" customHeight="1" s="93"/>
    <row r="122" ht="15.75" customHeight="1" s="93"/>
    <row r="123" ht="15.75" customHeight="1" s="93"/>
    <row r="124" ht="15.75" customHeight="1" s="93"/>
    <row r="125" ht="15.75" customHeight="1" s="93"/>
    <row r="126" ht="15.75" customHeight="1" s="93"/>
    <row r="127" ht="15.75" customHeight="1" s="93"/>
    <row r="128" ht="15.75" customHeight="1" s="93"/>
    <row r="129" ht="15.75" customHeight="1" s="93"/>
    <row r="130" ht="15.75" customHeight="1" s="93"/>
    <row r="131" ht="15.75" customHeight="1" s="93"/>
    <row r="132" ht="15.75" customHeight="1" s="93"/>
    <row r="133" ht="15.75" customHeight="1" s="93"/>
    <row r="134" ht="15.75" customHeight="1" s="93"/>
    <row r="135" ht="15.75" customHeight="1" s="93"/>
    <row r="136" ht="15.75" customHeight="1" s="93"/>
    <row r="137" ht="15.75" customHeight="1" s="93"/>
    <row r="138" ht="15.75" customHeight="1" s="93"/>
    <row r="139" ht="15.75" customHeight="1" s="93"/>
    <row r="140" ht="15.75" customHeight="1" s="93"/>
    <row r="141" ht="15.75" customHeight="1" s="93"/>
    <row r="142" ht="15.75" customHeight="1" s="93"/>
    <row r="143" ht="15.75" customHeight="1" s="93"/>
    <row r="144" ht="15.75" customHeight="1" s="93"/>
    <row r="145" ht="15.75" customHeight="1" s="93"/>
    <row r="146" ht="15.75" customHeight="1" s="93"/>
    <row r="147" ht="15.75" customHeight="1" s="93"/>
    <row r="148" ht="15.75" customHeight="1" s="93"/>
    <row r="149" ht="15.75" customHeight="1" s="93"/>
    <row r="150" ht="15.75" customHeight="1" s="93"/>
    <row r="151" ht="15.75" customHeight="1" s="93"/>
    <row r="152" ht="15.75" customHeight="1" s="93"/>
    <row r="153" ht="15.75" customHeight="1" s="93"/>
    <row r="154" ht="15.75" customHeight="1" s="93"/>
    <row r="155" ht="15.75" customHeight="1" s="93"/>
    <row r="156" ht="15.75" customHeight="1" s="93"/>
    <row r="157" ht="15.75" customHeight="1" s="93"/>
    <row r="158" ht="15.75" customHeight="1" s="93"/>
    <row r="159" ht="15.75" customHeight="1" s="93"/>
    <row r="160" ht="15.75" customHeight="1" s="93"/>
    <row r="161" ht="15.75" customHeight="1" s="93"/>
    <row r="162" ht="15.75" customHeight="1" s="93"/>
    <row r="163" ht="15.75" customHeight="1" s="93"/>
    <row r="164" ht="15.75" customHeight="1" s="93"/>
    <row r="165" ht="15.75" customHeight="1" s="93"/>
    <row r="166" ht="15.75" customHeight="1" s="93"/>
    <row r="167" ht="15.75" customHeight="1" s="93"/>
    <row r="168" ht="15.75" customHeight="1" s="93"/>
    <row r="169" ht="15.75" customHeight="1" s="93"/>
    <row r="170" ht="15.75" customHeight="1" s="93"/>
    <row r="171" ht="15.75" customHeight="1" s="93"/>
    <row r="172" ht="15.75" customHeight="1" s="93"/>
    <row r="173" ht="15.75" customHeight="1" s="93"/>
    <row r="174" ht="15.75" customHeight="1" s="93"/>
    <row r="175" ht="15.75" customHeight="1" s="93"/>
    <row r="176" ht="15.75" customHeight="1" s="93"/>
    <row r="177" ht="15.75" customHeight="1" s="93"/>
    <row r="178" ht="15.75" customHeight="1" s="93"/>
    <row r="179" ht="15.75" customHeight="1" s="93"/>
    <row r="180" ht="15.75" customHeight="1" s="93"/>
    <row r="181" ht="15.75" customHeight="1" s="93"/>
    <row r="182" ht="15.75" customHeight="1" s="93"/>
    <row r="183" ht="15.75" customHeight="1" s="93"/>
    <row r="184" ht="15.75" customHeight="1" s="93"/>
    <row r="185" ht="15.75" customHeight="1" s="93"/>
    <row r="186" ht="15.75" customHeight="1" s="93"/>
    <row r="187" ht="15.75" customHeight="1" s="93"/>
    <row r="188" ht="15.75" customHeight="1" s="93"/>
    <row r="189" ht="15.75" customHeight="1" s="93"/>
    <row r="190" ht="15.75" customHeight="1" s="93"/>
    <row r="191" ht="15.75" customHeight="1" s="93"/>
    <row r="192" ht="15.75" customHeight="1" s="93"/>
    <row r="193" ht="15.75" customHeight="1" s="93"/>
    <row r="194" ht="15.75" customHeight="1" s="93"/>
    <row r="195" ht="15.75" customHeight="1" s="93"/>
    <row r="196" ht="15.75" customHeight="1" s="93"/>
    <row r="197" ht="15.75" customHeight="1" s="93"/>
    <row r="198" ht="15.75" customHeight="1" s="93"/>
    <row r="199" ht="15.75" customHeight="1" s="93"/>
    <row r="200" ht="15.75" customHeight="1" s="93"/>
    <row r="201" ht="15.75" customHeight="1" s="93"/>
    <row r="202" ht="15.75" customHeight="1" s="93"/>
    <row r="203" ht="15.75" customHeight="1" s="93"/>
    <row r="204" ht="15.75" customHeight="1" s="93"/>
    <row r="205" ht="15.75" customHeight="1" s="93"/>
    <row r="206" ht="15.75" customHeight="1" s="93"/>
    <row r="207" ht="15.75" customHeight="1" s="93"/>
    <row r="208" ht="15.75" customHeight="1" s="93"/>
    <row r="209" ht="15.75" customHeight="1" s="93"/>
    <row r="210" ht="15.75" customHeight="1" s="93"/>
    <row r="211" ht="15.75" customHeight="1" s="93"/>
    <row r="212" ht="15.75" customHeight="1" s="93"/>
    <row r="213" ht="15.75" customHeight="1" s="93"/>
    <row r="214" ht="15.75" customHeight="1" s="93"/>
    <row r="215" ht="15.75" customHeight="1" s="93"/>
    <row r="216" ht="15.75" customHeight="1" s="93"/>
    <row r="217" ht="15.75" customHeight="1" s="93"/>
    <row r="218" ht="15.75" customHeight="1" s="93"/>
    <row r="219" ht="15.75" customHeight="1" s="93"/>
    <row r="220" ht="15.75" customHeight="1" s="93"/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3"/>
  <sheetViews>
    <sheetView topLeftCell="A240" workbookViewId="0">
      <selection activeCell="C259" sqref="C259"/>
    </sheetView>
  </sheetViews>
  <sheetFormatPr baseColWidth="8" defaultColWidth="12.59765625" defaultRowHeight="15" customHeight="1"/>
  <cols>
    <col width="5.69921875" customWidth="1" style="93" min="1" max="1"/>
    <col width="14.19921875" customWidth="1" style="93" min="2" max="2"/>
    <col width="35.3984375" customWidth="1" style="93" min="3" max="3"/>
    <col width="15.19921875" customWidth="1" style="93" min="4" max="11"/>
    <col width="14.69921875" customWidth="1" style="93" min="12" max="15"/>
    <col width="15.19921875" customWidth="1" style="93" min="16" max="17"/>
    <col width="9.8984375" customWidth="1" style="93" min="18" max="18"/>
    <col width="8" customWidth="1" style="93" min="19" max="20"/>
    <col width="10.8984375" customWidth="1" style="93" min="21" max="21"/>
    <col width="4.69921875" customWidth="1" style="93" min="22" max="22"/>
    <col width="8" customWidth="1" style="93" min="23" max="24"/>
    <col width="12.69921875" customWidth="1" style="93" min="25" max="25"/>
    <col width="15.5" customWidth="1" style="93" min="26" max="26"/>
    <col width="12.69921875" customWidth="1" style="93" min="27" max="29"/>
  </cols>
  <sheetData>
    <row r="1" ht="19.5" customHeight="1" s="93">
      <c r="A1" s="65">
        <f>'CO-PO Mapping'!A1:R1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9" t="n"/>
      <c r="S1" s="44" t="n"/>
      <c r="T1" s="44" t="n"/>
      <c r="U1" s="44" t="n"/>
      <c r="V1" s="44" t="n"/>
      <c r="W1" s="44" t="n"/>
      <c r="X1" s="44" t="n"/>
    </row>
    <row r="2" ht="19.5" customHeight="1" s="93">
      <c r="A2" s="65" t="inlineStr">
        <is>
          <t>MID TERM I EXAM MARK RECORD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9" t="n"/>
      <c r="S2" s="44" t="n"/>
      <c r="T2" s="44" t="n"/>
      <c r="U2" s="44" t="n"/>
      <c r="V2" s="44" t="n"/>
      <c r="W2" s="44" t="n"/>
      <c r="X2" s="44" t="n"/>
    </row>
    <row r="3" ht="19.5" customHeight="1" s="93">
      <c r="A3" s="65">
        <f>'CO-PO Mapping'!A3:R3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9" t="n"/>
      <c r="S3" s="44" t="n"/>
      <c r="T3" s="44" t="n"/>
      <c r="U3" s="44" t="n"/>
      <c r="V3" s="44" t="n"/>
      <c r="W3" s="44" t="n"/>
      <c r="X3" s="44" t="n"/>
    </row>
    <row r="4" ht="19.5" customHeight="1" s="93">
      <c r="A4" s="65" t="inlineStr">
        <is>
          <t>S.NO.</t>
        </is>
      </c>
      <c r="B4" s="138" t="inlineStr">
        <is>
          <t>RollNo</t>
        </is>
      </c>
      <c r="C4" s="65" t="inlineStr">
        <is>
          <t>NAME OF STUDENT</t>
        </is>
      </c>
      <c r="D4" s="65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9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3">
      <c r="A5" s="139" t="n"/>
      <c r="B5" s="139" t="n"/>
      <c r="C5" s="65" t="inlineStr">
        <is>
          <t>CO MAPPED</t>
        </is>
      </c>
      <c r="D5" s="65" t="inlineStr">
        <is>
          <t>CO1</t>
        </is>
      </c>
      <c r="E5" s="138" t="inlineStr">
        <is>
          <t xml:space="preserve">Target 70% students attain 70% marks (1) </t>
        </is>
      </c>
      <c r="F5" s="138" t="inlineStr">
        <is>
          <t>Target 70% students attain 80% marks (2)</t>
        </is>
      </c>
      <c r="G5" s="138" t="inlineStr">
        <is>
          <t>Target 70% students attain 90% marks (3)</t>
        </is>
      </c>
      <c r="H5" s="65" t="inlineStr">
        <is>
          <t>CO2</t>
        </is>
      </c>
      <c r="I5" s="138" t="inlineStr">
        <is>
          <t xml:space="preserve">Target 70% students attain 70% marks (1) </t>
        </is>
      </c>
      <c r="J5" s="138" t="inlineStr">
        <is>
          <t>Target 70% students attain 80% marks (2)</t>
        </is>
      </c>
      <c r="K5" s="138" t="inlineStr">
        <is>
          <t>Target 70% students attain 90% marks (3)</t>
        </is>
      </c>
      <c r="L5" s="65" t="inlineStr">
        <is>
          <t>CO3</t>
        </is>
      </c>
      <c r="M5" s="116" t="inlineStr">
        <is>
          <t xml:space="preserve">Target 50% students attain 70% marks (1) </t>
        </is>
      </c>
      <c r="N5" s="116" t="inlineStr">
        <is>
          <t>Target 50% students attain 80% marks (2)</t>
        </is>
      </c>
      <c r="O5" s="116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30" t="n"/>
      <c r="S5" s="44" t="n"/>
      <c r="T5" s="44" t="n"/>
      <c r="U5" s="44" t="n"/>
      <c r="V5" s="44" t="n"/>
      <c r="W5" s="44" t="n"/>
      <c r="X5" s="44" t="n"/>
    </row>
    <row r="6" ht="54.75" customHeight="1" s="93">
      <c r="A6" s="130" t="n"/>
      <c r="B6" s="130" t="n"/>
      <c r="C6" s="65" t="inlineStr">
        <is>
          <t>MAX MARKS</t>
        </is>
      </c>
      <c r="D6" s="66" t="n">
        <v>28</v>
      </c>
      <c r="E6" s="130" t="n"/>
      <c r="F6" s="130" t="n"/>
      <c r="G6" s="130" t="n"/>
      <c r="H6" s="66" t="n">
        <v>28</v>
      </c>
      <c r="I6" s="130" t="n"/>
      <c r="J6" s="130" t="n"/>
      <c r="K6" s="130" t="n"/>
      <c r="L6" s="66" t="n">
        <v>14</v>
      </c>
      <c r="M6" s="139" t="n"/>
      <c r="N6" s="139" t="n"/>
      <c r="O6" s="139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3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3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23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26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62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3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28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28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14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70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3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3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3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3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3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25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24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62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3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3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26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26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66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3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25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25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13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63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3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27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65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3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28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28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70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3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28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28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14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70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3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23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23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59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3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25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25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63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3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22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25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3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25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23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61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3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25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25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13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63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3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27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24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64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3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28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70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3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20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23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3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3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3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28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28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3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24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25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62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3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3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25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23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3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21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21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11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53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3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3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28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28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70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3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23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26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62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3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23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21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57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3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28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28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70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3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24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21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13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58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3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25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26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14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65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3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27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65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3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20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19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11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50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3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22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19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11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52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3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20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54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3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3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20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23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11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54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3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21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19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11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3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21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18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11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50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3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22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3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21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22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11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54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3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20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22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11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53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3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28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28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70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3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20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20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51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3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21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18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11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50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3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20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21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11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52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3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28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28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14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70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3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67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3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28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28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70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3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3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19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20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11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50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3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22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24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59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3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3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3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24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61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3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24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24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61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3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17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20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11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48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3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25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24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3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19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19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11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49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3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28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70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3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25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63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3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28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28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70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3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24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23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60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3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28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28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14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70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3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28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28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14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70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3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21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21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11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53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3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28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70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3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25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65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3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22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22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57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3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26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26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66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3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19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19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49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3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20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23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56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3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21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19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11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3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23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20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11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54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3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28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70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3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23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23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59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3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19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22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52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3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27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26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67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3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28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28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70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3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24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24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61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3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23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24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3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24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64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3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28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28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14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70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3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3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20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20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11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51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3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28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28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70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3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23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26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62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3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23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21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57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3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20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56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3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3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28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28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70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3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17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19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11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47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3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23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21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57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3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3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3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20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20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11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51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3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20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23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56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3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3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22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57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3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62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3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21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22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56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3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20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22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11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53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3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25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65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3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3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26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23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62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3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28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28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70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3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3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27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26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67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3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3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23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20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13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56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3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23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24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60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3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21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23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57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3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20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18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11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49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3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27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24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14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65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3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27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27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68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3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24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24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61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3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21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23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57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3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70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3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19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19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11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49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3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25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22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13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60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3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21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22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13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56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3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21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24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3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28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28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70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3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23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23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59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3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23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20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13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56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3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26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27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67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3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21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24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13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58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3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21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19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11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51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3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22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22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57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3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28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28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70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3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21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22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13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56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3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20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22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11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53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3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3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23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20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11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54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3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27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24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64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3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27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28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69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3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24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26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63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3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24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23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60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3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23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20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11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54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3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28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28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14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70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3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28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28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70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3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27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14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3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26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24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63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3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25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25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63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3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23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20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56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3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24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24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61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3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28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28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14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70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3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27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25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14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66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3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25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25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63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3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28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14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67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3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25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26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14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65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3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23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25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61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3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22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20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55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3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26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66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3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24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24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61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3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25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25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63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3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23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25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13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61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3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23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22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58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3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21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21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13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55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3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24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64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3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24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24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13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61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3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22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25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13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3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21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19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11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51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3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20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20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11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51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3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64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3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24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25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62</v>
      </c>
      <c r="S177" s="48" t="n"/>
      <c r="T177" s="48" t="n"/>
      <c r="U177" s="48" t="n"/>
      <c r="V177" s="48" t="n"/>
      <c r="W177" s="44" t="n"/>
      <c r="X177" s="44" t="n"/>
    </row>
    <row r="178" ht="15.75" customHeight="1" s="93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20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23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11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54</v>
      </c>
      <c r="S178" s="48" t="n"/>
      <c r="T178" s="48" t="n"/>
      <c r="U178" s="48" t="n"/>
      <c r="V178" s="48" t="n"/>
      <c r="W178" s="44" t="n"/>
      <c r="X178" s="44" t="n"/>
    </row>
    <row r="179" ht="15.75" customHeight="1" s="93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22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21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56</v>
      </c>
      <c r="S179" s="48" t="n"/>
      <c r="T179" s="48" t="n"/>
      <c r="U179" s="48" t="n"/>
      <c r="V179" s="48" t="n"/>
      <c r="W179" s="44" t="n"/>
      <c r="X179" s="44" t="n"/>
    </row>
    <row r="180" ht="15.75" customHeight="1" s="93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24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24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13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61</v>
      </c>
      <c r="S180" s="48" t="n"/>
      <c r="T180" s="48" t="n"/>
      <c r="U180" s="48" t="n"/>
      <c r="V180" s="48" t="n"/>
      <c r="W180" s="44" t="n"/>
      <c r="X180" s="44" t="n"/>
    </row>
    <row r="181" ht="15.75" customHeight="1" s="93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23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20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11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54</v>
      </c>
      <c r="S181" s="48" t="n"/>
      <c r="T181" s="48" t="n"/>
      <c r="U181" s="48" t="n"/>
      <c r="V181" s="48" t="n"/>
      <c r="W181" s="44" t="n"/>
      <c r="X181" s="44" t="n"/>
    </row>
    <row r="182" ht="15.75" customHeight="1" s="93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24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25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62</v>
      </c>
      <c r="S182" s="48" t="n"/>
      <c r="T182" s="48" t="n"/>
      <c r="U182" s="48" t="n"/>
      <c r="V182" s="48" t="n"/>
      <c r="W182" s="44" t="n"/>
      <c r="X182" s="44" t="n"/>
    </row>
    <row r="183" ht="15.75" customHeight="1" s="93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28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28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14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70</v>
      </c>
      <c r="S183" s="48" t="n"/>
      <c r="T183" s="48" t="n"/>
      <c r="U183" s="48" t="n"/>
      <c r="V183" s="48" t="n"/>
      <c r="W183" s="44" t="n"/>
      <c r="X183" s="44" t="n"/>
    </row>
    <row r="184" ht="15.75" customHeight="1" s="93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20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18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11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49</v>
      </c>
      <c r="S184" s="48" t="n"/>
      <c r="T184" s="48" t="n"/>
      <c r="U184" s="48" t="n"/>
      <c r="V184" s="48" t="n"/>
      <c r="W184" s="44" t="n"/>
      <c r="X184" s="44" t="n"/>
    </row>
    <row r="185" ht="15.75" customHeight="1" s="93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25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22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13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60</v>
      </c>
      <c r="S185" s="48" t="n"/>
      <c r="T185" s="48" t="n"/>
      <c r="U185" s="48" t="n"/>
      <c r="V185" s="48" t="n"/>
      <c r="W185" s="44" t="n"/>
      <c r="X185" s="44" t="n"/>
    </row>
    <row r="186" ht="15.75" customHeight="1" s="93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>
        <v>24</v>
      </c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>
        <v>21</v>
      </c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>
        <v>13</v>
      </c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>
        <v>58</v>
      </c>
      <c r="S186" s="48" t="n"/>
      <c r="T186" s="48" t="n"/>
      <c r="U186" s="48" t="n"/>
      <c r="V186" s="48" t="n"/>
      <c r="W186" s="44" t="n"/>
      <c r="X186" s="44" t="n"/>
    </row>
    <row r="187" ht="15.75" customHeight="1" s="93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>
        <v>24</v>
      </c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>
        <v>24</v>
      </c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>
        <v>13</v>
      </c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R187" t="n">
        <v>61</v>
      </c>
      <c r="S187" s="48" t="n"/>
      <c r="T187" s="48" t="n"/>
      <c r="U187" s="48" t="n"/>
      <c r="V187" s="48" t="n"/>
      <c r="W187" s="44" t="n"/>
      <c r="X187" s="44" t="n"/>
    </row>
    <row r="188" ht="15.75" customHeight="1" s="93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>
        <v>20</v>
      </c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>
        <v>22</v>
      </c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>
        <v>13</v>
      </c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>
        <v>55</v>
      </c>
      <c r="S188" s="48" t="n"/>
      <c r="T188" s="48" t="n"/>
      <c r="U188" s="48" t="n"/>
      <c r="V188" s="48" t="n"/>
      <c r="W188" s="44" t="n"/>
      <c r="X188" s="44" t="n"/>
    </row>
    <row r="189" ht="15.75" customHeight="1" s="93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>
        <v>21</v>
      </c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>
        <v>20</v>
      </c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>
        <v>11</v>
      </c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R189" t="n">
        <v>52</v>
      </c>
      <c r="S189" s="48" t="n"/>
      <c r="T189" s="48" t="n"/>
      <c r="U189" s="48" t="n"/>
      <c r="V189" s="48" t="n"/>
      <c r="W189" s="44" t="n"/>
      <c r="X189" s="44" t="n"/>
    </row>
    <row r="190" ht="15.75" customHeight="1" s="93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>
        <v>19</v>
      </c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>
        <v>19</v>
      </c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>
        <v>11</v>
      </c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R190" t="n">
        <v>49</v>
      </c>
      <c r="S190" s="48" t="n"/>
      <c r="T190" s="48" t="n"/>
      <c r="U190" s="48" t="n"/>
      <c r="V190" s="48" t="n"/>
      <c r="W190" s="44" t="n"/>
      <c r="X190" s="44" t="n"/>
    </row>
    <row r="191" ht="15.75" customHeight="1" s="93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>
        <v>23</v>
      </c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>
        <v>20</v>
      </c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>
        <v>13</v>
      </c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R191" t="n">
        <v>56</v>
      </c>
      <c r="S191" s="48" t="n"/>
      <c r="T191" s="48" t="n"/>
      <c r="U191" s="48" t="n"/>
      <c r="V191" s="48" t="n"/>
      <c r="W191" s="44" t="n"/>
      <c r="X191" s="44" t="n"/>
    </row>
    <row r="192" ht="15.75" customHeight="1" s="93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>
        <v>25</v>
      </c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>
        <v>26</v>
      </c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>
        <v>14</v>
      </c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>
        <v>65</v>
      </c>
      <c r="S192" s="48" t="n"/>
      <c r="T192" s="48" t="n"/>
      <c r="U192" s="48" t="n"/>
      <c r="V192" s="48" t="n"/>
      <c r="W192" s="44" t="n"/>
      <c r="X192" s="44" t="n"/>
    </row>
    <row r="193" ht="15.75" customHeight="1" s="93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>
        <v>24</v>
      </c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>
        <v>26</v>
      </c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>
        <v>13</v>
      </c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R193" t="n">
        <v>63</v>
      </c>
      <c r="S193" s="48" t="n"/>
      <c r="T193" s="48" t="n"/>
      <c r="U193" s="48" t="n"/>
      <c r="V193" s="48" t="n"/>
      <c r="W193" s="44" t="n"/>
      <c r="X193" s="44" t="n"/>
    </row>
    <row r="194" ht="15.75" customHeight="1" s="93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>
        <v>24</v>
      </c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>
        <v>23</v>
      </c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>
        <v>13</v>
      </c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>
        <v>60</v>
      </c>
      <c r="S194" s="48" t="n"/>
      <c r="T194" s="48" t="n"/>
      <c r="U194" s="48" t="n"/>
      <c r="V194" s="48" t="n"/>
      <c r="W194" s="44" t="n"/>
      <c r="X194" s="44" t="n"/>
    </row>
    <row r="195" ht="15.75" customHeight="1" s="93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>
        <v>22</v>
      </c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>
        <v>19</v>
      </c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>
        <v>11</v>
      </c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>
        <v>52</v>
      </c>
      <c r="S195" s="48" t="n"/>
      <c r="T195" s="48" t="n"/>
      <c r="U195" s="48" t="n"/>
      <c r="V195" s="48" t="n"/>
      <c r="W195" s="44" t="n"/>
      <c r="X195" s="44" t="n"/>
    </row>
    <row r="196" ht="15.75" customHeight="1" s="93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>
        <v>23</v>
      </c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>
        <v>20</v>
      </c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>
        <v>11</v>
      </c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>
        <v>54</v>
      </c>
      <c r="S196" s="48" t="n"/>
      <c r="T196" s="48" t="n"/>
      <c r="U196" s="48" t="n"/>
      <c r="V196" s="48" t="n"/>
      <c r="W196" s="44" t="n"/>
      <c r="X196" s="44" t="n"/>
    </row>
    <row r="197" ht="15.75" customHeight="1" s="93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>
        <v>22</v>
      </c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>
        <v>23</v>
      </c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>
        <v>13</v>
      </c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>
        <v>58</v>
      </c>
      <c r="S197" s="48" t="n"/>
      <c r="T197" s="48" t="n"/>
      <c r="U197" s="48" t="n"/>
      <c r="V197" s="48" t="n"/>
      <c r="W197" s="44" t="n"/>
      <c r="X197" s="44" t="n"/>
    </row>
    <row r="198" ht="15.75" customHeight="1" s="93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>
        <v>23</v>
      </c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>
        <v>25</v>
      </c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>
        <v>13</v>
      </c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>
        <v>61</v>
      </c>
      <c r="S198" s="48" t="n"/>
      <c r="T198" s="48" t="n"/>
      <c r="U198" s="48" t="n"/>
      <c r="V198" s="48" t="n"/>
      <c r="W198" s="44" t="n"/>
      <c r="X198" s="44" t="n"/>
    </row>
    <row r="199" ht="15.75" customHeight="1" s="93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>
        <v>25</v>
      </c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>
        <v>23</v>
      </c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>
        <v>13</v>
      </c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>
        <v>61</v>
      </c>
      <c r="S199" s="48" t="n"/>
      <c r="T199" s="48" t="n"/>
      <c r="U199" s="48" t="n"/>
      <c r="V199" s="48" t="n"/>
      <c r="W199" s="44" t="n"/>
      <c r="X199" s="44" t="n"/>
    </row>
    <row r="200" ht="15.75" customHeight="1" s="93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>
        <v>25</v>
      </c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>
        <v>22</v>
      </c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>
        <v>13</v>
      </c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>
        <v>60</v>
      </c>
      <c r="S200" s="48" t="n"/>
      <c r="T200" s="48" t="n"/>
      <c r="U200" s="48" t="n"/>
      <c r="V200" s="48" t="n"/>
      <c r="W200" s="44" t="n"/>
      <c r="X200" s="44" t="n"/>
    </row>
    <row r="201" ht="15.75" customHeight="1" s="93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>
        <v>22</v>
      </c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>
        <v>22</v>
      </c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>
        <v>13</v>
      </c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R201" t="n">
        <v>57</v>
      </c>
      <c r="S201" s="48" t="n"/>
      <c r="T201" s="48" t="n"/>
      <c r="U201" s="48" t="n"/>
      <c r="V201" s="48" t="n"/>
      <c r="W201" s="44" t="n"/>
      <c r="X201" s="44" t="n"/>
    </row>
    <row r="202" ht="15.75" customHeight="1" s="93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>
        <v>21</v>
      </c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>
        <v>22</v>
      </c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>
        <v>11</v>
      </c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>
        <v>54</v>
      </c>
      <c r="S202" s="48" t="n"/>
      <c r="T202" s="48" t="n"/>
      <c r="U202" s="48" t="n"/>
      <c r="V202" s="48" t="n"/>
      <c r="W202" s="44" t="n"/>
      <c r="X202" s="44" t="n"/>
    </row>
    <row r="203" ht="15.75" customHeight="1" s="93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>
        <v>25</v>
      </c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>
        <v>28</v>
      </c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>
        <v>14</v>
      </c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>
        <v>67</v>
      </c>
      <c r="S203" s="48" t="n"/>
      <c r="T203" s="48" t="n"/>
      <c r="U203" s="48" t="n"/>
      <c r="V203" s="48" t="n"/>
      <c r="W203" s="44" t="n"/>
      <c r="X203" s="44" t="n"/>
    </row>
    <row r="204" ht="15.75" customHeight="1" s="93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t="n">
        <v>28</v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H204" t="n">
        <v>28</v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L204" t="n">
        <v>14</v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R204" t="n">
        <v>70</v>
      </c>
      <c r="S204" s="48" t="n"/>
      <c r="T204" s="48" t="n"/>
      <c r="U204" s="48" t="n"/>
      <c r="V204" s="48" t="n"/>
      <c r="W204" s="44" t="n"/>
      <c r="X204" s="44" t="n"/>
    </row>
    <row r="205" ht="15.75" customHeight="1" s="93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>
        <v>20</v>
      </c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>
        <v>20</v>
      </c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>
        <v>11</v>
      </c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>
        <v>51</v>
      </c>
      <c r="S205" s="48" t="n"/>
      <c r="T205" s="48" t="n"/>
      <c r="U205" s="48" t="n"/>
      <c r="V205" s="48" t="n"/>
      <c r="W205" s="44" t="n"/>
      <c r="X205" s="44" t="n"/>
    </row>
    <row r="206" ht="15.75" customHeight="1" s="93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>
        <v>21</v>
      </c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>
        <v>18</v>
      </c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>
        <v>11</v>
      </c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>
        <v>50</v>
      </c>
      <c r="S206" s="48" t="n"/>
      <c r="T206" s="48" t="n"/>
      <c r="U206" s="48" t="n"/>
      <c r="V206" s="48" t="n"/>
      <c r="W206" s="44" t="n"/>
      <c r="X206" s="44" t="n"/>
    </row>
    <row r="207" ht="15.75" customHeight="1" s="93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t="n">
        <v>28</v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H207" t="n">
        <v>28</v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L207" t="n">
        <v>14</v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>
        <v>70</v>
      </c>
      <c r="S207" s="48" t="n"/>
      <c r="T207" s="48" t="n"/>
      <c r="U207" s="48" t="n"/>
      <c r="V207" s="48" t="n"/>
      <c r="W207" s="44" t="n"/>
      <c r="X207" s="44" t="n"/>
    </row>
    <row r="208" ht="15.75" customHeight="1" s="93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>
        <v>20</v>
      </c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>
        <v>23</v>
      </c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>
        <v>11</v>
      </c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>
        <v>54</v>
      </c>
      <c r="S208" s="48" t="n"/>
      <c r="T208" s="48" t="n"/>
      <c r="U208" s="48" t="n"/>
      <c r="V208" s="48" t="n"/>
      <c r="W208" s="44" t="n"/>
      <c r="X208" s="44" t="n"/>
    </row>
    <row r="209" ht="15.75" customHeight="1" s="93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>
        <v>22</v>
      </c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>
        <v>20</v>
      </c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>
        <v>11</v>
      </c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R209" t="n">
        <v>53</v>
      </c>
      <c r="S209" s="48" t="n"/>
      <c r="T209" s="48" t="n"/>
      <c r="U209" s="48" t="n"/>
      <c r="V209" s="48" t="n"/>
      <c r="W209" s="44" t="n"/>
      <c r="X209" s="44" t="n"/>
    </row>
    <row r="210" ht="15.75" customHeight="1" s="93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>
        <v>28</v>
      </c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>
        <v>28</v>
      </c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>
        <v>14</v>
      </c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R210" t="n">
        <v>70</v>
      </c>
      <c r="S210" s="48" t="n"/>
      <c r="T210" s="48" t="n"/>
      <c r="U210" s="48" t="n"/>
      <c r="V210" s="48" t="n"/>
      <c r="W210" s="44" t="n"/>
      <c r="X210" s="44" t="n"/>
    </row>
    <row r="211" ht="15.75" customHeight="1" s="93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>
        <v>27</v>
      </c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>
        <v>24</v>
      </c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>
        <v>14</v>
      </c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>
        <v>65</v>
      </c>
      <c r="S211" s="44" t="n"/>
      <c r="T211" s="44" t="n"/>
      <c r="U211" s="44" t="n"/>
      <c r="V211" s="44" t="n"/>
      <c r="W211" s="44" t="n"/>
      <c r="X211" s="44" t="n"/>
    </row>
    <row r="212" ht="15.75" customHeight="1" s="93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>
        <v>23</v>
      </c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>
        <v>24</v>
      </c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>
        <v>13</v>
      </c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R212" t="n">
        <v>60</v>
      </c>
      <c r="S212" s="44" t="n"/>
      <c r="T212" s="44" t="n"/>
      <c r="U212" s="44" t="n"/>
      <c r="V212" s="44" t="n"/>
      <c r="W212" s="44" t="n"/>
      <c r="X212" s="44" t="n"/>
    </row>
    <row r="213" ht="15.75" customHeight="1" s="93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>
        <v>23</v>
      </c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>
        <v>26</v>
      </c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>
        <v>13</v>
      </c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R213" t="n">
        <v>62</v>
      </c>
      <c r="S213" s="44" t="n"/>
      <c r="T213" s="44" t="n"/>
      <c r="U213" s="44" t="n"/>
      <c r="V213" s="44" t="n"/>
      <c r="W213" s="44" t="n"/>
      <c r="X213" s="44" t="n"/>
    </row>
    <row r="214" ht="15.75" customHeight="1" s="93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t="n">
        <v>22</v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H214" t="n">
        <v>21</v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L214" t="n">
        <v>13</v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>
        <v>56</v>
      </c>
      <c r="S214" s="44" t="n"/>
      <c r="T214" s="44" t="n"/>
      <c r="U214" s="44" t="n"/>
      <c r="V214" s="44" t="n"/>
      <c r="W214" s="44" t="n"/>
      <c r="X214" s="44" t="n"/>
    </row>
    <row r="215" ht="15.75" customHeight="1" s="93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>
        <v>27</v>
      </c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>
        <v>24</v>
      </c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>
        <v>14</v>
      </c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R215" t="n">
        <v>65</v>
      </c>
      <c r="S215" s="44" t="n"/>
      <c r="T215" s="44" t="n"/>
      <c r="U215" s="44" t="n"/>
      <c r="V215" s="44" t="n"/>
      <c r="W215" s="44" t="n"/>
      <c r="X215" s="44" t="n"/>
    </row>
    <row r="216" ht="15.75" customHeight="1" s="93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>
        <v>23</v>
      </c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>
        <v>20</v>
      </c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>
        <v>11</v>
      </c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>
        <v>54</v>
      </c>
      <c r="S216" s="44" t="n"/>
      <c r="T216" s="44" t="n"/>
      <c r="U216" s="44" t="n"/>
      <c r="V216" s="44" t="n"/>
      <c r="W216" s="44" t="n"/>
      <c r="X216" s="44" t="n"/>
    </row>
    <row r="217" ht="15.75" customHeight="1" s="93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>
        <v>28</v>
      </c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>
        <v>28</v>
      </c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>
        <v>14</v>
      </c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R217" t="n">
        <v>70</v>
      </c>
      <c r="S217" s="44" t="n"/>
      <c r="T217" s="44" t="n"/>
      <c r="U217" s="44" t="n"/>
      <c r="V217" s="44" t="n"/>
      <c r="W217" s="44" t="n"/>
      <c r="X217" s="44" t="n"/>
    </row>
    <row r="218" ht="15.75" customHeight="1" s="93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>
        <v>18</v>
      </c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>
        <v>21</v>
      </c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>
        <v>11</v>
      </c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>
        <v>50</v>
      </c>
      <c r="S218" s="44" t="n"/>
      <c r="T218" s="44" t="n"/>
      <c r="U218" s="44" t="n"/>
      <c r="V218" s="44" t="n"/>
      <c r="W218" s="44" t="n"/>
      <c r="X218" s="44" t="n"/>
    </row>
    <row r="219" ht="15.75" customHeight="1" s="93">
      <c r="A219" s="69">
        <f>'Sessional + End Term Assessment'!A220</f>
        <v/>
      </c>
      <c r="B219" s="81">
        <f>'Sessional + End Term Assessment'!B220</f>
        <v/>
      </c>
      <c r="C219" s="81">
        <f>'Sessional + End Term Assessment'!C220</f>
        <v/>
      </c>
      <c r="D219" s="80" t="n">
        <v>21</v>
      </c>
      <c r="E219" s="70">
        <f>IF(D219&gt;=($D$6*0.7),1,0)</f>
        <v/>
      </c>
      <c r="F219" s="70">
        <f>IF(D219&gt;=($D$6*0.8),1,0)</f>
        <v/>
      </c>
      <c r="G219" s="70">
        <f>IF(D219&gt;=($D$6*0.9),1,0)</f>
        <v/>
      </c>
      <c r="H219" s="80" t="n">
        <v>20</v>
      </c>
      <c r="I219" s="70">
        <f>IF(H219&gt;=($H$6*0.7),1,0)</f>
        <v/>
      </c>
      <c r="J219" s="70">
        <f>IF(H219&gt;=($H$6*0.7),1,0)</f>
        <v/>
      </c>
      <c r="K219" s="70">
        <f>IF(H219&gt;=($H$6*0.9),1,0)</f>
        <v/>
      </c>
      <c r="L219" s="80" t="n">
        <v>11</v>
      </c>
      <c r="M219" s="70">
        <f>IF(L219&gt;=($L$6*0.7),1,0)</f>
        <v/>
      </c>
      <c r="N219" s="70">
        <f>IF(L219&gt;=($L$6*0.8),1,0)</f>
        <v/>
      </c>
      <c r="O219" s="70">
        <f>IF(L219&gt;=($L$6*0.9),1,0)</f>
        <v/>
      </c>
      <c r="P219" s="44" t="n"/>
      <c r="Q219" s="44" t="n"/>
      <c r="R219" s="80" t="n">
        <v>52</v>
      </c>
      <c r="S219" s="44" t="n"/>
      <c r="T219" s="44" t="n"/>
      <c r="U219" s="44" t="n"/>
      <c r="V219" s="44" t="n"/>
      <c r="W219" s="44" t="n"/>
      <c r="X219" s="44" t="n"/>
    </row>
    <row r="220" ht="15.75" customHeight="1" s="93">
      <c r="A220" s="69">
        <f>'Sessional + End Term Assessment'!A221</f>
        <v/>
      </c>
      <c r="B220" s="81">
        <f>'Sessional + End Term Assessment'!B221</f>
        <v/>
      </c>
      <c r="C220" s="81">
        <f>'Sessional + End Term Assessment'!C221</f>
        <v/>
      </c>
      <c r="D220" s="80" t="n">
        <v>28</v>
      </c>
      <c r="E220" s="70">
        <f>IF(D220&gt;=($D$6*0.7),1,0)</f>
        <v/>
      </c>
      <c r="F220" s="70">
        <f>IF(D220&gt;=($D$6*0.8),1,0)</f>
        <v/>
      </c>
      <c r="G220" s="70">
        <f>IF(D220&gt;=($D$6*0.9),1,0)</f>
        <v/>
      </c>
      <c r="H220" s="80" t="n">
        <v>28</v>
      </c>
      <c r="I220" s="70">
        <f>IF(H220&gt;=($H$6*0.7),1,0)</f>
        <v/>
      </c>
      <c r="J220" s="70">
        <f>IF(H220&gt;=($H$6*0.7),1,0)</f>
        <v/>
      </c>
      <c r="K220" s="70">
        <f>IF(H220&gt;=($H$6*0.9),1,0)</f>
        <v/>
      </c>
      <c r="L220" s="80" t="n">
        <v>14</v>
      </c>
      <c r="M220" s="70">
        <f>IF(L220&gt;=($L$6*0.7),1,0)</f>
        <v/>
      </c>
      <c r="N220" s="70">
        <f>IF(L220&gt;=($L$6*0.8),1,0)</f>
        <v/>
      </c>
      <c r="O220" s="70">
        <f>IF(L220&gt;=($L$6*0.9),1,0)</f>
        <v/>
      </c>
      <c r="P220" s="44" t="n"/>
      <c r="Q220" s="44" t="n"/>
      <c r="R220" s="80" t="n">
        <v>70</v>
      </c>
      <c r="S220" s="44" t="n"/>
      <c r="T220" s="44" t="n"/>
      <c r="U220" s="44" t="n"/>
      <c r="V220" s="44" t="n"/>
      <c r="W220" s="44" t="n"/>
      <c r="X220" s="44" t="n"/>
    </row>
    <row r="221" ht="15.75" customHeight="1" s="93">
      <c r="A221" s="69">
        <f>'Sessional + End Term Assessment'!A222</f>
        <v/>
      </c>
      <c r="B221" s="81">
        <f>'Sessional + End Term Assessment'!B222</f>
        <v/>
      </c>
      <c r="C221" s="81">
        <f>'Sessional + End Term Assessment'!C222</f>
        <v/>
      </c>
      <c r="D221" s="80" t="n">
        <v>28</v>
      </c>
      <c r="E221" s="70">
        <f>IF(D221&gt;=($D$6*0.7),1,0)</f>
        <v/>
      </c>
      <c r="F221" s="70">
        <f>IF(D221&gt;=($D$6*0.8),1,0)</f>
        <v/>
      </c>
      <c r="G221" s="70">
        <f>IF(D221&gt;=($D$6*0.9),1,0)</f>
        <v/>
      </c>
      <c r="H221" s="80" t="n">
        <v>28</v>
      </c>
      <c r="I221" s="70">
        <f>IF(H221&gt;=($H$6*0.7),1,0)</f>
        <v/>
      </c>
      <c r="J221" s="70">
        <f>IF(H221&gt;=($H$6*0.7),1,0)</f>
        <v/>
      </c>
      <c r="K221" s="70">
        <f>IF(H221&gt;=($H$6*0.9),1,0)</f>
        <v/>
      </c>
      <c r="L221" s="80" t="n">
        <v>14</v>
      </c>
      <c r="M221" s="70">
        <f>IF(L221&gt;=($L$6*0.7),1,0)</f>
        <v/>
      </c>
      <c r="N221" s="70">
        <f>IF(L221&gt;=($L$6*0.8),1,0)</f>
        <v/>
      </c>
      <c r="O221" s="70">
        <f>IF(L221&gt;=($L$6*0.9),1,0)</f>
        <v/>
      </c>
      <c r="P221" s="44" t="n"/>
      <c r="Q221" s="44" t="n"/>
      <c r="R221" s="80" t="n">
        <v>70</v>
      </c>
      <c r="S221" s="44" t="n"/>
      <c r="T221" s="44" t="n"/>
      <c r="U221" s="44" t="n"/>
      <c r="V221" s="44" t="n"/>
      <c r="W221" s="44" t="n"/>
      <c r="X221" s="44" t="n"/>
    </row>
    <row r="222" ht="15.75" customHeight="1" s="93">
      <c r="A222" s="69">
        <f>'Sessional + End Term Assessment'!A223</f>
        <v/>
      </c>
      <c r="B222" s="81">
        <f>'Sessional + End Term Assessment'!B223</f>
        <v/>
      </c>
      <c r="C222" s="81">
        <f>'Sessional + End Term Assessment'!C223</f>
        <v/>
      </c>
      <c r="D222" s="80" t="n">
        <v>20</v>
      </c>
      <c r="E222" s="70">
        <f>IF(D222&gt;=($D$6*0.7),1,0)</f>
        <v/>
      </c>
      <c r="F222" s="70">
        <f>IF(D222&gt;=($D$6*0.8),1,0)</f>
        <v/>
      </c>
      <c r="G222" s="70">
        <f>IF(D222&gt;=($D$6*0.9),1,0)</f>
        <v/>
      </c>
      <c r="H222" s="80" t="n">
        <v>20</v>
      </c>
      <c r="I222" s="70">
        <f>IF(H222&gt;=($H$6*0.7),1,0)</f>
        <v/>
      </c>
      <c r="J222" s="70">
        <f>IF(H222&gt;=($H$6*0.7),1,0)</f>
        <v/>
      </c>
      <c r="K222" s="70">
        <f>IF(H222&gt;=($H$6*0.9),1,0)</f>
        <v/>
      </c>
      <c r="L222" s="80" t="n">
        <v>11</v>
      </c>
      <c r="M222" s="70">
        <f>IF(L222&gt;=($L$6*0.7),1,0)</f>
        <v/>
      </c>
      <c r="N222" s="70">
        <f>IF(L222&gt;=($L$6*0.8),1,0)</f>
        <v/>
      </c>
      <c r="O222" s="70">
        <f>IF(L222&gt;=($L$6*0.9),1,0)</f>
        <v/>
      </c>
      <c r="P222" s="44" t="n"/>
      <c r="Q222" s="44" t="n"/>
      <c r="R222" s="80" t="n">
        <v>51</v>
      </c>
      <c r="S222" s="44" t="n"/>
      <c r="T222" s="44" t="n"/>
      <c r="U222" s="44" t="n"/>
      <c r="V222" s="44" t="n"/>
      <c r="W222" s="44" t="n"/>
      <c r="X222" s="44" t="n"/>
    </row>
    <row r="223" ht="15.75" customHeight="1" s="93">
      <c r="A223" s="69">
        <f>'Sessional + End Term Assessment'!A224</f>
        <v/>
      </c>
      <c r="B223" s="81">
        <f>'Sessional + End Term Assessment'!B224</f>
        <v/>
      </c>
      <c r="C223" s="81">
        <f>'Sessional + End Term Assessment'!C224</f>
        <v/>
      </c>
      <c r="D223" s="80" t="n">
        <v>19</v>
      </c>
      <c r="E223" s="70">
        <f>IF(D223&gt;=($D$6*0.7),1,0)</f>
        <v/>
      </c>
      <c r="F223" s="70">
        <f>IF(D223&gt;=($D$6*0.8),1,0)</f>
        <v/>
      </c>
      <c r="G223" s="70">
        <f>IF(D223&gt;=($D$6*0.9),1,0)</f>
        <v/>
      </c>
      <c r="H223" s="80" t="n">
        <v>21</v>
      </c>
      <c r="I223" s="70">
        <f>IF(H223&gt;=($H$6*0.7),1,0)</f>
        <v/>
      </c>
      <c r="J223" s="70">
        <f>IF(H223&gt;=($H$6*0.7),1,0)</f>
        <v/>
      </c>
      <c r="K223" s="70">
        <f>IF(H223&gt;=($H$6*0.9),1,0)</f>
        <v/>
      </c>
      <c r="L223" s="80" t="n">
        <v>11</v>
      </c>
      <c r="M223" s="70">
        <f>IF(L223&gt;=($L$6*0.7),1,0)</f>
        <v/>
      </c>
      <c r="N223" s="70">
        <f>IF(L223&gt;=($L$6*0.8),1,0)</f>
        <v/>
      </c>
      <c r="O223" s="70">
        <f>IF(L223&gt;=($L$6*0.9),1,0)</f>
        <v/>
      </c>
      <c r="P223" s="44" t="n"/>
      <c r="Q223" s="44" t="n"/>
      <c r="R223" s="80" t="n">
        <v>51</v>
      </c>
      <c r="S223" s="44" t="n"/>
      <c r="T223" s="44" t="n"/>
      <c r="U223" s="44" t="n"/>
      <c r="V223" s="44" t="n"/>
      <c r="W223" s="44" t="n"/>
      <c r="X223" s="44" t="n"/>
    </row>
    <row r="224" ht="15.75" customHeight="1" s="93">
      <c r="A224" s="69">
        <f>'Sessional + End Term Assessment'!A225</f>
        <v/>
      </c>
      <c r="B224" s="81">
        <f>'Sessional + End Term Assessment'!B225</f>
        <v/>
      </c>
      <c r="C224" s="81">
        <f>'Sessional + End Term Assessment'!C225</f>
        <v/>
      </c>
      <c r="D224" s="80" t="n">
        <v>20</v>
      </c>
      <c r="E224" s="70">
        <f>IF(D224&gt;=($D$6*0.7),1,0)</f>
        <v/>
      </c>
      <c r="F224" s="70">
        <f>IF(D224&gt;=($D$6*0.8),1,0)</f>
        <v/>
      </c>
      <c r="G224" s="70">
        <f>IF(D224&gt;=($D$6*0.9),1,0)</f>
        <v/>
      </c>
      <c r="H224" s="80" t="n">
        <v>19</v>
      </c>
      <c r="I224" s="70">
        <f>IF(H224&gt;=($H$6*0.7),1,0)</f>
        <v/>
      </c>
      <c r="J224" s="70">
        <f>IF(H224&gt;=($H$6*0.7),1,0)</f>
        <v/>
      </c>
      <c r="K224" s="70">
        <f>IF(H224&gt;=($H$6*0.9),1,0)</f>
        <v/>
      </c>
      <c r="L224" s="80" t="n">
        <v>11</v>
      </c>
      <c r="M224" s="70">
        <f>IF(L224&gt;=($L$6*0.7),1,0)</f>
        <v/>
      </c>
      <c r="N224" s="70">
        <f>IF(L224&gt;=($L$6*0.8),1,0)</f>
        <v/>
      </c>
      <c r="O224" s="70">
        <f>IF(L224&gt;=($L$6*0.9),1,0)</f>
        <v/>
      </c>
      <c r="P224" s="44" t="n"/>
      <c r="Q224" s="44" t="n"/>
      <c r="R224" s="80" t="n">
        <v>50</v>
      </c>
      <c r="S224" s="44" t="n"/>
      <c r="T224" s="44" t="n"/>
      <c r="U224" s="44" t="n"/>
      <c r="V224" s="44" t="n"/>
      <c r="W224" s="44" t="n"/>
      <c r="X224" s="44" t="n"/>
    </row>
    <row r="225" ht="15.75" customHeight="1" s="93">
      <c r="A225" s="69">
        <f>'Sessional + End Term Assessment'!A226</f>
        <v/>
      </c>
      <c r="B225" s="81">
        <f>'Sessional + End Term Assessment'!B226</f>
        <v/>
      </c>
      <c r="C225" s="81">
        <f>'Sessional + End Term Assessment'!C226</f>
        <v/>
      </c>
      <c r="D225" s="80" t="n">
        <v>22</v>
      </c>
      <c r="E225" s="70">
        <f>IF(D225&gt;=($D$6*0.7),1,0)</f>
        <v/>
      </c>
      <c r="F225" s="70">
        <f>IF(D225&gt;=($D$6*0.8),1,0)</f>
        <v/>
      </c>
      <c r="G225" s="70">
        <f>IF(D225&gt;=($D$6*0.9),1,0)</f>
        <v/>
      </c>
      <c r="H225" s="80" t="n">
        <v>22</v>
      </c>
      <c r="I225" s="70">
        <f>IF(H225&gt;=($H$6*0.7),1,0)</f>
        <v/>
      </c>
      <c r="J225" s="70">
        <f>IF(H225&gt;=($H$6*0.7),1,0)</f>
        <v/>
      </c>
      <c r="K225" s="70">
        <f>IF(H225&gt;=($H$6*0.9),1,0)</f>
        <v/>
      </c>
      <c r="L225" s="80" t="n">
        <v>13</v>
      </c>
      <c r="M225" s="70">
        <f>IF(L225&gt;=($L$6*0.7),1,0)</f>
        <v/>
      </c>
      <c r="N225" s="70">
        <f>IF(L225&gt;=($L$6*0.8),1,0)</f>
        <v/>
      </c>
      <c r="O225" s="70">
        <f>IF(L225&gt;=($L$6*0.9),1,0)</f>
        <v/>
      </c>
      <c r="P225" s="44" t="n"/>
      <c r="Q225" s="44" t="n"/>
      <c r="R225" s="80" t="n">
        <v>57</v>
      </c>
      <c r="S225" s="44" t="n"/>
      <c r="T225" s="44" t="n"/>
      <c r="U225" s="44" t="n"/>
      <c r="V225" s="44" t="n"/>
      <c r="W225" s="44" t="n"/>
      <c r="X225" s="44" t="n"/>
    </row>
    <row r="226" ht="15.75" customHeight="1" s="93">
      <c r="A226" s="69">
        <f>'Sessional + End Term Assessment'!A227</f>
        <v/>
      </c>
      <c r="B226" s="81">
        <f>'Sessional + End Term Assessment'!B227</f>
        <v/>
      </c>
      <c r="C226" s="81">
        <f>'Sessional + End Term Assessment'!C227</f>
        <v/>
      </c>
      <c r="D226" s="80" t="n">
        <v>23</v>
      </c>
      <c r="E226" s="70">
        <f>IF(D226&gt;=($D$6*0.7),1,0)</f>
        <v/>
      </c>
      <c r="F226" s="70">
        <f>IF(D226&gt;=($D$6*0.8),1,0)</f>
        <v/>
      </c>
      <c r="G226" s="70">
        <f>IF(D226&gt;=($D$6*0.9),1,0)</f>
        <v/>
      </c>
      <c r="H226" s="80" t="n">
        <v>20</v>
      </c>
      <c r="I226" s="70">
        <f>IF(H226&gt;=($H$6*0.7),1,0)</f>
        <v/>
      </c>
      <c r="J226" s="70">
        <f>IF(H226&gt;=($H$6*0.7),1,0)</f>
        <v/>
      </c>
      <c r="K226" s="70">
        <f>IF(H226&gt;=($H$6*0.9),1,0)</f>
        <v/>
      </c>
      <c r="L226" s="80" t="n">
        <v>13</v>
      </c>
      <c r="M226" s="70">
        <f>IF(L226&gt;=($L$6*0.7),1,0)</f>
        <v/>
      </c>
      <c r="N226" s="70">
        <f>IF(L226&gt;=($L$6*0.8),1,0)</f>
        <v/>
      </c>
      <c r="O226" s="70">
        <f>IF(L226&gt;=($L$6*0.9),1,0)</f>
        <v/>
      </c>
      <c r="P226" s="44" t="n"/>
      <c r="Q226" s="44" t="n"/>
      <c r="R226" s="80" t="n">
        <v>56</v>
      </c>
      <c r="S226" s="44" t="n"/>
      <c r="T226" s="44" t="n"/>
      <c r="U226" s="44" t="n"/>
      <c r="V226" s="44" t="n"/>
      <c r="W226" s="44" t="n"/>
      <c r="X226" s="44" t="n"/>
    </row>
    <row r="227" ht="15.75" customHeight="1" s="93">
      <c r="A227" s="69">
        <f>'Sessional + End Term Assessment'!A228</f>
        <v/>
      </c>
      <c r="B227" s="81">
        <f>'Sessional + End Term Assessment'!B228</f>
        <v/>
      </c>
      <c r="C227" s="81">
        <f>'Sessional + End Term Assessment'!C228</f>
        <v/>
      </c>
      <c r="D227" s="80" t="n">
        <v>26</v>
      </c>
      <c r="E227" s="70">
        <f>IF(D227&gt;=($D$6*0.7),1,0)</f>
        <v/>
      </c>
      <c r="F227" s="70">
        <f>IF(D227&gt;=($D$6*0.8),1,0)</f>
        <v/>
      </c>
      <c r="G227" s="70">
        <f>IF(D227&gt;=($D$6*0.9),1,0)</f>
        <v/>
      </c>
      <c r="H227" s="80" t="n">
        <v>27</v>
      </c>
      <c r="I227" s="70">
        <f>IF(H227&gt;=($H$6*0.7),1,0)</f>
        <v/>
      </c>
      <c r="J227" s="70">
        <f>IF(H227&gt;=($H$6*0.7),1,0)</f>
        <v/>
      </c>
      <c r="K227" s="70">
        <f>IF(H227&gt;=($H$6*0.9),1,0)</f>
        <v/>
      </c>
      <c r="L227" s="80" t="n">
        <v>14</v>
      </c>
      <c r="M227" s="70">
        <f>IF(L227&gt;=($L$6*0.7),1,0)</f>
        <v/>
      </c>
      <c r="N227" s="70">
        <f>IF(L227&gt;=($L$6*0.8),1,0)</f>
        <v/>
      </c>
      <c r="O227" s="70">
        <f>IF(L227&gt;=($L$6*0.9),1,0)</f>
        <v/>
      </c>
      <c r="P227" s="44" t="n"/>
      <c r="Q227" s="44" t="n"/>
      <c r="R227" s="80" t="n">
        <v>67</v>
      </c>
      <c r="S227" s="44" t="n"/>
      <c r="T227" s="44" t="n"/>
      <c r="U227" s="44" t="n"/>
      <c r="V227" s="44" t="n"/>
      <c r="W227" s="44" t="n"/>
      <c r="X227" s="44" t="n"/>
    </row>
    <row r="228" ht="15.75" customHeight="1" s="93">
      <c r="A228" s="69">
        <f>'Sessional + End Term Assessment'!A229</f>
        <v/>
      </c>
      <c r="B228" s="81">
        <f>'Sessional + End Term Assessment'!B229</f>
        <v/>
      </c>
      <c r="C228" s="81">
        <f>'Sessional + End Term Assessment'!C229</f>
        <v/>
      </c>
      <c r="D228" s="80" t="n">
        <v>20</v>
      </c>
      <c r="E228" s="70">
        <f>IF(D228&gt;=($D$6*0.7),1,0)</f>
        <v/>
      </c>
      <c r="F228" s="70">
        <f>IF(D228&gt;=($D$6*0.8),1,0)</f>
        <v/>
      </c>
      <c r="G228" s="70">
        <f>IF(D228&gt;=($D$6*0.9),1,0)</f>
        <v/>
      </c>
      <c r="H228" s="80" t="n">
        <v>23</v>
      </c>
      <c r="I228" s="70">
        <f>IF(H228&gt;=($H$6*0.7),1,0)</f>
        <v/>
      </c>
      <c r="J228" s="70">
        <f>IF(H228&gt;=($H$6*0.7),1,0)</f>
        <v/>
      </c>
      <c r="K228" s="70">
        <f>IF(H228&gt;=($H$6*0.9),1,0)</f>
        <v/>
      </c>
      <c r="L228" s="80" t="n">
        <v>11</v>
      </c>
      <c r="M228" s="70">
        <f>IF(L228&gt;=($L$6*0.7),1,0)</f>
        <v/>
      </c>
      <c r="N228" s="70">
        <f>IF(L228&gt;=($L$6*0.8),1,0)</f>
        <v/>
      </c>
      <c r="O228" s="70">
        <f>IF(L228&gt;=($L$6*0.9),1,0)</f>
        <v/>
      </c>
      <c r="P228" s="44" t="n"/>
      <c r="Q228" s="44" t="n"/>
      <c r="R228" s="80" t="n">
        <v>54</v>
      </c>
      <c r="S228" s="44" t="n"/>
      <c r="T228" s="44" t="n"/>
      <c r="U228" s="44" t="n"/>
      <c r="V228" s="44" t="n"/>
      <c r="W228" s="44" t="n"/>
      <c r="X228" s="44" t="n"/>
    </row>
    <row r="229" ht="15.75" customHeight="1" s="93">
      <c r="A229" s="69">
        <f>'Sessional + End Term Assessment'!A230</f>
        <v/>
      </c>
      <c r="B229" s="81">
        <f>'Sessional + End Term Assessment'!B230</f>
        <v/>
      </c>
      <c r="C229" s="81">
        <f>'Sessional + End Term Assessment'!C230</f>
        <v/>
      </c>
      <c r="D229" s="80" t="n">
        <v>26</v>
      </c>
      <c r="E229" s="70">
        <f>IF(D229&gt;=($D$6*0.7),1,0)</f>
        <v/>
      </c>
      <c r="F229" s="70">
        <f>IF(D229&gt;=($D$6*0.8),1,0)</f>
        <v/>
      </c>
      <c r="G229" s="70">
        <f>IF(D229&gt;=($D$6*0.9),1,0)</f>
        <v/>
      </c>
      <c r="H229" s="80" t="n">
        <v>24</v>
      </c>
      <c r="I229" s="70">
        <f>IF(H229&gt;=($H$6*0.7),1,0)</f>
        <v/>
      </c>
      <c r="J229" s="70">
        <f>IF(H229&gt;=($H$6*0.7),1,0)</f>
        <v/>
      </c>
      <c r="K229" s="70">
        <f>IF(H229&gt;=($H$6*0.9),1,0)</f>
        <v/>
      </c>
      <c r="L229" s="80" t="n">
        <v>13</v>
      </c>
      <c r="M229" s="70">
        <f>IF(L229&gt;=($L$6*0.7),1,0)</f>
        <v/>
      </c>
      <c r="N229" s="70">
        <f>IF(L229&gt;=($L$6*0.8),1,0)</f>
        <v/>
      </c>
      <c r="O229" s="70">
        <f>IF(L229&gt;=($L$6*0.9),1,0)</f>
        <v/>
      </c>
      <c r="P229" s="44" t="n"/>
      <c r="Q229" s="44" t="n"/>
      <c r="R229" s="80" t="n">
        <v>63</v>
      </c>
      <c r="S229" s="44" t="n"/>
      <c r="T229" s="44" t="n"/>
      <c r="U229" s="44" t="n"/>
      <c r="V229" s="44" t="n"/>
      <c r="W229" s="44" t="n"/>
      <c r="X229" s="44" t="n"/>
    </row>
    <row r="230" ht="15.75" customHeight="1" s="93">
      <c r="A230" s="69">
        <f>'Sessional + End Term Assessment'!A231</f>
        <v/>
      </c>
      <c r="B230" s="81">
        <f>'Sessional + End Term Assessment'!B231</f>
        <v/>
      </c>
      <c r="C230" s="81">
        <f>'Sessional + End Term Assessment'!C231</f>
        <v/>
      </c>
      <c r="D230" s="80" t="n">
        <v>28</v>
      </c>
      <c r="E230" s="70">
        <f>IF(D230&gt;=($D$6*0.7),1,0)</f>
        <v/>
      </c>
      <c r="F230" s="70">
        <f>IF(D230&gt;=($D$6*0.8),1,0)</f>
        <v/>
      </c>
      <c r="G230" s="70">
        <f>IF(D230&gt;=($D$6*0.9),1,0)</f>
        <v/>
      </c>
      <c r="H230" s="80" t="n">
        <v>28</v>
      </c>
      <c r="I230" s="70">
        <f>IF(H230&gt;=($H$6*0.7),1,0)</f>
        <v/>
      </c>
      <c r="J230" s="70">
        <f>IF(H230&gt;=($H$6*0.7),1,0)</f>
        <v/>
      </c>
      <c r="K230" s="70">
        <f>IF(H230&gt;=($H$6*0.9),1,0)</f>
        <v/>
      </c>
      <c r="L230" s="80" t="n">
        <v>14</v>
      </c>
      <c r="M230" s="70">
        <f>IF(L230&gt;=($L$6*0.7),1,0)</f>
        <v/>
      </c>
      <c r="N230" s="70">
        <f>IF(L230&gt;=($L$6*0.8),1,0)</f>
        <v/>
      </c>
      <c r="O230" s="70">
        <f>IF(L230&gt;=($L$6*0.9),1,0)</f>
        <v/>
      </c>
      <c r="P230" s="44" t="n"/>
      <c r="Q230" s="44" t="n"/>
      <c r="R230" s="80" t="n">
        <v>70</v>
      </c>
      <c r="S230" s="44" t="n"/>
      <c r="T230" s="44" t="n"/>
      <c r="U230" s="44" t="n"/>
      <c r="V230" s="44" t="n"/>
      <c r="W230" s="44" t="n"/>
      <c r="X230" s="44" t="n"/>
    </row>
    <row r="231" ht="15.75" customHeight="1" s="93">
      <c r="A231" s="69">
        <f>'Sessional + End Term Assessment'!A232</f>
        <v/>
      </c>
      <c r="B231" s="81">
        <f>'Sessional + End Term Assessment'!B232</f>
        <v/>
      </c>
      <c r="C231" s="81">
        <f>'Sessional + End Term Assessment'!C232</f>
        <v/>
      </c>
      <c r="D231" s="80" t="n">
        <v>27</v>
      </c>
      <c r="E231" s="70">
        <f>IF(D231&gt;=($D$6*0.7),1,0)</f>
        <v/>
      </c>
      <c r="F231" s="70">
        <f>IF(D231&gt;=($D$6*0.8),1,0)</f>
        <v/>
      </c>
      <c r="G231" s="70">
        <f>IF(D231&gt;=($D$6*0.9),1,0)</f>
        <v/>
      </c>
      <c r="H231" s="80" t="n">
        <v>24</v>
      </c>
      <c r="I231" s="70">
        <f>IF(H231&gt;=($H$6*0.7),1,0)</f>
        <v/>
      </c>
      <c r="J231" s="70">
        <f>IF(H231&gt;=($H$6*0.7),1,0)</f>
        <v/>
      </c>
      <c r="K231" s="70">
        <f>IF(H231&gt;=($H$6*0.9),1,0)</f>
        <v/>
      </c>
      <c r="L231" s="80" t="n">
        <v>13</v>
      </c>
      <c r="M231" s="70">
        <f>IF(L231&gt;=($L$6*0.7),1,0)</f>
        <v/>
      </c>
      <c r="N231" s="70">
        <f>IF(L231&gt;=($L$6*0.8),1,0)</f>
        <v/>
      </c>
      <c r="O231" s="70">
        <f>IF(L231&gt;=($L$6*0.9),1,0)</f>
        <v/>
      </c>
      <c r="P231" s="44" t="n"/>
      <c r="Q231" s="44" t="n"/>
      <c r="R231" s="80" t="n">
        <v>64</v>
      </c>
      <c r="S231" s="44" t="n"/>
      <c r="T231" s="44" t="n"/>
      <c r="U231" s="44" t="n"/>
      <c r="V231" s="44" t="n"/>
      <c r="W231" s="44" t="n"/>
      <c r="X231" s="44" t="n"/>
    </row>
    <row r="232" ht="15.75" customHeight="1" s="93">
      <c r="A232" s="69">
        <f>'Sessional + End Term Assessment'!A233</f>
        <v/>
      </c>
      <c r="B232" s="81">
        <f>'Sessional + End Term Assessment'!B233</f>
        <v/>
      </c>
      <c r="C232" s="81">
        <f>'Sessional + End Term Assessment'!C233</f>
        <v/>
      </c>
      <c r="D232" s="80" t="n">
        <v>23</v>
      </c>
      <c r="E232" s="70">
        <f>IF(D232&gt;=($D$6*0.7),1,0)</f>
        <v/>
      </c>
      <c r="F232" s="70">
        <f>IF(D232&gt;=($D$6*0.8),1,0)</f>
        <v/>
      </c>
      <c r="G232" s="70">
        <f>IF(D232&gt;=($D$6*0.9),1,0)</f>
        <v/>
      </c>
      <c r="H232" s="80" t="n">
        <v>23</v>
      </c>
      <c r="I232" s="70">
        <f>IF(H232&gt;=($H$6*0.7),1,0)</f>
        <v/>
      </c>
      <c r="J232" s="70">
        <f>IF(H232&gt;=($H$6*0.7),1,0)</f>
        <v/>
      </c>
      <c r="K232" s="70">
        <f>IF(H232&gt;=($H$6*0.9),1,0)</f>
        <v/>
      </c>
      <c r="L232" s="80" t="n">
        <v>13</v>
      </c>
      <c r="M232" s="70">
        <f>IF(L232&gt;=($L$6*0.7),1,0)</f>
        <v/>
      </c>
      <c r="N232" s="70">
        <f>IF(L232&gt;=($L$6*0.8),1,0)</f>
        <v/>
      </c>
      <c r="O232" s="70">
        <f>IF(L232&gt;=($L$6*0.9),1,0)</f>
        <v/>
      </c>
      <c r="P232" s="44" t="n"/>
      <c r="Q232" s="44" t="n"/>
      <c r="R232" s="80" t="n">
        <v>59</v>
      </c>
      <c r="S232" s="44" t="n"/>
      <c r="T232" s="44" t="n"/>
      <c r="U232" s="44" t="n"/>
      <c r="V232" s="44" t="n"/>
      <c r="W232" s="44" t="n"/>
      <c r="X232" s="44" t="n"/>
    </row>
    <row r="233" ht="15.75" customHeight="1" s="93">
      <c r="A233" s="69">
        <f>'Sessional + End Term Assessment'!A234</f>
        <v/>
      </c>
      <c r="B233" s="81">
        <f>'Sessional + End Term Assessment'!B234</f>
        <v/>
      </c>
      <c r="C233" s="81">
        <f>'Sessional + End Term Assessment'!C234</f>
        <v/>
      </c>
      <c r="D233" s="80" t="n">
        <v>24</v>
      </c>
      <c r="E233" s="70">
        <f>IF(D233&gt;=($D$6*0.7),1,0)</f>
        <v/>
      </c>
      <c r="F233" s="70">
        <f>IF(D233&gt;=($D$6*0.8),1,0)</f>
        <v/>
      </c>
      <c r="G233" s="70">
        <f>IF(D233&gt;=($D$6*0.9),1,0)</f>
        <v/>
      </c>
      <c r="H233" s="80" t="n">
        <v>26</v>
      </c>
      <c r="I233" s="70">
        <f>IF(H233&gt;=($H$6*0.7),1,0)</f>
        <v/>
      </c>
      <c r="J233" s="70">
        <f>IF(H233&gt;=($H$6*0.7),1,0)</f>
        <v/>
      </c>
      <c r="K233" s="70">
        <f>IF(H233&gt;=($H$6*0.9),1,0)</f>
        <v/>
      </c>
      <c r="L233" s="80" t="n">
        <v>13</v>
      </c>
      <c r="M233" s="70">
        <f>IF(L233&gt;=($L$6*0.7),1,0)</f>
        <v/>
      </c>
      <c r="N233" s="70">
        <f>IF(L233&gt;=($L$6*0.8),1,0)</f>
        <v/>
      </c>
      <c r="O233" s="70">
        <f>IF(L233&gt;=($L$6*0.9),1,0)</f>
        <v/>
      </c>
      <c r="P233" s="44" t="n"/>
      <c r="Q233" s="44" t="n"/>
      <c r="R233" s="80" t="n">
        <v>63</v>
      </c>
      <c r="S233" s="44" t="n"/>
      <c r="T233" s="44" t="n"/>
      <c r="U233" s="44" t="n"/>
      <c r="V233" s="44" t="n"/>
      <c r="W233" s="44" t="n"/>
      <c r="X233" s="44" t="n"/>
    </row>
    <row r="234" ht="15.75" customHeight="1" s="93">
      <c r="A234" s="69">
        <f>'Sessional + End Term Assessment'!A235</f>
        <v/>
      </c>
      <c r="B234" s="81">
        <f>'Sessional + End Term Assessment'!B235</f>
        <v/>
      </c>
      <c r="C234" s="81">
        <f>'Sessional + End Term Assessment'!C235</f>
        <v/>
      </c>
      <c r="D234" s="80" t="n">
        <v>26</v>
      </c>
      <c r="E234" s="70">
        <f>IF(D234&gt;=($D$6*0.7),1,0)</f>
        <v/>
      </c>
      <c r="F234" s="70">
        <f>IF(D234&gt;=($D$6*0.8),1,0)</f>
        <v/>
      </c>
      <c r="G234" s="70">
        <f>IF(D234&gt;=($D$6*0.9),1,0)</f>
        <v/>
      </c>
      <c r="H234" s="80" t="n">
        <v>25</v>
      </c>
      <c r="I234" s="70">
        <f>IF(H234&gt;=($H$6*0.7),1,0)</f>
        <v/>
      </c>
      <c r="J234" s="70">
        <f>IF(H234&gt;=($H$6*0.7),1,0)</f>
        <v/>
      </c>
      <c r="K234" s="70">
        <f>IF(H234&gt;=($H$6*0.9),1,0)</f>
        <v/>
      </c>
      <c r="L234" s="80" t="n">
        <v>14</v>
      </c>
      <c r="M234" s="70">
        <f>IF(L234&gt;=($L$6*0.7),1,0)</f>
        <v/>
      </c>
      <c r="N234" s="70">
        <f>IF(L234&gt;=($L$6*0.8),1,0)</f>
        <v/>
      </c>
      <c r="O234" s="70">
        <f>IF(L234&gt;=($L$6*0.9),1,0)</f>
        <v/>
      </c>
      <c r="P234" s="44" t="n"/>
      <c r="Q234" s="44" t="n"/>
      <c r="R234" s="80" t="n">
        <v>65</v>
      </c>
      <c r="S234" s="44" t="n"/>
      <c r="T234" s="44" t="n"/>
      <c r="U234" s="44" t="n"/>
      <c r="V234" s="44" t="n"/>
      <c r="W234" s="44" t="n"/>
      <c r="X234" s="44" t="n"/>
    </row>
    <row r="235" ht="15.75" customHeight="1" s="93">
      <c r="A235" s="69">
        <f>'Sessional + End Term Assessment'!A236</f>
        <v/>
      </c>
      <c r="B235" s="81">
        <f>'Sessional + End Term Assessment'!B236</f>
        <v/>
      </c>
      <c r="C235" s="81">
        <f>'Sessional + End Term Assessment'!C236</f>
        <v/>
      </c>
      <c r="D235" s="80" t="n">
        <v>24</v>
      </c>
      <c r="E235" s="70">
        <f>IF(D235&gt;=($D$6*0.7),1,0)</f>
        <v/>
      </c>
      <c r="F235" s="70">
        <f>IF(D235&gt;=($D$6*0.8),1,0)</f>
        <v/>
      </c>
      <c r="G235" s="70">
        <f>IF(D235&gt;=($D$6*0.9),1,0)</f>
        <v/>
      </c>
      <c r="H235" s="80" t="n">
        <v>21</v>
      </c>
      <c r="I235" s="70">
        <f>IF(H235&gt;=($H$6*0.7),1,0)</f>
        <v/>
      </c>
      <c r="J235" s="70">
        <f>IF(H235&gt;=($H$6*0.7),1,0)</f>
        <v/>
      </c>
      <c r="K235" s="70">
        <f>IF(H235&gt;=($H$6*0.9),1,0)</f>
        <v/>
      </c>
      <c r="L235" s="80" t="n">
        <v>13</v>
      </c>
      <c r="M235" s="70">
        <f>IF(L235&gt;=($L$6*0.7),1,0)</f>
        <v/>
      </c>
      <c r="N235" s="70">
        <f>IF(L235&gt;=($L$6*0.8),1,0)</f>
        <v/>
      </c>
      <c r="O235" s="70">
        <f>IF(L235&gt;=($L$6*0.9),1,0)</f>
        <v/>
      </c>
      <c r="P235" s="44" t="n"/>
      <c r="Q235" s="44" t="n"/>
      <c r="R235" s="80" t="n">
        <v>58</v>
      </c>
      <c r="S235" s="44" t="n"/>
      <c r="T235" s="44" t="n"/>
      <c r="U235" s="44" t="n"/>
      <c r="V235" s="44" t="n"/>
      <c r="W235" s="44" t="n"/>
      <c r="X235" s="44" t="n"/>
    </row>
    <row r="236" ht="15.75" customHeight="1" s="93">
      <c r="A236" s="69">
        <f>'Sessional + End Term Assessment'!A237</f>
        <v/>
      </c>
      <c r="B236" s="81">
        <f>'Sessional + End Term Assessment'!B237</f>
        <v/>
      </c>
      <c r="C236" s="81">
        <f>'Sessional + End Term Assessment'!C237</f>
        <v/>
      </c>
      <c r="D236" s="80" t="n">
        <v>28</v>
      </c>
      <c r="E236" s="70">
        <f>IF(D236&gt;=($D$6*0.7),1,0)</f>
        <v/>
      </c>
      <c r="F236" s="70">
        <f>IF(D236&gt;=($D$6*0.8),1,0)</f>
        <v/>
      </c>
      <c r="G236" s="70">
        <f>IF(D236&gt;=($D$6*0.9),1,0)</f>
        <v/>
      </c>
      <c r="H236" s="80" t="n">
        <v>28</v>
      </c>
      <c r="I236" s="70">
        <f>IF(H236&gt;=($H$6*0.7),1,0)</f>
        <v/>
      </c>
      <c r="J236" s="70">
        <f>IF(H236&gt;=($H$6*0.7),1,0)</f>
        <v/>
      </c>
      <c r="K236" s="70">
        <f>IF(H236&gt;=($H$6*0.9),1,0)</f>
        <v/>
      </c>
      <c r="L236" s="80" t="n">
        <v>14</v>
      </c>
      <c r="M236" s="70">
        <f>IF(L236&gt;=($L$6*0.7),1,0)</f>
        <v/>
      </c>
      <c r="N236" s="70">
        <f>IF(L236&gt;=($L$6*0.8),1,0)</f>
        <v/>
      </c>
      <c r="O236" s="70">
        <f>IF(L236&gt;=($L$6*0.9),1,0)</f>
        <v/>
      </c>
      <c r="P236" s="44" t="n"/>
      <c r="Q236" s="44" t="n"/>
      <c r="R236" s="80" t="n">
        <v>70</v>
      </c>
      <c r="S236" s="44" t="n"/>
      <c r="T236" s="44" t="n"/>
      <c r="U236" s="44" t="n"/>
      <c r="V236" s="44" t="n"/>
      <c r="W236" s="44" t="n"/>
      <c r="X236" s="44" t="n"/>
    </row>
    <row r="237" ht="15.75" customHeight="1" s="93">
      <c r="A237" s="69">
        <f>'Sessional + End Term Assessment'!A238</f>
        <v/>
      </c>
      <c r="B237" s="81">
        <f>'Sessional + End Term Assessment'!B238</f>
        <v/>
      </c>
      <c r="C237" s="81">
        <f>'Sessional + End Term Assessment'!C238</f>
        <v/>
      </c>
      <c r="D237" s="80" t="n">
        <v>22</v>
      </c>
      <c r="E237" s="70">
        <f>IF(D237&gt;=($D$6*0.7),1,0)</f>
        <v/>
      </c>
      <c r="F237" s="70">
        <f>IF(D237&gt;=($D$6*0.8),1,0)</f>
        <v/>
      </c>
      <c r="G237" s="70">
        <f>IF(D237&gt;=($D$6*0.9),1,0)</f>
        <v/>
      </c>
      <c r="H237" s="80" t="n">
        <v>22</v>
      </c>
      <c r="I237" s="70">
        <f>IF(H237&gt;=($H$6*0.7),1,0)</f>
        <v/>
      </c>
      <c r="J237" s="70">
        <f>IF(H237&gt;=($H$6*0.7),1,0)</f>
        <v/>
      </c>
      <c r="K237" s="70">
        <f>IF(H237&gt;=($H$6*0.9),1,0)</f>
        <v/>
      </c>
      <c r="L237" s="80" t="n">
        <v>13</v>
      </c>
      <c r="M237" s="70">
        <f>IF(L237&gt;=($L$6*0.7),1,0)</f>
        <v/>
      </c>
      <c r="N237" s="70">
        <f>IF(L237&gt;=($L$6*0.8),1,0)</f>
        <v/>
      </c>
      <c r="O237" s="70">
        <f>IF(L237&gt;=($L$6*0.9),1,0)</f>
        <v/>
      </c>
      <c r="P237" s="44" t="n"/>
      <c r="Q237" s="44" t="n"/>
      <c r="R237" s="80" t="n">
        <v>57</v>
      </c>
      <c r="S237" s="44" t="n"/>
      <c r="T237" s="44" t="n"/>
      <c r="U237" s="44" t="n"/>
      <c r="V237" s="44" t="n"/>
      <c r="W237" s="44" t="n"/>
      <c r="X237" s="44" t="n"/>
    </row>
    <row r="238" ht="15.75" customHeight="1" s="93">
      <c r="A238" s="69">
        <f>'Sessional + End Term Assessment'!A239</f>
        <v/>
      </c>
      <c r="B238" s="81">
        <f>'Sessional + End Term Assessment'!B239</f>
        <v/>
      </c>
      <c r="C238" s="81">
        <f>'Sessional + End Term Assessment'!C239</f>
        <v/>
      </c>
      <c r="D238" s="80" t="n">
        <v>18</v>
      </c>
      <c r="E238" s="70">
        <f>IF(D238&gt;=($D$6*0.7),1,0)</f>
        <v/>
      </c>
      <c r="F238" s="70">
        <f>IF(D238&gt;=($D$6*0.8),1,0)</f>
        <v/>
      </c>
      <c r="G238" s="70">
        <f>IF(D238&gt;=($D$6*0.9),1,0)</f>
        <v/>
      </c>
      <c r="H238" s="80" t="n">
        <v>20</v>
      </c>
      <c r="I238" s="70">
        <f>IF(H238&gt;=($H$6*0.7),1,0)</f>
        <v/>
      </c>
      <c r="J238" s="70">
        <f>IF(H238&gt;=($H$6*0.7),1,0)</f>
        <v/>
      </c>
      <c r="K238" s="70">
        <f>IF(H238&gt;=($H$6*0.9),1,0)</f>
        <v/>
      </c>
      <c r="L238" s="80" t="n">
        <v>11</v>
      </c>
      <c r="M238" s="70">
        <f>IF(L238&gt;=($L$6*0.7),1,0)</f>
        <v/>
      </c>
      <c r="N238" s="70">
        <f>IF(L238&gt;=($L$6*0.8),1,0)</f>
        <v/>
      </c>
      <c r="O238" s="70">
        <f>IF(L238&gt;=($L$6*0.9),1,0)</f>
        <v/>
      </c>
      <c r="P238" s="44" t="n"/>
      <c r="Q238" s="44" t="n"/>
      <c r="R238" s="80" t="n">
        <v>49</v>
      </c>
      <c r="S238" s="44" t="n"/>
      <c r="T238" s="44" t="n"/>
      <c r="U238" s="44" t="n"/>
      <c r="V238" s="44" t="n"/>
      <c r="W238" s="44" t="n"/>
      <c r="X238" s="44" t="n"/>
    </row>
    <row r="239" ht="15.75" customHeight="1" s="93">
      <c r="A239" s="69">
        <f>'Sessional + End Term Assessment'!A240</f>
        <v/>
      </c>
      <c r="B239" s="81">
        <f>'Sessional + End Term Assessment'!B240</f>
        <v/>
      </c>
      <c r="C239" s="81">
        <f>'Sessional + End Term Assessment'!C240</f>
        <v/>
      </c>
      <c r="D239" s="80" t="n">
        <v>26</v>
      </c>
      <c r="E239" s="70">
        <f>IF(D239&gt;=($D$6*0.7),1,0)</f>
        <v/>
      </c>
      <c r="F239" s="70">
        <f>IF(D239&gt;=($D$6*0.8),1,0)</f>
        <v/>
      </c>
      <c r="G239" s="70">
        <f>IF(D239&gt;=($D$6*0.9),1,0)</f>
        <v/>
      </c>
      <c r="H239" s="80" t="n">
        <v>24</v>
      </c>
      <c r="I239" s="70">
        <f>IF(H239&gt;=($H$6*0.7),1,0)</f>
        <v/>
      </c>
      <c r="J239" s="70">
        <f>IF(H239&gt;=($H$6*0.7),1,0)</f>
        <v/>
      </c>
      <c r="K239" s="70">
        <f>IF(H239&gt;=($H$6*0.9),1,0)</f>
        <v/>
      </c>
      <c r="L239" s="80" t="n">
        <v>13</v>
      </c>
      <c r="M239" s="70">
        <f>IF(L239&gt;=($L$6*0.7),1,0)</f>
        <v/>
      </c>
      <c r="N239" s="70">
        <f>IF(L239&gt;=($L$6*0.8),1,0)</f>
        <v/>
      </c>
      <c r="O239" s="70">
        <f>IF(L239&gt;=($L$6*0.9),1,0)</f>
        <v/>
      </c>
      <c r="P239" s="44" t="n"/>
      <c r="Q239" s="44" t="n"/>
      <c r="R239" s="80" t="n">
        <v>63</v>
      </c>
      <c r="S239" s="44" t="n"/>
      <c r="T239" s="44" t="n"/>
      <c r="U239" s="44" t="n"/>
      <c r="V239" s="44" t="n"/>
      <c r="W239" s="44" t="n"/>
      <c r="X239" s="44" t="n"/>
    </row>
    <row r="240" ht="15.75" customHeight="1" s="93">
      <c r="A240" s="69">
        <f>'Sessional + End Term Assessment'!A241</f>
        <v/>
      </c>
      <c r="B240" s="81">
        <f>'Sessional + End Term Assessment'!B241</f>
        <v/>
      </c>
      <c r="C240" s="81">
        <f>'Sessional + End Term Assessment'!C241</f>
        <v/>
      </c>
      <c r="D240" s="80" t="n">
        <v>24</v>
      </c>
      <c r="E240" s="70">
        <f>IF(D240&gt;=($D$6*0.7),1,0)</f>
        <v/>
      </c>
      <c r="F240" s="70">
        <f>IF(D240&gt;=($D$6*0.8),1,0)</f>
        <v/>
      </c>
      <c r="G240" s="70">
        <f>IF(D240&gt;=($D$6*0.9),1,0)</f>
        <v/>
      </c>
      <c r="H240" s="80" t="n">
        <v>24</v>
      </c>
      <c r="I240" s="70">
        <f>IF(H240&gt;=($H$6*0.7),1,0)</f>
        <v/>
      </c>
      <c r="J240" s="70">
        <f>IF(H240&gt;=($H$6*0.7),1,0)</f>
        <v/>
      </c>
      <c r="K240" s="70">
        <f>IF(H240&gt;=($H$6*0.9),1,0)</f>
        <v/>
      </c>
      <c r="L240" s="80" t="n">
        <v>13</v>
      </c>
      <c r="M240" s="70">
        <f>IF(L240&gt;=($L$6*0.7),1,0)</f>
        <v/>
      </c>
      <c r="N240" s="70">
        <f>IF(L240&gt;=($L$6*0.8),1,0)</f>
        <v/>
      </c>
      <c r="O240" s="70">
        <f>IF(L240&gt;=($L$6*0.9),1,0)</f>
        <v/>
      </c>
      <c r="P240" s="44" t="n"/>
      <c r="Q240" s="44" t="n"/>
      <c r="R240" s="80" t="n">
        <v>61</v>
      </c>
      <c r="S240" s="44" t="n"/>
      <c r="T240" s="44" t="n"/>
      <c r="U240" s="44" t="n"/>
      <c r="V240" s="44" t="n"/>
      <c r="W240" s="44" t="n"/>
      <c r="X240" s="44" t="n"/>
    </row>
    <row r="241" ht="15.75" customHeight="1" s="93">
      <c r="A241" s="69">
        <f>'Sessional + End Term Assessment'!A242</f>
        <v/>
      </c>
      <c r="B241" s="81">
        <f>'Sessional + End Term Assessment'!B242</f>
        <v/>
      </c>
      <c r="C241" s="81">
        <f>'Sessional + End Term Assessment'!C242</f>
        <v/>
      </c>
      <c r="D241" s="80" t="n">
        <v>27</v>
      </c>
      <c r="E241" s="70">
        <f>IF(D241&gt;=($D$6*0.7),1,0)</f>
        <v/>
      </c>
      <c r="F241" s="70">
        <f>IF(D241&gt;=($D$6*0.8),1,0)</f>
        <v/>
      </c>
      <c r="G241" s="70">
        <f>IF(D241&gt;=($D$6*0.9),1,0)</f>
        <v/>
      </c>
      <c r="H241" s="80" t="n">
        <v>24</v>
      </c>
      <c r="I241" s="70">
        <f>IF(H241&gt;=($H$6*0.7),1,0)</f>
        <v/>
      </c>
      <c r="J241" s="70">
        <f>IF(H241&gt;=($H$6*0.7),1,0)</f>
        <v/>
      </c>
      <c r="K241" s="70">
        <f>IF(H241&gt;=($H$6*0.9),1,0)</f>
        <v/>
      </c>
      <c r="L241" s="80" t="n">
        <v>14</v>
      </c>
      <c r="M241" s="70">
        <f>IF(L241&gt;=($L$6*0.7),1,0)</f>
        <v/>
      </c>
      <c r="N241" s="70">
        <f>IF(L241&gt;=($L$6*0.8),1,0)</f>
        <v/>
      </c>
      <c r="O241" s="70">
        <f>IF(L241&gt;=($L$6*0.9),1,0)</f>
        <v/>
      </c>
      <c r="P241" s="44" t="n"/>
      <c r="Q241" s="44" t="n"/>
      <c r="R241" s="80" t="n">
        <v>65</v>
      </c>
      <c r="S241" s="44" t="n"/>
      <c r="T241" s="44" t="n"/>
      <c r="U241" s="44" t="n"/>
      <c r="V241" s="44" t="n"/>
      <c r="W241" s="44" t="n"/>
      <c r="X241" s="44" t="n"/>
    </row>
    <row r="242" ht="15.75" customHeight="1" s="93">
      <c r="A242" s="69">
        <f>'Sessional + End Term Assessment'!A243</f>
        <v/>
      </c>
      <c r="B242" s="81">
        <f>'Sessional + End Term Assessment'!B243</f>
        <v/>
      </c>
      <c r="C242" s="81">
        <f>'Sessional + End Term Assessment'!C243</f>
        <v/>
      </c>
      <c r="D242" s="80" t="n">
        <v>22</v>
      </c>
      <c r="E242" s="70">
        <f>IF(D242&gt;=($D$6*0.7),1,0)</f>
        <v/>
      </c>
      <c r="F242" s="70">
        <f>IF(D242&gt;=($D$6*0.8),1,0)</f>
        <v/>
      </c>
      <c r="G242" s="70">
        <f>IF(D242&gt;=($D$6*0.9),1,0)</f>
        <v/>
      </c>
      <c r="H242" s="80" t="n">
        <v>22</v>
      </c>
      <c r="I242" s="70">
        <f>IF(H242&gt;=($H$6*0.7),1,0)</f>
        <v/>
      </c>
      <c r="J242" s="70">
        <f>IF(H242&gt;=($H$6*0.7),1,0)</f>
        <v/>
      </c>
      <c r="K242" s="70">
        <f>IF(H242&gt;=($H$6*0.9),1,0)</f>
        <v/>
      </c>
      <c r="L242" s="80" t="n">
        <v>13</v>
      </c>
      <c r="M242" s="70">
        <f>IF(L242&gt;=($L$6*0.7),1,0)</f>
        <v/>
      </c>
      <c r="N242" s="70">
        <f>IF(L242&gt;=($L$6*0.8),1,0)</f>
        <v/>
      </c>
      <c r="O242" s="70">
        <f>IF(L242&gt;=($L$6*0.9),1,0)</f>
        <v/>
      </c>
      <c r="P242" s="44" t="n"/>
      <c r="Q242" s="44" t="n"/>
      <c r="R242" s="80" t="n">
        <v>57</v>
      </c>
      <c r="S242" s="44" t="n"/>
      <c r="T242" s="44" t="n"/>
      <c r="U242" s="44" t="n"/>
      <c r="V242" s="44" t="n"/>
      <c r="W242" s="44" t="n"/>
      <c r="X242" s="44" t="n"/>
    </row>
    <row r="243" ht="15.75" customHeight="1" s="93">
      <c r="A243" s="69">
        <f>'Sessional + End Term Assessment'!A244</f>
        <v/>
      </c>
      <c r="B243" s="81">
        <f>'Sessional + End Term Assessment'!B244</f>
        <v/>
      </c>
      <c r="C243" s="81">
        <f>'Sessional + End Term Assessment'!C244</f>
        <v/>
      </c>
      <c r="D243" s="80" t="n">
        <v>28</v>
      </c>
      <c r="E243" s="70">
        <f>IF(D243&gt;=($D$6*0.7),1,0)</f>
        <v/>
      </c>
      <c r="F243" s="70">
        <f>IF(D243&gt;=($D$6*0.8),1,0)</f>
        <v/>
      </c>
      <c r="G243" s="70">
        <f>IF(D243&gt;=($D$6*0.9),1,0)</f>
        <v/>
      </c>
      <c r="H243" s="80" t="n">
        <v>28</v>
      </c>
      <c r="I243" s="70">
        <f>IF(H243&gt;=($H$6*0.7),1,0)</f>
        <v/>
      </c>
      <c r="J243" s="70">
        <f>IF(H243&gt;=($H$6*0.7),1,0)</f>
        <v/>
      </c>
      <c r="K243" s="70">
        <f>IF(H243&gt;=($H$6*0.9),1,0)</f>
        <v/>
      </c>
      <c r="L243" s="80" t="n">
        <v>14</v>
      </c>
      <c r="M243" s="70">
        <f>IF(L243&gt;=($L$6*0.7),1,0)</f>
        <v/>
      </c>
      <c r="N243" s="70">
        <f>IF(L243&gt;=($L$6*0.8),1,0)</f>
        <v/>
      </c>
      <c r="O243" s="70">
        <f>IF(L243&gt;=($L$6*0.9),1,0)</f>
        <v/>
      </c>
      <c r="P243" s="44" t="n"/>
      <c r="Q243" s="44" t="n"/>
      <c r="R243" s="80" t="n">
        <v>70</v>
      </c>
      <c r="S243" s="44" t="n"/>
      <c r="T243" s="44" t="n"/>
      <c r="U243" s="44" t="n"/>
      <c r="V243" s="44" t="n"/>
      <c r="W243" s="44" t="n"/>
      <c r="X243" s="44" t="n"/>
    </row>
    <row r="244" ht="15.75" customHeight="1" s="93">
      <c r="A244" s="69">
        <f>'Sessional + End Term Assessment'!A245</f>
        <v/>
      </c>
      <c r="B244" s="81">
        <f>'Sessional + End Term Assessment'!B245</f>
        <v/>
      </c>
      <c r="C244" s="81">
        <f>'Sessional + End Term Assessment'!C245</f>
        <v/>
      </c>
      <c r="D244" s="80" t="n">
        <v>25</v>
      </c>
      <c r="E244" s="70">
        <f>IF(D244&gt;=($D$6*0.7),1,0)</f>
        <v/>
      </c>
      <c r="F244" s="70">
        <f>IF(D244&gt;=($D$6*0.8),1,0)</f>
        <v/>
      </c>
      <c r="G244" s="70">
        <f>IF(D244&gt;=($D$6*0.9),1,0)</f>
        <v/>
      </c>
      <c r="H244" s="80" t="n">
        <v>23</v>
      </c>
      <c r="I244" s="70">
        <f>IF(H244&gt;=($H$6*0.7),1,0)</f>
        <v/>
      </c>
      <c r="J244" s="70">
        <f>IF(H244&gt;=($H$6*0.7),1,0)</f>
        <v/>
      </c>
      <c r="K244" s="70">
        <f>IF(H244&gt;=($H$6*0.9),1,0)</f>
        <v/>
      </c>
      <c r="L244" s="80" t="n">
        <v>13</v>
      </c>
      <c r="M244" s="70">
        <f>IF(L244&gt;=($L$6*0.7),1,0)</f>
        <v/>
      </c>
      <c r="N244" s="70">
        <f>IF(L244&gt;=($L$6*0.8),1,0)</f>
        <v/>
      </c>
      <c r="O244" s="70">
        <f>IF(L244&gt;=($L$6*0.9),1,0)</f>
        <v/>
      </c>
      <c r="P244" s="44" t="n"/>
      <c r="Q244" s="44" t="n"/>
      <c r="R244" s="80" t="n">
        <v>61</v>
      </c>
      <c r="S244" s="44" t="n"/>
      <c r="T244" s="44" t="n"/>
      <c r="U244" s="44" t="n"/>
      <c r="V244" s="44" t="n"/>
      <c r="W244" s="44" t="n"/>
      <c r="X244" s="44" t="n"/>
    </row>
    <row r="245" ht="15.75" customHeight="1" s="93">
      <c r="A245" s="69">
        <f>'Sessional + End Term Assessment'!A246</f>
        <v/>
      </c>
      <c r="B245" s="81">
        <f>'Sessional + End Term Assessment'!B246</f>
        <v/>
      </c>
      <c r="C245" s="81">
        <f>'Sessional + End Term Assessment'!C246</f>
        <v/>
      </c>
      <c r="D245" s="80" t="n">
        <v>24</v>
      </c>
      <c r="E245" s="70">
        <f>IF(D245&gt;=($D$6*0.7),1,0)</f>
        <v/>
      </c>
      <c r="F245" s="70">
        <f>IF(D245&gt;=($D$6*0.8),1,0)</f>
        <v/>
      </c>
      <c r="G245" s="70">
        <f>IF(D245&gt;=($D$6*0.9),1,0)</f>
        <v/>
      </c>
      <c r="H245" s="80" t="n">
        <v>21</v>
      </c>
      <c r="I245" s="70">
        <f>IF(H245&gt;=($H$6*0.7),1,0)</f>
        <v/>
      </c>
      <c r="J245" s="70">
        <f>IF(H245&gt;=($H$6*0.7),1,0)</f>
        <v/>
      </c>
      <c r="K245" s="70">
        <f>IF(H245&gt;=($H$6*0.9),1,0)</f>
        <v/>
      </c>
      <c r="L245" s="80" t="n">
        <v>13</v>
      </c>
      <c r="M245" s="70">
        <f>IF(L245&gt;=($L$6*0.7),1,0)</f>
        <v/>
      </c>
      <c r="N245" s="70">
        <f>IF(L245&gt;=($L$6*0.8),1,0)</f>
        <v/>
      </c>
      <c r="O245" s="70">
        <f>IF(L245&gt;=($L$6*0.9),1,0)</f>
        <v/>
      </c>
      <c r="P245" s="44" t="n"/>
      <c r="Q245" s="44" t="n"/>
      <c r="R245" s="80" t="n">
        <v>58</v>
      </c>
      <c r="S245" s="44" t="n"/>
      <c r="T245" s="44" t="n"/>
      <c r="U245" s="44" t="n"/>
      <c r="V245" s="44" t="n"/>
      <c r="W245" s="44" t="n"/>
      <c r="X245" s="44" t="n"/>
    </row>
    <row r="246" ht="15.75" customHeight="1" s="93">
      <c r="A246" s="69">
        <f>'Sessional + End Term Assessment'!A247</f>
        <v/>
      </c>
      <c r="B246" s="81">
        <f>'Sessional + End Term Assessment'!B247</f>
        <v/>
      </c>
      <c r="C246" s="81">
        <f>'Sessional + End Term Assessment'!C247</f>
        <v/>
      </c>
      <c r="D246" s="80" t="n">
        <v>24</v>
      </c>
      <c r="E246" s="70">
        <f>IF(D246&gt;=($D$6*0.7),1,0)</f>
        <v/>
      </c>
      <c r="F246" s="70">
        <f>IF(D246&gt;=($D$6*0.8),1,0)</f>
        <v/>
      </c>
      <c r="G246" s="70">
        <f>IF(D246&gt;=($D$6*0.9),1,0)</f>
        <v/>
      </c>
      <c r="H246" s="80" t="n">
        <v>21</v>
      </c>
      <c r="I246" s="70">
        <f>IF(H246&gt;=($H$6*0.7),1,0)</f>
        <v/>
      </c>
      <c r="J246" s="70">
        <f>IF(H246&gt;=($H$6*0.7),1,0)</f>
        <v/>
      </c>
      <c r="K246" s="70">
        <f>IF(H246&gt;=($H$6*0.9),1,0)</f>
        <v/>
      </c>
      <c r="L246" s="80" t="n">
        <v>13</v>
      </c>
      <c r="M246" s="70">
        <f>IF(L246&gt;=($L$6*0.7),1,0)</f>
        <v/>
      </c>
      <c r="N246" s="70">
        <f>IF(L246&gt;=($L$6*0.8),1,0)</f>
        <v/>
      </c>
      <c r="O246" s="70">
        <f>IF(L246&gt;=($L$6*0.9),1,0)</f>
        <v/>
      </c>
      <c r="P246" s="44" t="n"/>
      <c r="Q246" s="44" t="n"/>
      <c r="R246" s="80" t="n">
        <v>58</v>
      </c>
      <c r="S246" s="44" t="n"/>
      <c r="T246" s="44" t="n"/>
      <c r="U246" s="44" t="n"/>
      <c r="V246" s="44" t="n"/>
      <c r="W246" s="44" t="n"/>
      <c r="X246" s="44" t="n"/>
    </row>
    <row r="247" ht="15.75" customHeight="1" s="93">
      <c r="A247" s="69">
        <f>'Sessional + End Term Assessment'!A248</f>
        <v/>
      </c>
      <c r="B247" s="81">
        <f>'Sessional + End Term Assessment'!B248</f>
        <v/>
      </c>
      <c r="C247" s="81">
        <f>'Sessional + End Term Assessment'!C248</f>
        <v/>
      </c>
      <c r="D247" s="80" t="n">
        <v>20</v>
      </c>
      <c r="E247" s="70">
        <f>IF(D247&gt;=($D$6*0.7),1,0)</f>
        <v/>
      </c>
      <c r="F247" s="70">
        <f>IF(D247&gt;=($D$6*0.8),1,0)</f>
        <v/>
      </c>
      <c r="G247" s="70">
        <f>IF(D247&gt;=($D$6*0.9),1,0)</f>
        <v/>
      </c>
      <c r="H247" s="80" t="n">
        <v>20</v>
      </c>
      <c r="I247" s="70">
        <f>IF(H247&gt;=($H$6*0.7),1,0)</f>
        <v/>
      </c>
      <c r="J247" s="70">
        <f>IF(H247&gt;=($H$6*0.7),1,0)</f>
        <v/>
      </c>
      <c r="K247" s="70">
        <f>IF(H247&gt;=($H$6*0.9),1,0)</f>
        <v/>
      </c>
      <c r="L247" s="80" t="n">
        <v>11</v>
      </c>
      <c r="M247" s="70">
        <f>IF(L247&gt;=($L$6*0.7),1,0)</f>
        <v/>
      </c>
      <c r="N247" s="70">
        <f>IF(L247&gt;=($L$6*0.8),1,0)</f>
        <v/>
      </c>
      <c r="O247" s="70">
        <f>IF(L247&gt;=($L$6*0.9),1,0)</f>
        <v/>
      </c>
      <c r="P247" s="44" t="n"/>
      <c r="Q247" s="44" t="n"/>
      <c r="R247" s="80" t="n">
        <v>51</v>
      </c>
      <c r="S247" s="44" t="n"/>
      <c r="T247" s="44" t="n"/>
      <c r="U247" s="44" t="n"/>
      <c r="V247" s="44" t="n"/>
      <c r="W247" s="44" t="n"/>
      <c r="X247" s="44" t="n"/>
    </row>
    <row r="248" ht="15.75" customHeight="1" s="93">
      <c r="A248" s="69">
        <f>'Sessional + End Term Assessment'!A249</f>
        <v/>
      </c>
      <c r="B248" s="81">
        <f>'Sessional + End Term Assessment'!B249</f>
        <v/>
      </c>
      <c r="C248" s="81">
        <f>'Sessional + End Term Assessment'!C249</f>
        <v/>
      </c>
      <c r="D248" s="80" t="n">
        <v>21</v>
      </c>
      <c r="E248" s="70">
        <f>IF(D248&gt;=($D$6*0.7),1,0)</f>
        <v/>
      </c>
      <c r="F248" s="70">
        <f>IF(D248&gt;=($D$6*0.8),1,0)</f>
        <v/>
      </c>
      <c r="G248" s="70">
        <f>IF(D248&gt;=($D$6*0.9),1,0)</f>
        <v/>
      </c>
      <c r="H248" s="80" t="n">
        <v>23</v>
      </c>
      <c r="I248" s="70">
        <f>IF(H248&gt;=($H$6*0.7),1,0)</f>
        <v/>
      </c>
      <c r="J248" s="70">
        <f>IF(H248&gt;=($H$6*0.7),1,0)</f>
        <v/>
      </c>
      <c r="K248" s="70">
        <f>IF(H248&gt;=($H$6*0.9),1,0)</f>
        <v/>
      </c>
      <c r="L248" s="80" t="n">
        <v>13</v>
      </c>
      <c r="M248" s="70">
        <f>IF(L248&gt;=($L$6*0.7),1,0)</f>
        <v/>
      </c>
      <c r="N248" s="70">
        <f>IF(L248&gt;=($L$6*0.8),1,0)</f>
        <v/>
      </c>
      <c r="O248" s="70">
        <f>IF(L248&gt;=($L$6*0.9),1,0)</f>
        <v/>
      </c>
      <c r="P248" s="44" t="n"/>
      <c r="Q248" s="44" t="n"/>
      <c r="R248" s="80" t="n">
        <v>57</v>
      </c>
      <c r="S248" s="44" t="n"/>
      <c r="T248" s="44" t="n"/>
      <c r="U248" s="44" t="n"/>
      <c r="V248" s="44" t="n"/>
      <c r="W248" s="44" t="n"/>
      <c r="X248" s="44" t="n"/>
    </row>
    <row r="249" ht="15.75" customHeight="1" s="93">
      <c r="A249" s="69">
        <f>'Sessional + End Term Assessment'!A250</f>
        <v/>
      </c>
      <c r="B249" s="81">
        <f>'Sessional + End Term Assessment'!B250</f>
        <v/>
      </c>
      <c r="C249" s="81">
        <f>'Sessional + End Term Assessment'!C250</f>
        <v/>
      </c>
      <c r="D249" s="80" t="n">
        <v>24</v>
      </c>
      <c r="E249" s="70">
        <f>IF(D249&gt;=($D$6*0.7),1,0)</f>
        <v/>
      </c>
      <c r="F249" s="70">
        <f>IF(D249&gt;=($D$6*0.8),1,0)</f>
        <v/>
      </c>
      <c r="G249" s="70">
        <f>IF(D249&gt;=($D$6*0.9),1,0)</f>
        <v/>
      </c>
      <c r="H249" s="80" t="n">
        <v>22</v>
      </c>
      <c r="I249" s="70">
        <f>IF(H249&gt;=($H$6*0.7),1,0)</f>
        <v/>
      </c>
      <c r="J249" s="70">
        <f>IF(H249&gt;=($H$6*0.7),1,0)</f>
        <v/>
      </c>
      <c r="K249" s="70">
        <f>IF(H249&gt;=($H$6*0.9),1,0)</f>
        <v/>
      </c>
      <c r="L249" s="80" t="n">
        <v>13</v>
      </c>
      <c r="M249" s="70">
        <f>IF(L249&gt;=($L$6*0.7),1,0)</f>
        <v/>
      </c>
      <c r="N249" s="70">
        <f>IF(L249&gt;=($L$6*0.8),1,0)</f>
        <v/>
      </c>
      <c r="O249" s="70">
        <f>IF(L249&gt;=($L$6*0.9),1,0)</f>
        <v/>
      </c>
      <c r="P249" s="44" t="n"/>
      <c r="Q249" s="44" t="n"/>
      <c r="R249" s="80" t="n">
        <v>59</v>
      </c>
      <c r="S249" s="44" t="n"/>
      <c r="T249" s="44" t="n"/>
      <c r="U249" s="44" t="n"/>
      <c r="V249" s="44" t="n"/>
      <c r="W249" s="44" t="n"/>
      <c r="X249" s="44" t="n"/>
    </row>
    <row r="250" ht="15.75" customHeight="1" s="93">
      <c r="A250" s="69">
        <f>'Sessional + End Term Assessment'!A251</f>
        <v/>
      </c>
      <c r="B250" s="81">
        <f>'Sessional + End Term Assessment'!B251</f>
        <v/>
      </c>
      <c r="C250" s="81">
        <f>'Sessional + End Term Assessment'!C251</f>
        <v/>
      </c>
      <c r="D250" s="80" t="n">
        <v>23</v>
      </c>
      <c r="E250" s="70">
        <f>IF(D250&gt;=($D$6*0.7),1,0)</f>
        <v/>
      </c>
      <c r="F250" s="70">
        <f>IF(D250&gt;=($D$6*0.8),1,0)</f>
        <v/>
      </c>
      <c r="G250" s="70">
        <f>IF(D250&gt;=($D$6*0.9),1,0)</f>
        <v/>
      </c>
      <c r="H250" s="80" t="n">
        <v>23</v>
      </c>
      <c r="I250" s="70">
        <f>IF(H250&gt;=($H$6*0.7),1,0)</f>
        <v/>
      </c>
      <c r="J250" s="70">
        <f>IF(H250&gt;=($H$6*0.7),1,0)</f>
        <v/>
      </c>
      <c r="K250" s="70">
        <f>IF(H250&gt;=($H$6*0.9),1,0)</f>
        <v/>
      </c>
      <c r="L250" s="80" t="n">
        <v>13</v>
      </c>
      <c r="M250" s="70">
        <f>IF(L250&gt;=($L$6*0.7),1,0)</f>
        <v/>
      </c>
      <c r="N250" s="70">
        <f>IF(L250&gt;=($L$6*0.8),1,0)</f>
        <v/>
      </c>
      <c r="O250" s="70">
        <f>IF(L250&gt;=($L$6*0.9),1,0)</f>
        <v/>
      </c>
      <c r="P250" s="44" t="n"/>
      <c r="Q250" s="44" t="n"/>
      <c r="R250" s="80" t="n">
        <v>59</v>
      </c>
      <c r="S250" s="44" t="n"/>
      <c r="T250" s="44" t="n"/>
      <c r="U250" s="44" t="n"/>
      <c r="V250" s="44" t="n"/>
      <c r="W250" s="44" t="n"/>
      <c r="X250" s="44" t="n"/>
    </row>
    <row r="251" ht="15.75" customHeight="1" s="93">
      <c r="A251" s="69">
        <f>'Sessional + End Term Assessment'!A252</f>
        <v/>
      </c>
      <c r="B251" s="81">
        <f>'Sessional + End Term Assessment'!B252</f>
        <v/>
      </c>
      <c r="C251" s="81">
        <f>'Sessional + End Term Assessment'!C252</f>
        <v/>
      </c>
      <c r="D251" s="80" t="n">
        <v>24</v>
      </c>
      <c r="E251" s="70">
        <f>IF(D251&gt;=($D$6*0.7),1,0)</f>
        <v/>
      </c>
      <c r="F251" s="70">
        <f>IF(D251&gt;=($D$6*0.8),1,0)</f>
        <v/>
      </c>
      <c r="G251" s="70">
        <f>IF(D251&gt;=($D$6*0.9),1,0)</f>
        <v/>
      </c>
      <c r="H251" s="80" t="n">
        <v>21</v>
      </c>
      <c r="I251" s="70">
        <f>IF(H251&gt;=($H$6*0.7),1,0)</f>
        <v/>
      </c>
      <c r="J251" s="70">
        <f>IF(H251&gt;=($H$6*0.7),1,0)</f>
        <v/>
      </c>
      <c r="K251" s="70">
        <f>IF(H251&gt;=($H$6*0.9),1,0)</f>
        <v/>
      </c>
      <c r="L251" s="80" t="n">
        <v>13</v>
      </c>
      <c r="M251" s="70">
        <f>IF(L251&gt;=($L$6*0.7),1,0)</f>
        <v/>
      </c>
      <c r="N251" s="70">
        <f>IF(L251&gt;=($L$6*0.8),1,0)</f>
        <v/>
      </c>
      <c r="O251" s="70">
        <f>IF(L251&gt;=($L$6*0.9),1,0)</f>
        <v/>
      </c>
      <c r="P251" s="44" t="n"/>
      <c r="Q251" s="44" t="n"/>
      <c r="R251" s="80" t="n">
        <v>58</v>
      </c>
      <c r="S251" s="44" t="n"/>
      <c r="T251" s="44" t="n"/>
      <c r="U251" s="44" t="n"/>
      <c r="V251" s="44" t="n"/>
      <c r="W251" s="44" t="n"/>
      <c r="X251" s="44" t="n"/>
    </row>
    <row r="252" ht="15.75" customHeight="1" s="93">
      <c r="A252" s="69">
        <f>'Sessional + End Term Assessment'!A253</f>
        <v/>
      </c>
      <c r="B252" s="81">
        <f>'Sessional + End Term Assessment'!B253</f>
        <v/>
      </c>
      <c r="C252" s="81">
        <f>'Sessional + End Term Assessment'!C253</f>
        <v/>
      </c>
      <c r="D252" s="80" t="n">
        <v>21</v>
      </c>
      <c r="E252" s="70">
        <f>IF(D252&gt;=($D$6*0.7),1,0)</f>
        <v/>
      </c>
      <c r="F252" s="70">
        <f>IF(D252&gt;=($D$6*0.8),1,0)</f>
        <v/>
      </c>
      <c r="G252" s="70">
        <f>IF(D252&gt;=($D$6*0.9),1,0)</f>
        <v/>
      </c>
      <c r="H252" s="80" t="n">
        <v>22</v>
      </c>
      <c r="I252" s="70">
        <f>IF(H252&gt;=($H$6*0.7),1,0)</f>
        <v/>
      </c>
      <c r="J252" s="70">
        <f>IF(H252&gt;=($H$6*0.7),1,0)</f>
        <v/>
      </c>
      <c r="K252" s="70">
        <f>IF(H252&gt;=($H$6*0.9),1,0)</f>
        <v/>
      </c>
      <c r="L252" s="80" t="n">
        <v>13</v>
      </c>
      <c r="M252" s="70">
        <f>IF(L252&gt;=($L$6*0.7),1,0)</f>
        <v/>
      </c>
      <c r="N252" s="70">
        <f>IF(L252&gt;=($L$6*0.8),1,0)</f>
        <v/>
      </c>
      <c r="O252" s="70">
        <f>IF(L252&gt;=($L$6*0.9),1,0)</f>
        <v/>
      </c>
      <c r="P252" s="44" t="n"/>
      <c r="Q252" s="44" t="n"/>
      <c r="R252" s="80" t="n">
        <v>56</v>
      </c>
      <c r="S252" s="44" t="n"/>
      <c r="T252" s="44" t="n"/>
      <c r="U252" s="44" t="n"/>
      <c r="V252" s="44" t="n"/>
      <c r="W252" s="44" t="n"/>
      <c r="X252" s="44" t="n"/>
    </row>
    <row r="253" ht="15.75" customHeight="1" s="93">
      <c r="A253" s="69">
        <f>'Sessional + End Term Assessment'!A254</f>
        <v/>
      </c>
      <c r="B253" s="81">
        <f>'Sessional + End Term Assessment'!B254</f>
        <v/>
      </c>
      <c r="C253" s="81">
        <f>'Sessional + End Term Assessment'!C254</f>
        <v/>
      </c>
      <c r="D253" s="80" t="n">
        <v>28</v>
      </c>
      <c r="E253" s="70">
        <f>IF(D253&gt;=($D$6*0.7),1,0)</f>
        <v/>
      </c>
      <c r="F253" s="70">
        <f>IF(D253&gt;=($D$6*0.8),1,0)</f>
        <v/>
      </c>
      <c r="G253" s="70">
        <f>IF(D253&gt;=($D$6*0.9),1,0)</f>
        <v/>
      </c>
      <c r="H253" s="80" t="n">
        <v>28</v>
      </c>
      <c r="I253" s="70">
        <f>IF(H253&gt;=($H$6*0.7),1,0)</f>
        <v/>
      </c>
      <c r="J253" s="70">
        <f>IF(H253&gt;=($H$6*0.7),1,0)</f>
        <v/>
      </c>
      <c r="K253" s="70">
        <f>IF(H253&gt;=($H$6*0.9),1,0)</f>
        <v/>
      </c>
      <c r="L253" s="80" t="n">
        <v>14</v>
      </c>
      <c r="M253" s="70">
        <f>IF(L253&gt;=($L$6*0.7),1,0)</f>
        <v/>
      </c>
      <c r="N253" s="70">
        <f>IF(L253&gt;=($L$6*0.8),1,0)</f>
        <v/>
      </c>
      <c r="O253" s="70">
        <f>IF(L253&gt;=($L$6*0.9),1,0)</f>
        <v/>
      </c>
      <c r="P253" s="44" t="n"/>
      <c r="Q253" s="44" t="n"/>
      <c r="R253" s="80" t="n">
        <v>70</v>
      </c>
      <c r="S253" s="44" t="n"/>
      <c r="T253" s="44" t="n"/>
      <c r="U253" s="44" t="n"/>
      <c r="V253" s="44" t="n"/>
      <c r="W253" s="44" t="n"/>
      <c r="X253" s="44" t="n"/>
    </row>
    <row r="254" ht="15.75" customHeight="1" s="93">
      <c r="A254" s="69">
        <f>'Sessional + End Term Assessment'!A255</f>
        <v/>
      </c>
      <c r="B254" s="81">
        <f>'Sessional + End Term Assessment'!B255</f>
        <v/>
      </c>
      <c r="C254" s="81">
        <f>'Sessional + End Term Assessment'!C255</f>
        <v/>
      </c>
      <c r="D254" s="80" t="n">
        <v>28</v>
      </c>
      <c r="E254" s="70">
        <f>IF(D254&gt;=($D$6*0.7),1,0)</f>
        <v/>
      </c>
      <c r="F254" s="70">
        <f>IF(D254&gt;=($D$6*0.8),1,0)</f>
        <v/>
      </c>
      <c r="G254" s="70">
        <f>IF(D254&gt;=($D$6*0.9),1,0)</f>
        <v/>
      </c>
      <c r="H254" s="80" t="n">
        <v>28</v>
      </c>
      <c r="I254" s="70">
        <f>IF(H254&gt;=($H$6*0.7),1,0)</f>
        <v/>
      </c>
      <c r="J254" s="70">
        <f>IF(H254&gt;=($H$6*0.7),1,0)</f>
        <v/>
      </c>
      <c r="K254" s="70">
        <f>IF(H254&gt;=($H$6*0.9),1,0)</f>
        <v/>
      </c>
      <c r="L254" s="80" t="n">
        <v>14</v>
      </c>
      <c r="M254" s="70">
        <f>IF(L254&gt;=($L$6*0.7),1,0)</f>
        <v/>
      </c>
      <c r="N254" s="70">
        <f>IF(L254&gt;=($L$6*0.8),1,0)</f>
        <v/>
      </c>
      <c r="O254" s="70">
        <f>IF(L254&gt;=($L$6*0.9),1,0)</f>
        <v/>
      </c>
      <c r="P254" s="44" t="n"/>
      <c r="Q254" s="44" t="n"/>
      <c r="R254" s="80" t="n">
        <v>70</v>
      </c>
      <c r="S254" s="44" t="n"/>
      <c r="T254" s="44" t="n"/>
      <c r="U254" s="44" t="n"/>
      <c r="V254" s="44" t="n"/>
      <c r="W254" s="44" t="n"/>
      <c r="X254" s="44" t="n"/>
    </row>
    <row r="255" ht="15.75" customHeight="1" s="93">
      <c r="A255" s="69">
        <f>'Sessional + End Term Assessment'!A256</f>
        <v/>
      </c>
      <c r="B255" s="81">
        <f>'Sessional + End Term Assessment'!B256</f>
        <v/>
      </c>
      <c r="C255" s="81">
        <f>'Sessional + End Term Assessment'!C256</f>
        <v/>
      </c>
      <c r="D255" s="80" t="n">
        <v>26</v>
      </c>
      <c r="E255" s="70">
        <f>IF(D255&gt;=($D$6*0.7),1,0)</f>
        <v/>
      </c>
      <c r="F255" s="70">
        <f>IF(D255&gt;=($D$6*0.8),1,0)</f>
        <v/>
      </c>
      <c r="G255" s="70">
        <f>IF(D255&gt;=($D$6*0.9),1,0)</f>
        <v/>
      </c>
      <c r="H255" s="80" t="n">
        <v>23</v>
      </c>
      <c r="I255" s="70">
        <f>IF(H255&gt;=($H$6*0.7),1,0)</f>
        <v/>
      </c>
      <c r="J255" s="70">
        <f>IF(H255&gt;=($H$6*0.7),1,0)</f>
        <v/>
      </c>
      <c r="K255" s="70">
        <f>IF(H255&gt;=($H$6*0.9),1,0)</f>
        <v/>
      </c>
      <c r="L255" s="80" t="n">
        <v>13</v>
      </c>
      <c r="M255" s="70">
        <f>IF(L255&gt;=($L$6*0.7),1,0)</f>
        <v/>
      </c>
      <c r="N255" s="70">
        <f>IF(L255&gt;=($L$6*0.8),1,0)</f>
        <v/>
      </c>
      <c r="O255" s="70">
        <f>IF(L255&gt;=($L$6*0.9),1,0)</f>
        <v/>
      </c>
      <c r="P255" s="44" t="n"/>
      <c r="Q255" s="44" t="n"/>
      <c r="R255" s="80" t="n">
        <v>62</v>
      </c>
      <c r="S255" s="44" t="n"/>
      <c r="T255" s="44" t="n"/>
      <c r="U255" s="44" t="n"/>
      <c r="V255" s="44" t="n"/>
      <c r="W255" s="44" t="n"/>
      <c r="X255" s="44" t="n"/>
    </row>
    <row r="256" ht="15.75" customHeight="1" s="93">
      <c r="A256" s="73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3">
      <c r="A257" s="73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3">
      <c r="A258" s="73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3">
      <c r="A259" s="73" t="n"/>
      <c r="B259" s="72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3">
      <c r="A260" s="73" t="n"/>
      <c r="B260" s="72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3">
      <c r="A261" s="73" t="n"/>
      <c r="B261" s="72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3">
      <c r="A262" s="73" t="n"/>
      <c r="B262" s="72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3">
      <c r="A263" s="73" t="n"/>
      <c r="B263" s="72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3">
      <c r="A264" s="73" t="n"/>
      <c r="B264" s="72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3">
      <c r="A265" s="73" t="n"/>
      <c r="B265" s="72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3">
      <c r="A266" s="73" t="n"/>
      <c r="B266" s="72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3">
      <c r="A267" s="73" t="n"/>
      <c r="B267" s="72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3">
      <c r="A268" s="73" t="n"/>
      <c r="B268" s="72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3">
      <c r="A269" s="73" t="n"/>
      <c r="B269" s="72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3">
      <c r="A270" s="73" t="n"/>
      <c r="B270" s="72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3">
      <c r="A271" s="73" t="n"/>
      <c r="B271" s="72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3">
      <c r="A272" s="73" t="n"/>
      <c r="B272" s="72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3">
      <c r="A273" s="73" t="n"/>
      <c r="B273" s="72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3">
      <c r="A274" s="73" t="n"/>
      <c r="B274" s="72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3">
      <c r="A275" s="72" t="n"/>
      <c r="B275" s="72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3">
      <c r="A276" s="72" t="n"/>
      <c r="B276" s="72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3">
      <c r="A277" s="72" t="n"/>
      <c r="B277" s="72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3">
      <c r="A278" s="72" t="n"/>
      <c r="B278" s="72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3">
      <c r="A279" s="72" t="n"/>
      <c r="B279" s="72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3">
      <c r="A280" s="72" t="n"/>
      <c r="B280" s="72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3">
      <c r="A281" s="72" t="n"/>
      <c r="B281" s="72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3">
      <c r="A282" s="72" t="n"/>
      <c r="B282" s="72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3">
      <c r="A283" s="72" t="n"/>
      <c r="B283" s="72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3">
      <c r="A284" s="72" t="n"/>
      <c r="B284" s="72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3">
      <c r="A285" s="72" t="n"/>
      <c r="B285" s="72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3">
      <c r="A286" s="72" t="n"/>
      <c r="B286" s="72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3">
      <c r="A287" s="72" t="n"/>
      <c r="B287" s="72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3">
      <c r="A288" s="72" t="n"/>
      <c r="B288" s="72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3">
      <c r="A289" s="72" t="n"/>
      <c r="B289" s="72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3">
      <c r="A290" s="72" t="n"/>
      <c r="B290" s="72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3">
      <c r="A291" s="72" t="n"/>
      <c r="B291" s="72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3">
      <c r="A292" s="72" t="n"/>
      <c r="B292" s="72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3">
      <c r="A293" s="72" t="n"/>
      <c r="B293" s="72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3">
      <c r="A294" s="72" t="n"/>
      <c r="B294" s="72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3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3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3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3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3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3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3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3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3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3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3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3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3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3">
      <c r="A308" s="44" t="n"/>
      <c r="B308" s="44" t="n"/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</row>
    <row r="309" ht="15.75" customHeight="1" s="93">
      <c r="A309" s="44" t="n"/>
      <c r="B309" s="44" t="n"/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</row>
    <row r="310" ht="15.75" customHeight="1" s="93">
      <c r="A310" s="44" t="n"/>
      <c r="B310" s="44" t="n"/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</row>
    <row r="311" ht="15.75" customHeight="1" s="93">
      <c r="A311" s="44" t="n"/>
      <c r="B311" s="44" t="n"/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</row>
    <row r="312" ht="15.75" customHeight="1" s="93">
      <c r="A312" s="44" t="n"/>
      <c r="B312" s="44" t="n"/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</row>
    <row r="313" ht="15.75" customHeight="1" s="93">
      <c r="A313" s="44" t="n"/>
      <c r="B313" s="44" t="n"/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</row>
    <row r="314" ht="15.75" customHeight="1" s="93">
      <c r="A314" s="44" t="n"/>
      <c r="B314" s="44" t="n"/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</row>
    <row r="315" ht="15.75" customHeight="1" s="93">
      <c r="A315" s="44" t="n"/>
      <c r="B315" s="44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</row>
    <row r="316" ht="15.75" customHeight="1" s="93">
      <c r="A316" s="44" t="n"/>
      <c r="B316" s="44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</row>
    <row r="317" ht="15.75" customHeight="1" s="93">
      <c r="A317" s="44" t="n"/>
      <c r="B317" s="44" t="n"/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</row>
    <row r="318" ht="15.75" customHeight="1" s="93">
      <c r="A318" s="44" t="n"/>
      <c r="B318" s="44" t="n"/>
      <c r="C318" s="44" t="n"/>
      <c r="D318" s="44" t="n"/>
      <c r="E318" s="44" t="n"/>
      <c r="F318" s="44" t="n"/>
      <c r="G318" s="44" t="n"/>
      <c r="H318" s="44" t="n"/>
      <c r="I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</row>
    <row r="319" ht="15.75" customHeight="1" s="93">
      <c r="A319" s="44" t="n"/>
      <c r="B319" s="44" t="n"/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</row>
    <row r="320" ht="15.75" customHeight="1" s="93">
      <c r="A320" s="44" t="n"/>
      <c r="B320" s="44" t="n"/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</row>
    <row r="321" ht="15.75" customHeight="1" s="93">
      <c r="A321" s="44" t="n"/>
      <c r="B321" s="44" t="n"/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</row>
    <row r="322" ht="15.75" customHeight="1" s="93">
      <c r="A322" s="44" t="n"/>
      <c r="B322" s="44" t="n"/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</row>
    <row r="323" ht="15.75" customHeight="1" s="93">
      <c r="A323" s="44" t="n"/>
      <c r="B323" s="44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</row>
    <row r="324" ht="15.75" customHeight="1" s="93">
      <c r="A324" s="44" t="n"/>
      <c r="B324" s="44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</row>
    <row r="325" ht="15.75" customHeight="1" s="93">
      <c r="A325" s="44" t="n"/>
      <c r="B325" s="44" t="n"/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</row>
    <row r="326" ht="15.75" customHeight="1" s="93">
      <c r="A326" s="44" t="n"/>
      <c r="B326" s="44" t="n"/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</row>
    <row r="327" ht="15.75" customHeight="1" s="93">
      <c r="A327" s="44" t="n"/>
      <c r="B327" s="44" t="n"/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</row>
    <row r="328" ht="15.75" customHeight="1" s="93">
      <c r="A328" s="44" t="n"/>
      <c r="B328" s="44" t="n"/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</row>
    <row r="329" ht="15.75" customHeight="1" s="93">
      <c r="A329" s="44" t="n"/>
      <c r="B329" s="44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</row>
    <row r="330" ht="15.75" customHeight="1" s="93">
      <c r="A330" s="44" t="n"/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</row>
    <row r="331" ht="15.75" customHeight="1" s="93">
      <c r="A331" s="44" t="n"/>
      <c r="B331" s="44" t="n"/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</row>
    <row r="332" ht="15.75" customHeight="1" s="93">
      <c r="A332" s="44" t="n"/>
      <c r="B332" s="44" t="n"/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</row>
    <row r="333" ht="15.75" customHeight="1" s="93">
      <c r="A333" s="44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</row>
    <row r="334" ht="15.75" customHeight="1" s="93">
      <c r="A334" s="44" t="n"/>
      <c r="B334" s="44" t="n"/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</row>
    <row r="335" ht="15.75" customHeight="1" s="93">
      <c r="A335" s="44" t="n"/>
      <c r="B335" s="44" t="n"/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</row>
    <row r="336" ht="15.75" customHeight="1" s="93">
      <c r="A336" s="44" t="n"/>
      <c r="B336" s="44" t="n"/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</row>
    <row r="337" ht="15.75" customHeight="1" s="93">
      <c r="A337" s="44" t="n"/>
      <c r="B337" s="44" t="n"/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</row>
    <row r="338" ht="15.75" customHeight="1" s="93">
      <c r="A338" s="44" t="n"/>
      <c r="B338" s="44" t="n"/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</row>
    <row r="339" ht="15.75" customHeight="1" s="93">
      <c r="A339" s="44" t="n"/>
      <c r="B339" s="44" t="n"/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</row>
    <row r="340" ht="15.75" customHeight="1" s="93">
      <c r="A340" s="44" t="n"/>
      <c r="B340" s="44" t="n"/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</row>
    <row r="341" ht="15.75" customHeight="1" s="93">
      <c r="A341" s="44" t="n"/>
      <c r="B341" s="44" t="n"/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</row>
    <row r="342" ht="15.75" customHeight="1" s="93">
      <c r="A342" s="44" t="n"/>
      <c r="B342" s="44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</row>
    <row r="343" ht="15.75" customHeight="1" s="93">
      <c r="A343" s="44" t="n"/>
      <c r="B343" s="44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</row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  <row r="1001" ht="15.75" customHeight="1" s="93"/>
    <row r="1002" ht="15.75" customHeight="1" s="93"/>
    <row r="1003" ht="15.75" customHeight="1" s="93"/>
    <row r="1004" ht="15.75" customHeight="1" s="93"/>
    <row r="1005" ht="15.75" customHeight="1" s="93"/>
    <row r="1006" ht="15.75" customHeight="1" s="93"/>
    <row r="1007" ht="15.75" customHeight="1" s="93"/>
    <row r="1008" ht="15.75" customHeight="1" s="93"/>
    <row r="1009" ht="15.75" customHeight="1" s="93"/>
    <row r="1010" ht="15.75" customHeight="1" s="93"/>
    <row r="1011" ht="15.75" customHeight="1" s="93"/>
    <row r="1012" ht="15.75" customHeight="1" s="93"/>
    <row r="1013" ht="15.75" customHeight="1" s="93"/>
    <row r="1014" ht="15.75" customHeight="1" s="93"/>
    <row r="1015" ht="15.75" customHeight="1" s="93"/>
    <row r="1016" ht="15.75" customHeight="1" s="93"/>
    <row r="1017" ht="15.75" customHeight="1" s="93"/>
    <row r="1018" ht="15.75" customHeight="1" s="93"/>
    <row r="1019" ht="15.75" customHeight="1" s="93"/>
    <row r="1020" ht="15.75" customHeight="1" s="93"/>
    <row r="1021" ht="15.75" customHeight="1" s="93"/>
    <row r="1022" ht="15.75" customHeight="1" s="93"/>
    <row r="1023" ht="15.75" customHeight="1" s="93"/>
    <row r="1024" ht="15.75" customHeight="1" s="93"/>
    <row r="1025" ht="15.75" customHeight="1" s="93"/>
    <row r="1026" ht="15.75" customHeight="1" s="93"/>
    <row r="1027" ht="15.75" customHeight="1" s="93"/>
    <row r="1028" ht="15.75" customHeight="1" s="93"/>
    <row r="1029" ht="15.75" customHeight="1" s="93"/>
    <row r="1030" ht="15.75" customHeight="1" s="93"/>
    <row r="1031" ht="15.75" customHeight="1" s="93"/>
    <row r="1032" ht="15.75" customHeight="1" s="93"/>
    <row r="1033" ht="15.75" customHeight="1" s="93"/>
    <row r="1034" ht="15.75" customHeight="1" s="93"/>
    <row r="1035" ht="15.75" customHeight="1" s="93"/>
    <row r="1036" ht="15.75" customHeight="1" s="93"/>
    <row r="1037" ht="15.75" customHeight="1" s="93"/>
    <row r="1038" ht="15.75" customHeight="1" s="93"/>
    <row r="1039" ht="15.75" customHeight="1" s="93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55 M7:O255">
    <cfRule type="cellIs" priority="1" operator="equal" dxfId="2">
      <formula>0</formula>
    </cfRule>
  </conditionalFormatting>
  <conditionalFormatting sqref="I7:K255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topLeftCell="A235" workbookViewId="0">
      <selection activeCell="A252" sqref="A252:XFD252"/>
    </sheetView>
  </sheetViews>
  <sheetFormatPr baseColWidth="8" defaultColWidth="12.59765625" defaultRowHeight="15" customHeight="1"/>
  <cols>
    <col width="8.8984375" customWidth="1" style="93" min="1" max="1"/>
    <col width="12.69921875" customWidth="1" style="93" min="2" max="2"/>
    <col width="27.8984375" customWidth="1" style="93" min="3" max="3"/>
    <col width="9.19921875" customWidth="1" style="93" min="4" max="4"/>
    <col width="10.8984375" customWidth="1" style="93" min="5" max="5"/>
    <col width="8.8984375" customWidth="1" style="93" min="6" max="25"/>
    <col width="12.69921875" customWidth="1" style="93" min="26" max="26"/>
  </cols>
  <sheetData>
    <row r="1" ht="21" customHeight="1" s="93">
      <c r="A1" s="124" t="inlineStr">
        <is>
          <t>Marks and Gap Analysis of Mid-Term 1</t>
        </is>
      </c>
      <c r="B1" s="136" t="n"/>
      <c r="C1" s="136" t="n"/>
      <c r="D1" s="136" t="n"/>
      <c r="E1" s="136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3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3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3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3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3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3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3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3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3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3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3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3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3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3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3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3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3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3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3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3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3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3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3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3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3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3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3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3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3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3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3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3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3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3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3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3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3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3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3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3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3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3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3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3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3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3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3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3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3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3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3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3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3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3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3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3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3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3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3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3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3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3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3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3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3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3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3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3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3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3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3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3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3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3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3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3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3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3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3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3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3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3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3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3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3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3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3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3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3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3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3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3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3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3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3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3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3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3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3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3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3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3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3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3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3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3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3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3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3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3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3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3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3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3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3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3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3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3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3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3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3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3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3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3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3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3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3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3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3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3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3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3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3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3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3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3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3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3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3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3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3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3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3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3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3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3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3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3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3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3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3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3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3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3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3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3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3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3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3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3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3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3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3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3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3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3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3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3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3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3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3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3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3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3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3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3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3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3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3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3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3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3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3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3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3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3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3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3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3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3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3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3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3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3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3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3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3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3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3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3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3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3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3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3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3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3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3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3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3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3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3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3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3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3" thickBot="1">
      <c r="A215" s="64">
        <f>'Sessional + End Term Assessment'!A220</f>
        <v/>
      </c>
      <c r="B215" s="81">
        <f>'Sessional + End Term Assessment'!B220</f>
        <v/>
      </c>
      <c r="C215" s="81">
        <f>'Sessional + End Term Assessment'!C220</f>
        <v/>
      </c>
      <c r="D215" s="62">
        <f>'MID Term 1'!R219</f>
        <v/>
      </c>
      <c r="E215" s="63">
        <f>IF(D215&lt;=30,"Y","N")</f>
        <v/>
      </c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3" thickBot="1">
      <c r="A216" s="64">
        <f>'Sessional + End Term Assessment'!A221</f>
        <v/>
      </c>
      <c r="B216" s="81">
        <f>'Sessional + End Term Assessment'!B221</f>
        <v/>
      </c>
      <c r="C216" s="81">
        <f>'Sessional + End Term Assessment'!C221</f>
        <v/>
      </c>
      <c r="D216" s="62">
        <f>'MID Term 1'!R220</f>
        <v/>
      </c>
      <c r="E216" s="63">
        <f>IF(D216&lt;=30,"Y","N")</f>
        <v/>
      </c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3" thickBot="1">
      <c r="A217" s="64">
        <f>'Sessional + End Term Assessment'!A222</f>
        <v/>
      </c>
      <c r="B217" s="81">
        <f>'Sessional + End Term Assessment'!B222</f>
        <v/>
      </c>
      <c r="C217" s="81">
        <f>'Sessional + End Term Assessment'!C222</f>
        <v/>
      </c>
      <c r="D217" s="62">
        <f>'MID Term 1'!R221</f>
        <v/>
      </c>
      <c r="E217" s="63">
        <f>IF(D217&lt;=30,"Y","N")</f>
        <v/>
      </c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3" thickBot="1">
      <c r="A218" s="64">
        <f>'Sessional + End Term Assessment'!A223</f>
        <v/>
      </c>
      <c r="B218" s="81">
        <f>'Sessional + End Term Assessment'!B223</f>
        <v/>
      </c>
      <c r="C218" s="81">
        <f>'Sessional + End Term Assessment'!C223</f>
        <v/>
      </c>
      <c r="D218" s="62">
        <f>'MID Term 1'!R222</f>
        <v/>
      </c>
      <c r="E218" s="63">
        <f>IF(D218&lt;=30,"Y","N")</f>
        <v/>
      </c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3" thickBot="1">
      <c r="A219" s="64">
        <f>'Sessional + End Term Assessment'!A224</f>
        <v/>
      </c>
      <c r="B219" s="81">
        <f>'Sessional + End Term Assessment'!B224</f>
        <v/>
      </c>
      <c r="C219" s="81">
        <f>'Sessional + End Term Assessment'!C224</f>
        <v/>
      </c>
      <c r="D219" s="62">
        <f>'MID Term 1'!R223</f>
        <v/>
      </c>
      <c r="E219" s="63">
        <f>IF(D219&lt;=30,"Y","N")</f>
        <v/>
      </c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3" thickBot="1">
      <c r="A220" s="64">
        <f>'Sessional + End Term Assessment'!A225</f>
        <v/>
      </c>
      <c r="B220" s="81">
        <f>'Sessional + End Term Assessment'!B225</f>
        <v/>
      </c>
      <c r="C220" s="81">
        <f>'Sessional + End Term Assessment'!C225</f>
        <v/>
      </c>
      <c r="D220" s="62">
        <f>'MID Term 1'!R224</f>
        <v/>
      </c>
      <c r="E220" s="63">
        <f>IF(D220&lt;=30,"Y","N")</f>
        <v/>
      </c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3" thickBot="1">
      <c r="A221" s="64">
        <f>'Sessional + End Term Assessment'!A226</f>
        <v/>
      </c>
      <c r="B221" s="81">
        <f>'Sessional + End Term Assessment'!B226</f>
        <v/>
      </c>
      <c r="C221" s="81">
        <f>'Sessional + End Term Assessment'!C226</f>
        <v/>
      </c>
      <c r="D221" s="62">
        <f>'MID Term 1'!R225</f>
        <v/>
      </c>
      <c r="E221" s="63">
        <f>IF(D221&lt;=30,"Y","N")</f>
        <v/>
      </c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3" thickBot="1">
      <c r="A222" s="64">
        <f>'Sessional + End Term Assessment'!A227</f>
        <v/>
      </c>
      <c r="B222" s="81">
        <f>'Sessional + End Term Assessment'!B227</f>
        <v/>
      </c>
      <c r="C222" s="81">
        <f>'Sessional + End Term Assessment'!C227</f>
        <v/>
      </c>
      <c r="D222" s="62">
        <f>'MID Term 1'!R226</f>
        <v/>
      </c>
      <c r="E222" s="63">
        <f>IF(D222&lt;=30,"Y","N")</f>
        <v/>
      </c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3" thickBot="1">
      <c r="A223" s="64">
        <f>'Sessional + End Term Assessment'!A228</f>
        <v/>
      </c>
      <c r="B223" s="81">
        <f>'Sessional + End Term Assessment'!B228</f>
        <v/>
      </c>
      <c r="C223" s="81">
        <f>'Sessional + End Term Assessment'!C228</f>
        <v/>
      </c>
      <c r="D223" s="62">
        <f>'MID Term 1'!R227</f>
        <v/>
      </c>
      <c r="E223" s="63">
        <f>IF(D223&lt;=30,"Y","N")</f>
        <v/>
      </c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3" thickBot="1">
      <c r="A224" s="64">
        <f>'Sessional + End Term Assessment'!A229</f>
        <v/>
      </c>
      <c r="B224" s="81">
        <f>'Sessional + End Term Assessment'!B229</f>
        <v/>
      </c>
      <c r="C224" s="81">
        <f>'Sessional + End Term Assessment'!C229</f>
        <v/>
      </c>
      <c r="D224" s="62">
        <f>'MID Term 1'!R228</f>
        <v/>
      </c>
      <c r="E224" s="63">
        <f>IF(D224&lt;=30,"Y","N")</f>
        <v/>
      </c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3" thickBot="1">
      <c r="A225" s="64">
        <f>'Sessional + End Term Assessment'!A230</f>
        <v/>
      </c>
      <c r="B225" s="81">
        <f>'Sessional + End Term Assessment'!B230</f>
        <v/>
      </c>
      <c r="C225" s="81">
        <f>'Sessional + End Term Assessment'!C230</f>
        <v/>
      </c>
      <c r="D225" s="62">
        <f>'MID Term 1'!R229</f>
        <v/>
      </c>
      <c r="E225" s="63">
        <f>IF(D225&lt;=30,"Y","N")</f>
        <v/>
      </c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3" thickBot="1">
      <c r="A226" s="64">
        <f>'Sessional + End Term Assessment'!A231</f>
        <v/>
      </c>
      <c r="B226" s="81">
        <f>'Sessional + End Term Assessment'!B231</f>
        <v/>
      </c>
      <c r="C226" s="81">
        <f>'Sessional + End Term Assessment'!C231</f>
        <v/>
      </c>
      <c r="D226" s="62">
        <f>'MID Term 1'!R230</f>
        <v/>
      </c>
      <c r="E226" s="63">
        <f>IF(D226&lt;=30,"Y","N")</f>
        <v/>
      </c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3" thickBot="1">
      <c r="A227" s="64">
        <f>'Sessional + End Term Assessment'!A232</f>
        <v/>
      </c>
      <c r="B227" s="81">
        <f>'Sessional + End Term Assessment'!B232</f>
        <v/>
      </c>
      <c r="C227" s="81">
        <f>'Sessional + End Term Assessment'!C232</f>
        <v/>
      </c>
      <c r="D227" s="62">
        <f>'MID Term 1'!R231</f>
        <v/>
      </c>
      <c r="E227" s="63">
        <f>IF(D227&lt;=30,"Y","N")</f>
        <v/>
      </c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3" thickBot="1">
      <c r="A228" s="64">
        <f>'Sessional + End Term Assessment'!A233</f>
        <v/>
      </c>
      <c r="B228" s="81">
        <f>'Sessional + End Term Assessment'!B233</f>
        <v/>
      </c>
      <c r="C228" s="81">
        <f>'Sessional + End Term Assessment'!C233</f>
        <v/>
      </c>
      <c r="D228" s="62">
        <f>'MID Term 1'!R232</f>
        <v/>
      </c>
      <c r="E228" s="63">
        <f>IF(D228&lt;=30,"Y","N")</f>
        <v/>
      </c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3" thickBot="1">
      <c r="A229" s="64">
        <f>'Sessional + End Term Assessment'!A234</f>
        <v/>
      </c>
      <c r="B229" s="81">
        <f>'Sessional + End Term Assessment'!B234</f>
        <v/>
      </c>
      <c r="C229" s="81">
        <f>'Sessional + End Term Assessment'!C234</f>
        <v/>
      </c>
      <c r="D229" s="62">
        <f>'MID Term 1'!R233</f>
        <v/>
      </c>
      <c r="E229" s="63">
        <f>IF(D229&lt;=30,"Y","N")</f>
        <v/>
      </c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3" thickBot="1">
      <c r="A230" s="64">
        <f>'Sessional + End Term Assessment'!A235</f>
        <v/>
      </c>
      <c r="B230" s="81">
        <f>'Sessional + End Term Assessment'!B235</f>
        <v/>
      </c>
      <c r="C230" s="81">
        <f>'Sessional + End Term Assessment'!C235</f>
        <v/>
      </c>
      <c r="D230" s="62">
        <f>'MID Term 1'!R234</f>
        <v/>
      </c>
      <c r="E230" s="63">
        <f>IF(D230&lt;=30,"Y","N")</f>
        <v/>
      </c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3" thickBot="1">
      <c r="A231" s="64">
        <f>'Sessional + End Term Assessment'!A236</f>
        <v/>
      </c>
      <c r="B231" s="81">
        <f>'Sessional + End Term Assessment'!B236</f>
        <v/>
      </c>
      <c r="C231" s="81">
        <f>'Sessional + End Term Assessment'!C236</f>
        <v/>
      </c>
      <c r="D231" s="62">
        <f>'MID Term 1'!R235</f>
        <v/>
      </c>
      <c r="E231" s="63">
        <f>IF(D231&lt;=30,"Y","N")</f>
        <v/>
      </c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3" thickBot="1">
      <c r="A232" s="64">
        <f>'Sessional + End Term Assessment'!A237</f>
        <v/>
      </c>
      <c r="B232" s="81">
        <f>'Sessional + End Term Assessment'!B237</f>
        <v/>
      </c>
      <c r="C232" s="81">
        <f>'Sessional + End Term Assessment'!C237</f>
        <v/>
      </c>
      <c r="D232" s="62">
        <f>'MID Term 1'!R236</f>
        <v/>
      </c>
      <c r="E232" s="63">
        <f>IF(D232&lt;=30,"Y","N")</f>
        <v/>
      </c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3" thickBot="1">
      <c r="A233" s="64">
        <f>'Sessional + End Term Assessment'!A238</f>
        <v/>
      </c>
      <c r="B233" s="81">
        <f>'Sessional + End Term Assessment'!B238</f>
        <v/>
      </c>
      <c r="C233" s="81">
        <f>'Sessional + End Term Assessment'!C238</f>
        <v/>
      </c>
      <c r="D233" s="62">
        <f>'MID Term 1'!R237</f>
        <v/>
      </c>
      <c r="E233" s="63">
        <f>IF(D233&lt;=30,"Y","N")</f>
        <v/>
      </c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3" thickBot="1">
      <c r="A234" s="64">
        <f>'Sessional + End Term Assessment'!A239</f>
        <v/>
      </c>
      <c r="B234" s="81">
        <f>'Sessional + End Term Assessment'!B239</f>
        <v/>
      </c>
      <c r="C234" s="81">
        <f>'Sessional + End Term Assessment'!C239</f>
        <v/>
      </c>
      <c r="D234" s="62">
        <f>'MID Term 1'!R238</f>
        <v/>
      </c>
      <c r="E234" s="63">
        <f>IF(D234&lt;=30,"Y","N")</f>
        <v/>
      </c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3" thickBot="1">
      <c r="A235" s="64">
        <f>'Sessional + End Term Assessment'!A240</f>
        <v/>
      </c>
      <c r="B235" s="81">
        <f>'Sessional + End Term Assessment'!B240</f>
        <v/>
      </c>
      <c r="C235" s="81">
        <f>'Sessional + End Term Assessment'!C240</f>
        <v/>
      </c>
      <c r="D235" s="62">
        <f>'MID Term 1'!R239</f>
        <v/>
      </c>
      <c r="E235" s="63">
        <f>IF(D235&lt;=30,"Y","N")</f>
        <v/>
      </c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3" thickBot="1">
      <c r="A236" s="64">
        <f>'Sessional + End Term Assessment'!A241</f>
        <v/>
      </c>
      <c r="B236" s="81">
        <f>'Sessional + End Term Assessment'!B241</f>
        <v/>
      </c>
      <c r="C236" s="81">
        <f>'Sessional + End Term Assessment'!C241</f>
        <v/>
      </c>
      <c r="D236" s="62">
        <f>'MID Term 1'!R240</f>
        <v/>
      </c>
      <c r="E236" s="63">
        <f>IF(D236&lt;=30,"Y","N")</f>
        <v/>
      </c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3" thickBot="1">
      <c r="A237" s="64">
        <f>'Sessional + End Term Assessment'!A242</f>
        <v/>
      </c>
      <c r="B237" s="81">
        <f>'Sessional + End Term Assessment'!B242</f>
        <v/>
      </c>
      <c r="C237" s="81">
        <f>'Sessional + End Term Assessment'!C242</f>
        <v/>
      </c>
      <c r="D237" s="62">
        <f>'MID Term 1'!R241</f>
        <v/>
      </c>
      <c r="E237" s="63">
        <f>IF(D237&lt;=30,"Y","N")</f>
        <v/>
      </c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3" thickBot="1">
      <c r="A238" s="64">
        <f>'Sessional + End Term Assessment'!A243</f>
        <v/>
      </c>
      <c r="B238" s="81">
        <f>'Sessional + End Term Assessment'!B243</f>
        <v/>
      </c>
      <c r="C238" s="81">
        <f>'Sessional + End Term Assessment'!C243</f>
        <v/>
      </c>
      <c r="D238" s="62">
        <f>'MID Term 1'!R242</f>
        <v/>
      </c>
      <c r="E238" s="63">
        <f>IF(D238&lt;=30,"Y","N")</f>
        <v/>
      </c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3" thickBot="1">
      <c r="A239" s="64">
        <f>'Sessional + End Term Assessment'!A244</f>
        <v/>
      </c>
      <c r="B239" s="81">
        <f>'Sessional + End Term Assessment'!B244</f>
        <v/>
      </c>
      <c r="C239" s="81">
        <f>'Sessional + End Term Assessment'!C244</f>
        <v/>
      </c>
      <c r="D239" s="62">
        <f>'MID Term 1'!R243</f>
        <v/>
      </c>
      <c r="E239" s="63">
        <f>IF(D239&lt;=30,"Y","N")</f>
        <v/>
      </c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3" thickBot="1">
      <c r="A240" s="64">
        <f>'Sessional + End Term Assessment'!A245</f>
        <v/>
      </c>
      <c r="B240" s="81">
        <f>'Sessional + End Term Assessment'!B245</f>
        <v/>
      </c>
      <c r="C240" s="81">
        <f>'Sessional + End Term Assessment'!C245</f>
        <v/>
      </c>
      <c r="D240" s="62">
        <f>'MID Term 1'!R244</f>
        <v/>
      </c>
      <c r="E240" s="63">
        <f>IF(D240&lt;=30,"Y","N")</f>
        <v/>
      </c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3" thickBot="1">
      <c r="A241" s="64">
        <f>'Sessional + End Term Assessment'!A246</f>
        <v/>
      </c>
      <c r="B241" s="81">
        <f>'Sessional + End Term Assessment'!B246</f>
        <v/>
      </c>
      <c r="C241" s="81">
        <f>'Sessional + End Term Assessment'!C246</f>
        <v/>
      </c>
      <c r="D241" s="62">
        <f>'MID Term 1'!R245</f>
        <v/>
      </c>
      <c r="E241" s="63">
        <f>IF(D241&lt;=30,"Y","N")</f>
        <v/>
      </c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3" thickBot="1">
      <c r="A242" s="64">
        <f>'Sessional + End Term Assessment'!A247</f>
        <v/>
      </c>
      <c r="B242" s="81">
        <f>'Sessional + End Term Assessment'!B247</f>
        <v/>
      </c>
      <c r="C242" s="81">
        <f>'Sessional + End Term Assessment'!C247</f>
        <v/>
      </c>
      <c r="D242" s="62">
        <f>'MID Term 1'!R246</f>
        <v/>
      </c>
      <c r="E242" s="63">
        <f>IF(D242&lt;=30,"Y","N")</f>
        <v/>
      </c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3" thickBot="1">
      <c r="A243" s="64">
        <f>'Sessional + End Term Assessment'!A248</f>
        <v/>
      </c>
      <c r="B243" s="81">
        <f>'Sessional + End Term Assessment'!B248</f>
        <v/>
      </c>
      <c r="C243" s="81">
        <f>'Sessional + End Term Assessment'!C248</f>
        <v/>
      </c>
      <c r="D243" s="62">
        <f>'MID Term 1'!R247</f>
        <v/>
      </c>
      <c r="E243" s="63">
        <f>IF(D243&lt;=30,"Y","N")</f>
        <v/>
      </c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3" thickBot="1">
      <c r="A244" s="64">
        <f>'Sessional + End Term Assessment'!A249</f>
        <v/>
      </c>
      <c r="B244" s="81">
        <f>'Sessional + End Term Assessment'!B249</f>
        <v/>
      </c>
      <c r="C244" s="81">
        <f>'Sessional + End Term Assessment'!C249</f>
        <v/>
      </c>
      <c r="D244" s="62">
        <f>'MID Term 1'!R248</f>
        <v/>
      </c>
      <c r="E244" s="63">
        <f>IF(D244&lt;=30,"Y","N")</f>
        <v/>
      </c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3" thickBot="1">
      <c r="A245" s="64">
        <f>'Sessional + End Term Assessment'!A250</f>
        <v/>
      </c>
      <c r="B245" s="81">
        <f>'Sessional + End Term Assessment'!B250</f>
        <v/>
      </c>
      <c r="C245" s="81">
        <f>'Sessional + End Term Assessment'!C250</f>
        <v/>
      </c>
      <c r="D245" s="62">
        <f>'MID Term 1'!R249</f>
        <v/>
      </c>
      <c r="E245" s="63">
        <f>IF(D245&lt;=30,"Y","N")</f>
        <v/>
      </c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3" thickBot="1">
      <c r="A246" s="64">
        <f>'Sessional + End Term Assessment'!A251</f>
        <v/>
      </c>
      <c r="B246" s="81">
        <f>'Sessional + End Term Assessment'!B251</f>
        <v/>
      </c>
      <c r="C246" s="81">
        <f>'Sessional + End Term Assessment'!C251</f>
        <v/>
      </c>
      <c r="D246" s="62">
        <f>'MID Term 1'!R250</f>
        <v/>
      </c>
      <c r="E246" s="63">
        <f>IF(D246&lt;=30,"Y","N")</f>
        <v/>
      </c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3" thickBot="1">
      <c r="A247" s="64">
        <f>'Sessional + End Term Assessment'!A252</f>
        <v/>
      </c>
      <c r="B247" s="81">
        <f>'Sessional + End Term Assessment'!B252</f>
        <v/>
      </c>
      <c r="C247" s="81">
        <f>'Sessional + End Term Assessment'!C252</f>
        <v/>
      </c>
      <c r="D247" s="62">
        <f>'MID Term 1'!R251</f>
        <v/>
      </c>
      <c r="E247" s="63">
        <f>IF(D247&lt;=30,"Y","N")</f>
        <v/>
      </c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3" thickBot="1">
      <c r="A248" s="64">
        <f>'Sessional + End Term Assessment'!A253</f>
        <v/>
      </c>
      <c r="B248" s="81">
        <f>'Sessional + End Term Assessment'!B253</f>
        <v/>
      </c>
      <c r="C248" s="81">
        <f>'Sessional + End Term Assessment'!C253</f>
        <v/>
      </c>
      <c r="D248" s="62">
        <f>'MID Term 1'!R252</f>
        <v/>
      </c>
      <c r="E248" s="63">
        <f>IF(D248&lt;=30,"Y","N")</f>
        <v/>
      </c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3" thickBot="1">
      <c r="A249" s="64">
        <f>'Sessional + End Term Assessment'!A254</f>
        <v/>
      </c>
      <c r="B249" s="81">
        <f>'Sessional + End Term Assessment'!B254</f>
        <v/>
      </c>
      <c r="C249" s="81">
        <f>'Sessional + End Term Assessment'!C254</f>
        <v/>
      </c>
      <c r="D249" s="62">
        <f>'MID Term 1'!R253</f>
        <v/>
      </c>
      <c r="E249" s="63">
        <f>IF(D249&lt;=30,"Y","N")</f>
        <v/>
      </c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3" thickBot="1">
      <c r="A250" s="64">
        <f>'Sessional + End Term Assessment'!A255</f>
        <v/>
      </c>
      <c r="B250" s="81">
        <f>'Sessional + End Term Assessment'!B255</f>
        <v/>
      </c>
      <c r="C250" s="81">
        <f>'Sessional + End Term Assessment'!C255</f>
        <v/>
      </c>
      <c r="D250" s="62">
        <f>'MID Term 1'!R254</f>
        <v/>
      </c>
      <c r="E250" s="63">
        <f>IF(D250&lt;=30,"Y","N")</f>
        <v/>
      </c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3" thickBot="1">
      <c r="A251" s="64">
        <f>'Sessional + End Term Assessment'!A256</f>
        <v/>
      </c>
      <c r="B251" s="81">
        <f>'Sessional + End Term Assessment'!B256</f>
        <v/>
      </c>
      <c r="C251" s="81">
        <f>'Sessional + End Term Assessment'!C256</f>
        <v/>
      </c>
      <c r="D251" s="62">
        <f>'MID Term 1'!R255</f>
        <v/>
      </c>
      <c r="E251" s="63">
        <f>IF(D251&lt;=30,"Y","N")</f>
        <v/>
      </c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</sheetData>
  <autoFilter ref="E1:E121"/>
  <mergeCells count="1">
    <mergeCell ref="A1:E1"/>
  </mergeCells>
  <conditionalFormatting sqref="E3:E251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5"/>
  <sheetViews>
    <sheetView topLeftCell="A241" workbookViewId="0">
      <selection activeCell="C260" sqref="C260"/>
    </sheetView>
  </sheetViews>
  <sheetFormatPr baseColWidth="8" defaultColWidth="12.59765625" defaultRowHeight="15" customHeight="1"/>
  <cols>
    <col width="5.69921875" customWidth="1" style="93" min="1" max="1"/>
    <col width="14.19921875" customWidth="1" style="93" min="2" max="2"/>
    <col width="27.8984375" customWidth="1" style="93" min="3" max="3"/>
    <col width="13.3984375" customWidth="1" style="93" min="4" max="4"/>
    <col width="13.19921875" customWidth="1" style="93" min="5" max="17"/>
    <col width="6.3984375" customWidth="1" style="93" min="18" max="18"/>
    <col width="8" customWidth="1" style="93" min="19" max="30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9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3">
      <c r="A2" s="15" t="inlineStr">
        <is>
          <t>MID TERM II EXAM MARK RECORD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9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3">
      <c r="A3" s="15">
        <f>'CO-PO Mapping'!A3:P3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9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3">
      <c r="A4" s="108" t="inlineStr">
        <is>
          <t>S.NO.</t>
        </is>
      </c>
      <c r="B4" s="103" t="inlineStr">
        <is>
          <t>RTU ROLL
NUMBER</t>
        </is>
      </c>
      <c r="C4" s="15" t="inlineStr">
        <is>
          <t>NAME OF STUDENT</t>
        </is>
      </c>
      <c r="D4" s="15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9" t="n"/>
      <c r="O4" s="106" t="n"/>
      <c r="P4" s="128" t="n"/>
      <c r="Q4" s="128" t="n"/>
      <c r="R4" s="108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3">
      <c r="A5" s="139" t="n"/>
      <c r="B5" s="139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03" t="inlineStr">
        <is>
          <t xml:space="preserve">Target 50% students attain 70% marks (1) </t>
        </is>
      </c>
      <c r="H5" s="103" t="inlineStr">
        <is>
          <t>Target 50% students attain 80% marks (2)</t>
        </is>
      </c>
      <c r="I5" s="103" t="inlineStr">
        <is>
          <t>Target 50% students attain 90% marks (3)</t>
        </is>
      </c>
      <c r="J5" s="18" t="inlineStr">
        <is>
          <t>CO4</t>
        </is>
      </c>
      <c r="K5" s="103" t="inlineStr">
        <is>
          <t xml:space="preserve">Target 50% students attain 70% marks (1) </t>
        </is>
      </c>
      <c r="L5" s="103" t="inlineStr">
        <is>
          <t>Target 50% students attain 80% marks (2)</t>
        </is>
      </c>
      <c r="M5" s="103" t="inlineStr">
        <is>
          <t>Target 50% students attain 90% marks (3)</t>
        </is>
      </c>
      <c r="N5" s="18" t="inlineStr">
        <is>
          <t>CO5</t>
        </is>
      </c>
      <c r="O5" s="103" t="inlineStr">
        <is>
          <t xml:space="preserve">Target 50% students attain 70% marks (1) </t>
        </is>
      </c>
      <c r="P5" s="103" t="inlineStr">
        <is>
          <t>Target 50% students attain 80% marks (2)</t>
        </is>
      </c>
      <c r="Q5" s="103" t="inlineStr">
        <is>
          <t>Target 50% students attain 90% marks (3)</t>
        </is>
      </c>
      <c r="R5" s="139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3">
      <c r="A6" s="139" t="n"/>
      <c r="B6" s="139" t="n"/>
      <c r="C6" s="52" t="inlineStr">
        <is>
          <t>MAX MARKS</t>
        </is>
      </c>
      <c r="D6" s="45" t="n"/>
      <c r="E6" s="45" t="n"/>
      <c r="F6" s="45" t="n">
        <v>14</v>
      </c>
      <c r="G6" s="139" t="n"/>
      <c r="H6" s="139" t="n"/>
      <c r="I6" s="139" t="n"/>
      <c r="J6" s="45" t="n">
        <v>28</v>
      </c>
      <c r="K6" s="139" t="n"/>
      <c r="L6" s="139" t="n"/>
      <c r="M6" s="139" t="n"/>
      <c r="N6" s="45" t="n">
        <v>28</v>
      </c>
      <c r="O6" s="139" t="n"/>
      <c r="P6" s="139" t="n"/>
      <c r="Q6" s="139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3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3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24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27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64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3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14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28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28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70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3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3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3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3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3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13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26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64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3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3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28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3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23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23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59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3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27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65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3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28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28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70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3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14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28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28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70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3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22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22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57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3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27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67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3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20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23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56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3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25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23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61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3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13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25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25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63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3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26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66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3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28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28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70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3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22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25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3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3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3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3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25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64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3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3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25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3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11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19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19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49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3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3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28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28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70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3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24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64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3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22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20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55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3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3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11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23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20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54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3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14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25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26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65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3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27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65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3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11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21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20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52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3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11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21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18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50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3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24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21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58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3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26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26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66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3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11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20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23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54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3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11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21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19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3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11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22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19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52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3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21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3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22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23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58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3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11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18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20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49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3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28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28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70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3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20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20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51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3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11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22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19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52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3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11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19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20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50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3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70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3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63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3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28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28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70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3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3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11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20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21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52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3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21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23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57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3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24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23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3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3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61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3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24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24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61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3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11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18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21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50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3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24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23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3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11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21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21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53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3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14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26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26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66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3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25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3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28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28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70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3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25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24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62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3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14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28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28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70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3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28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70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3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19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19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49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3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28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70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3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25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65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3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23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23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59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3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27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24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64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3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11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21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21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53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3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19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22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52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3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11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21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19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3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11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23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20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54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3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70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3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22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22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57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3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13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20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23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56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3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13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26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24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63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3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28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28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70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3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24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61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3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25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62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3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23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26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62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3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28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28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70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3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3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11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20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20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51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3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28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28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70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3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24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64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3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22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20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55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3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22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60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3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28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28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70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3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28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28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70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3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11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17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19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47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3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24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22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59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3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3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3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18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18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47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3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20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23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56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3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3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23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23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59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3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3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13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23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24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60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3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11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18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20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49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3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25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65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3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3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27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24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64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3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14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28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28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70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3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3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26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24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63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3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24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3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13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23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20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56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3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24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25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62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3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20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22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55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3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11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22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20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53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3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24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24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61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3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27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27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68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3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24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24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61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3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13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22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24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59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3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70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3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11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21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21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53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3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23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20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56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3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13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21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22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56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3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21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24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3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28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70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3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22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22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57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3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13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25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22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60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3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13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25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25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63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3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13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21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24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58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3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11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21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19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51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3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23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23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59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3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14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28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70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3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13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23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24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60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3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18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20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49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3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3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11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23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20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54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3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14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26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26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3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26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27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67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3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14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25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28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67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3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22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21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56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3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11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23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20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54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3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14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28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28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70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3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28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28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70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3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24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27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64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3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14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27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26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67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3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23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59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3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23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20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56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3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24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24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61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3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14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28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28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70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3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26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25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64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3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25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67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3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25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25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63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3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14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25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26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65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3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23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25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61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3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13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23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21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57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3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27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24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64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3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14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27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24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65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3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23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23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59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3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23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61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3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23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22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58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3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13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22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22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57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3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26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23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62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3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25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26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65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3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20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23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56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3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11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21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19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51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3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11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20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20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51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3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26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26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66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3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23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24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60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3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13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21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24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58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3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11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21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20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52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3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24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61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3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11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23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20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54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3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26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64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3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14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28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28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70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3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11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22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20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53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3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13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23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20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56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3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>
        <v>13</v>
      </c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>
        <v>24</v>
      </c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>
        <v>21</v>
      </c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>
        <v>58</v>
      </c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3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>
        <v>13</v>
      </c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>
        <v>24</v>
      </c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>
        <v>24</v>
      </c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R187" t="n">
        <v>61</v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3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>
        <v>13</v>
      </c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>
        <v>21</v>
      </c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>
        <v>23</v>
      </c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>
        <v>57</v>
      </c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3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>
        <v>11</v>
      </c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>
        <v>20</v>
      </c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>
        <v>19</v>
      </c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R189" t="n">
        <v>50</v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3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>
        <v>11</v>
      </c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>
        <v>21</v>
      </c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>
        <v>21</v>
      </c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R190" t="n">
        <v>53</v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3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>
        <v>11</v>
      </c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>
        <v>22</v>
      </c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>
        <v>19</v>
      </c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R191" t="n">
        <v>52</v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3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>
        <v>14</v>
      </c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>
        <v>25</v>
      </c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>
        <v>26</v>
      </c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>
        <v>65</v>
      </c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3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>
        <v>13</v>
      </c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>
        <v>24</v>
      </c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>
        <v>26</v>
      </c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R193" t="n">
        <v>63</v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3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>
        <v>13</v>
      </c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>
        <v>25</v>
      </c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>
        <v>24</v>
      </c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>
        <v>62</v>
      </c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3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>
        <v>11</v>
      </c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>
        <v>21</v>
      </c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>
        <v>18</v>
      </c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>
        <v>50</v>
      </c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3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>
        <v>13</v>
      </c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>
        <v>24</v>
      </c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>
        <v>21</v>
      </c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>
        <v>58</v>
      </c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3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>
        <v>11</v>
      </c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>
        <v>21</v>
      </c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>
        <v>22</v>
      </c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>
        <v>54</v>
      </c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3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>
        <v>13</v>
      </c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>
        <v>23</v>
      </c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>
        <v>25</v>
      </c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>
        <v>61</v>
      </c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3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>
        <v>13</v>
      </c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>
        <v>25</v>
      </c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>
        <v>23</v>
      </c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>
        <v>61</v>
      </c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3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>
        <v>13</v>
      </c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>
        <v>26</v>
      </c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>
        <v>23</v>
      </c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>
        <v>62</v>
      </c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3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>
        <v>13</v>
      </c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>
        <v>21</v>
      </c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>
        <v>21</v>
      </c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R201" t="n">
        <v>55</v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3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>
        <v>13</v>
      </c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>
        <v>22</v>
      </c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>
        <v>23</v>
      </c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>
        <v>58</v>
      </c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3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>
        <v>13</v>
      </c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>
        <v>24</v>
      </c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>
        <v>26</v>
      </c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>
        <v>63</v>
      </c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3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F204" t="n">
        <v>14</v>
      </c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J204" t="n">
        <v>28</v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N204" t="n">
        <v>28</v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R204" t="n">
        <v>70</v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3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>
        <v>11</v>
      </c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>
        <v>20</v>
      </c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>
        <v>20</v>
      </c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>
        <v>51</v>
      </c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3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>
        <v>11</v>
      </c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>
        <v>22</v>
      </c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>
        <v>19</v>
      </c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>
        <v>52</v>
      </c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3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F207" t="n">
        <v>14</v>
      </c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J207" t="n">
        <v>28</v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N207" t="n">
        <v>28</v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>
        <v>70</v>
      </c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3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>
        <v>13</v>
      </c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>
        <v>21</v>
      </c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>
        <v>24</v>
      </c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>
        <v>58</v>
      </c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3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>
        <v>11</v>
      </c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>
        <v>20</v>
      </c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>
        <v>18</v>
      </c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R209" t="n">
        <v>49</v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3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>
        <v>14</v>
      </c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>
        <v>28</v>
      </c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>
        <v>28</v>
      </c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R210" t="n">
        <v>70</v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3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>
        <v>14</v>
      </c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>
        <v>27</v>
      </c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>
        <v>24</v>
      </c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>
        <v>65</v>
      </c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3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>
        <v>13</v>
      </c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>
        <v>24</v>
      </c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>
        <v>25</v>
      </c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R212" t="n">
        <v>62</v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3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>
        <v>13</v>
      </c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>
        <v>22</v>
      </c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>
        <v>25</v>
      </c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R213" t="n">
        <v>60</v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3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F214" t="n">
        <v>13</v>
      </c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J214" t="n">
        <v>24</v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N214" t="n">
        <v>23</v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>
        <v>60</v>
      </c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3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>
        <v>13</v>
      </c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>
        <v>24</v>
      </c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>
        <v>24</v>
      </c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R215" t="n">
        <v>61</v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3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>
        <v>11</v>
      </c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>
        <v>23</v>
      </c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>
        <v>20</v>
      </c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>
        <v>54</v>
      </c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3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>
        <v>14</v>
      </c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>
        <v>28</v>
      </c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>
        <v>28</v>
      </c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R217" t="n">
        <v>70</v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3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>
        <v>11</v>
      </c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>
        <v>19</v>
      </c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>
        <v>22</v>
      </c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>
        <v>52</v>
      </c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3">
      <c r="A219" s="47">
        <f>'Sessional + End Term Assessment'!A220</f>
        <v/>
      </c>
      <c r="B219" s="81">
        <f>'Sessional + End Term Assessment'!B220</f>
        <v/>
      </c>
      <c r="C219" s="81">
        <f>'Sessional + End Term Assessment'!C220</f>
        <v/>
      </c>
      <c r="D219" s="44" t="n"/>
      <c r="E219" s="44" t="n"/>
      <c r="F219" s="80" t="n">
        <v>11</v>
      </c>
      <c r="G219" s="49">
        <f>IF(F219&gt;=($F$6*0.5),1,0)</f>
        <v/>
      </c>
      <c r="H219" s="49">
        <f>IF(F219&gt;=($F$6*0.6),1,0)</f>
        <v/>
      </c>
      <c r="I219" s="49">
        <f>IF(F219&gt;=($F$6*0.7),1,0)</f>
        <v/>
      </c>
      <c r="J219" s="80" t="n">
        <v>20</v>
      </c>
      <c r="K219" s="49">
        <f>IF(J219&gt;=($J$6*0.7),1,0)</f>
        <v/>
      </c>
      <c r="L219" s="49">
        <f>IF(J219&gt;=($J$6*0.8),1,0)</f>
        <v/>
      </c>
      <c r="M219" s="49">
        <f>IF(J219&gt;=($J$6*0.9),1,0)</f>
        <v/>
      </c>
      <c r="N219" s="80" t="n">
        <v>19</v>
      </c>
      <c r="O219" s="49">
        <f>IF(N219&gt;=($N$6*0.7),1,0)</f>
        <v/>
      </c>
      <c r="P219" s="49">
        <f>IF(N219&gt;=($N$6*0.8),1,0)</f>
        <v/>
      </c>
      <c r="Q219" s="49">
        <f>IF(N219&gt;=($N$6*0.9),1,0)</f>
        <v/>
      </c>
      <c r="R219" s="44" t="n">
        <v>50</v>
      </c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3">
      <c r="A220" s="47">
        <f>'Sessional + End Term Assessment'!A221</f>
        <v/>
      </c>
      <c r="B220" s="81">
        <f>'Sessional + End Term Assessment'!B221</f>
        <v/>
      </c>
      <c r="C220" s="81">
        <f>'Sessional + End Term Assessment'!C221</f>
        <v/>
      </c>
      <c r="D220" s="44" t="n"/>
      <c r="E220" s="44" t="n"/>
      <c r="F220" s="80" t="n">
        <v>14</v>
      </c>
      <c r="G220" s="49">
        <f>IF(F220&gt;=($F$6*0.5),1,0)</f>
        <v/>
      </c>
      <c r="H220" s="49">
        <f>IF(F220&gt;=($F$6*0.6),1,0)</f>
        <v/>
      </c>
      <c r="I220" s="49">
        <f>IF(F220&gt;=($F$6*0.7),1,0)</f>
        <v/>
      </c>
      <c r="J220" s="80" t="n">
        <v>28</v>
      </c>
      <c r="K220" s="49">
        <f>IF(J220&gt;=($J$6*0.7),1,0)</f>
        <v/>
      </c>
      <c r="L220" s="49">
        <f>IF(J220&gt;=($J$6*0.8),1,0)</f>
        <v/>
      </c>
      <c r="M220" s="49">
        <f>IF(J220&gt;=($J$6*0.9),1,0)</f>
        <v/>
      </c>
      <c r="N220" s="80" t="n">
        <v>28</v>
      </c>
      <c r="O220" s="49">
        <f>IF(N220&gt;=($N$6*0.7),1,0)</f>
        <v/>
      </c>
      <c r="P220" s="49">
        <f>IF(N220&gt;=($N$6*0.8),1,0)</f>
        <v/>
      </c>
      <c r="Q220" s="49">
        <f>IF(N220&gt;=($N$6*0.9),1,0)</f>
        <v/>
      </c>
      <c r="R220" s="44" t="n">
        <v>70</v>
      </c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3">
      <c r="A221" s="47">
        <f>'Sessional + End Term Assessment'!A222</f>
        <v/>
      </c>
      <c r="B221" s="81">
        <f>'Sessional + End Term Assessment'!B222</f>
        <v/>
      </c>
      <c r="C221" s="81">
        <f>'Sessional + End Term Assessment'!C222</f>
        <v/>
      </c>
      <c r="D221" s="44" t="n"/>
      <c r="E221" s="44" t="n"/>
      <c r="F221" s="80" t="n">
        <v>14</v>
      </c>
      <c r="G221" s="49">
        <f>IF(F221&gt;=($F$6*0.5),1,0)</f>
        <v/>
      </c>
      <c r="H221" s="49">
        <f>IF(F221&gt;=($F$6*0.6),1,0)</f>
        <v/>
      </c>
      <c r="I221" s="49">
        <f>IF(F221&gt;=($F$6*0.7),1,0)</f>
        <v/>
      </c>
      <c r="J221" s="80" t="n">
        <v>28</v>
      </c>
      <c r="K221" s="49">
        <f>IF(J221&gt;=($J$6*0.7),1,0)</f>
        <v/>
      </c>
      <c r="L221" s="49">
        <f>IF(J221&gt;=($J$6*0.8),1,0)</f>
        <v/>
      </c>
      <c r="M221" s="49">
        <f>IF(J221&gt;=($J$6*0.9),1,0)</f>
        <v/>
      </c>
      <c r="N221" s="80" t="n">
        <v>28</v>
      </c>
      <c r="O221" s="49">
        <f>IF(N221&gt;=($N$6*0.7),1,0)</f>
        <v/>
      </c>
      <c r="P221" s="49">
        <f>IF(N221&gt;=($N$6*0.8),1,0)</f>
        <v/>
      </c>
      <c r="Q221" s="49">
        <f>IF(N221&gt;=($N$6*0.9),1,0)</f>
        <v/>
      </c>
      <c r="R221" s="44" t="n">
        <v>70</v>
      </c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3">
      <c r="A222" s="47">
        <f>'Sessional + End Term Assessment'!A223</f>
        <v/>
      </c>
      <c r="B222" s="81">
        <f>'Sessional + End Term Assessment'!B223</f>
        <v/>
      </c>
      <c r="C222" s="81">
        <f>'Sessional + End Term Assessment'!C223</f>
        <v/>
      </c>
      <c r="D222" s="44" t="n"/>
      <c r="E222" s="44" t="n"/>
      <c r="F222" s="80" t="n">
        <v>11</v>
      </c>
      <c r="G222" s="49">
        <f>IF(F222&gt;=($F$6*0.5),1,0)</f>
        <v/>
      </c>
      <c r="H222" s="49">
        <f>IF(F222&gt;=($F$6*0.6),1,0)</f>
        <v/>
      </c>
      <c r="I222" s="49">
        <f>IF(F222&gt;=($F$6*0.7),1,0)</f>
        <v/>
      </c>
      <c r="J222" s="80" t="n">
        <v>20</v>
      </c>
      <c r="K222" s="49">
        <f>IF(J222&gt;=($J$6*0.7),1,0)</f>
        <v/>
      </c>
      <c r="L222" s="49">
        <f>IF(J222&gt;=($J$6*0.8),1,0)</f>
        <v/>
      </c>
      <c r="M222" s="49">
        <f>IF(J222&gt;=($J$6*0.9),1,0)</f>
        <v/>
      </c>
      <c r="N222" s="80" t="n">
        <v>20</v>
      </c>
      <c r="O222" s="49">
        <f>IF(N222&gt;=($N$6*0.7),1,0)</f>
        <v/>
      </c>
      <c r="P222" s="49">
        <f>IF(N222&gt;=($N$6*0.8),1,0)</f>
        <v/>
      </c>
      <c r="Q222" s="49">
        <f>IF(N222&gt;=($N$6*0.9),1,0)</f>
        <v/>
      </c>
      <c r="R222" s="44" t="n">
        <v>51</v>
      </c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3">
      <c r="A223" s="47">
        <f>'Sessional + End Term Assessment'!A224</f>
        <v/>
      </c>
      <c r="B223" s="81">
        <f>'Sessional + End Term Assessment'!B224</f>
        <v/>
      </c>
      <c r="C223" s="81">
        <f>'Sessional + End Term Assessment'!C224</f>
        <v/>
      </c>
      <c r="D223" s="44" t="n"/>
      <c r="E223" s="44" t="n"/>
      <c r="F223" s="80" t="n">
        <v>11</v>
      </c>
      <c r="G223" s="49">
        <f>IF(F223&gt;=($F$6*0.5),1,0)</f>
        <v/>
      </c>
      <c r="H223" s="49">
        <f>IF(F223&gt;=($F$6*0.6),1,0)</f>
        <v/>
      </c>
      <c r="I223" s="49">
        <f>IF(F223&gt;=($F$6*0.7),1,0)</f>
        <v/>
      </c>
      <c r="J223" s="80" t="n">
        <v>19</v>
      </c>
      <c r="K223" s="49">
        <f>IF(J223&gt;=($J$6*0.7),1,0)</f>
        <v/>
      </c>
      <c r="L223" s="49">
        <f>IF(J223&gt;=($J$6*0.8),1,0)</f>
        <v/>
      </c>
      <c r="M223" s="49">
        <f>IF(J223&gt;=($J$6*0.9),1,0)</f>
        <v/>
      </c>
      <c r="N223" s="80" t="n">
        <v>21</v>
      </c>
      <c r="O223" s="49">
        <f>IF(N223&gt;=($N$6*0.7),1,0)</f>
        <v/>
      </c>
      <c r="P223" s="49">
        <f>IF(N223&gt;=($N$6*0.8),1,0)</f>
        <v/>
      </c>
      <c r="Q223" s="49">
        <f>IF(N223&gt;=($N$6*0.9),1,0)</f>
        <v/>
      </c>
      <c r="R223" s="44" t="n">
        <v>51</v>
      </c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3">
      <c r="A224" s="47">
        <f>'Sessional + End Term Assessment'!A225</f>
        <v/>
      </c>
      <c r="B224" s="81">
        <f>'Sessional + End Term Assessment'!B225</f>
        <v/>
      </c>
      <c r="C224" s="81">
        <f>'Sessional + End Term Assessment'!C225</f>
        <v/>
      </c>
      <c r="D224" s="44" t="n"/>
      <c r="E224" s="44" t="n"/>
      <c r="F224" s="80" t="n">
        <v>11</v>
      </c>
      <c r="G224" s="49">
        <f>IF(F224&gt;=($F$6*0.5),1,0)</f>
        <v/>
      </c>
      <c r="H224" s="49">
        <f>IF(F224&gt;=($F$6*0.6),1,0)</f>
        <v/>
      </c>
      <c r="I224" s="49">
        <f>IF(F224&gt;=($F$6*0.7),1,0)</f>
        <v/>
      </c>
      <c r="J224" s="80" t="n">
        <v>21</v>
      </c>
      <c r="K224" s="49">
        <f>IF(J224&gt;=($J$6*0.7),1,0)</f>
        <v/>
      </c>
      <c r="L224" s="49">
        <f>IF(J224&gt;=($J$6*0.8),1,0)</f>
        <v/>
      </c>
      <c r="M224" s="49">
        <f>IF(J224&gt;=($J$6*0.9),1,0)</f>
        <v/>
      </c>
      <c r="N224" s="80" t="n">
        <v>20</v>
      </c>
      <c r="O224" s="49">
        <f>IF(N224&gt;=($N$6*0.7),1,0)</f>
        <v/>
      </c>
      <c r="P224" s="49">
        <f>IF(N224&gt;=($N$6*0.8),1,0)</f>
        <v/>
      </c>
      <c r="Q224" s="49">
        <f>IF(N224&gt;=($N$6*0.9),1,0)</f>
        <v/>
      </c>
      <c r="R224" s="44" t="n">
        <v>52</v>
      </c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3">
      <c r="A225" s="47">
        <f>'Sessional + End Term Assessment'!A226</f>
        <v/>
      </c>
      <c r="B225" s="81">
        <f>'Sessional + End Term Assessment'!B226</f>
        <v/>
      </c>
      <c r="C225" s="81">
        <f>'Sessional + End Term Assessment'!C226</f>
        <v/>
      </c>
      <c r="D225" s="44" t="n"/>
      <c r="E225" s="44" t="n"/>
      <c r="F225" s="80" t="n">
        <v>13</v>
      </c>
      <c r="G225" s="49">
        <f>IF(F225&gt;=($F$6*0.5),1,0)</f>
        <v/>
      </c>
      <c r="H225" s="49">
        <f>IF(F225&gt;=($F$6*0.6),1,0)</f>
        <v/>
      </c>
      <c r="I225" s="49">
        <f>IF(F225&gt;=($F$6*0.7),1,0)</f>
        <v/>
      </c>
      <c r="J225" s="80" t="n">
        <v>21</v>
      </c>
      <c r="K225" s="49">
        <f>IF(J225&gt;=($J$6*0.7),1,0)</f>
        <v/>
      </c>
      <c r="L225" s="49">
        <f>IF(J225&gt;=($J$6*0.8),1,0)</f>
        <v/>
      </c>
      <c r="M225" s="49">
        <f>IF(J225&gt;=($J$6*0.9),1,0)</f>
        <v/>
      </c>
      <c r="N225" s="80" t="n">
        <v>21</v>
      </c>
      <c r="O225" s="49">
        <f>IF(N225&gt;=($N$6*0.7),1,0)</f>
        <v/>
      </c>
      <c r="P225" s="49">
        <f>IF(N225&gt;=($N$6*0.8),1,0)</f>
        <v/>
      </c>
      <c r="Q225" s="49">
        <f>IF(N225&gt;=($N$6*0.9),1,0)</f>
        <v/>
      </c>
      <c r="R225" s="44" t="n">
        <v>55</v>
      </c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3">
      <c r="A226" s="47">
        <f>'Sessional + End Term Assessment'!A227</f>
        <v/>
      </c>
      <c r="B226" s="81">
        <f>'Sessional + End Term Assessment'!B227</f>
        <v/>
      </c>
      <c r="C226" s="81">
        <f>'Sessional + End Term Assessment'!C227</f>
        <v/>
      </c>
      <c r="D226" s="44" t="n"/>
      <c r="E226" s="44" t="n"/>
      <c r="F226" s="80" t="n">
        <v>13</v>
      </c>
      <c r="G226" s="49">
        <f>IF(F226&gt;=($F$6*0.5),1,0)</f>
        <v/>
      </c>
      <c r="H226" s="49">
        <f>IF(F226&gt;=($F$6*0.6),1,0)</f>
        <v/>
      </c>
      <c r="I226" s="49">
        <f>IF(F226&gt;=($F$6*0.7),1,0)</f>
        <v/>
      </c>
      <c r="J226" s="80" t="n">
        <v>25</v>
      </c>
      <c r="K226" s="49">
        <f>IF(J226&gt;=($J$6*0.7),1,0)</f>
        <v/>
      </c>
      <c r="L226" s="49">
        <f>IF(J226&gt;=($J$6*0.8),1,0)</f>
        <v/>
      </c>
      <c r="M226" s="49">
        <f>IF(J226&gt;=($J$6*0.9),1,0)</f>
        <v/>
      </c>
      <c r="N226" s="80" t="n">
        <v>22</v>
      </c>
      <c r="O226" s="49">
        <f>IF(N226&gt;=($N$6*0.7),1,0)</f>
        <v/>
      </c>
      <c r="P226" s="49">
        <f>IF(N226&gt;=($N$6*0.8),1,0)</f>
        <v/>
      </c>
      <c r="Q226" s="49">
        <f>IF(N226&gt;=($N$6*0.9),1,0)</f>
        <v/>
      </c>
      <c r="R226" s="44" t="n">
        <v>60</v>
      </c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3">
      <c r="A227" s="47">
        <f>'Sessional + End Term Assessment'!A228</f>
        <v/>
      </c>
      <c r="B227" s="81">
        <f>'Sessional + End Term Assessment'!B228</f>
        <v/>
      </c>
      <c r="C227" s="81">
        <f>'Sessional + End Term Assessment'!C228</f>
        <v/>
      </c>
      <c r="D227" s="44" t="n"/>
      <c r="E227" s="44" t="n"/>
      <c r="F227" s="80" t="n">
        <v>13</v>
      </c>
      <c r="G227" s="49">
        <f>IF(F227&gt;=($F$6*0.5),1,0)</f>
        <v/>
      </c>
      <c r="H227" s="49">
        <f>IF(F227&gt;=($F$6*0.6),1,0)</f>
        <v/>
      </c>
      <c r="I227" s="49">
        <f>IF(F227&gt;=($F$6*0.7),1,0)</f>
        <v/>
      </c>
      <c r="J227" s="80" t="n">
        <v>25</v>
      </c>
      <c r="K227" s="49">
        <f>IF(J227&gt;=($J$6*0.7),1,0)</f>
        <v/>
      </c>
      <c r="L227" s="49">
        <f>IF(J227&gt;=($J$6*0.8),1,0)</f>
        <v/>
      </c>
      <c r="M227" s="49">
        <f>IF(J227&gt;=($J$6*0.9),1,0)</f>
        <v/>
      </c>
      <c r="N227" s="80" t="n">
        <v>25</v>
      </c>
      <c r="O227" s="49">
        <f>IF(N227&gt;=($N$6*0.7),1,0)</f>
        <v/>
      </c>
      <c r="P227" s="49">
        <f>IF(N227&gt;=($N$6*0.8),1,0)</f>
        <v/>
      </c>
      <c r="Q227" s="49">
        <f>IF(N227&gt;=($N$6*0.9),1,0)</f>
        <v/>
      </c>
      <c r="R227" s="44" t="n">
        <v>63</v>
      </c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3">
      <c r="A228" s="47">
        <f>'Sessional + End Term Assessment'!A229</f>
        <v/>
      </c>
      <c r="B228" s="81">
        <f>'Sessional + End Term Assessment'!B229</f>
        <v/>
      </c>
      <c r="C228" s="81">
        <f>'Sessional + End Term Assessment'!C229</f>
        <v/>
      </c>
      <c r="D228" s="44" t="n"/>
      <c r="E228" s="44" t="n"/>
      <c r="F228" s="80" t="n">
        <v>11</v>
      </c>
      <c r="G228" s="49">
        <f>IF(F228&gt;=($F$6*0.5),1,0)</f>
        <v/>
      </c>
      <c r="H228" s="49">
        <f>IF(F228&gt;=($F$6*0.6),1,0)</f>
        <v/>
      </c>
      <c r="I228" s="49">
        <f>IF(F228&gt;=($F$6*0.7),1,0)</f>
        <v/>
      </c>
      <c r="J228" s="80" t="n">
        <v>20</v>
      </c>
      <c r="K228" s="49">
        <f>IF(J228&gt;=($J$6*0.7),1,0)</f>
        <v/>
      </c>
      <c r="L228" s="49">
        <f>IF(J228&gt;=($J$6*0.8),1,0)</f>
        <v/>
      </c>
      <c r="M228" s="49">
        <f>IF(J228&gt;=($J$6*0.9),1,0)</f>
        <v/>
      </c>
      <c r="N228" s="80" t="n">
        <v>23</v>
      </c>
      <c r="O228" s="49">
        <f>IF(N228&gt;=($N$6*0.7),1,0)</f>
        <v/>
      </c>
      <c r="P228" s="49">
        <f>IF(N228&gt;=($N$6*0.8),1,0)</f>
        <v/>
      </c>
      <c r="Q228" s="49">
        <f>IF(N228&gt;=($N$6*0.9),1,0)</f>
        <v/>
      </c>
      <c r="R228" s="44" t="n">
        <v>54</v>
      </c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3">
      <c r="A229" s="47">
        <f>'Sessional + End Term Assessment'!A230</f>
        <v/>
      </c>
      <c r="B229" s="81">
        <f>'Sessional + End Term Assessment'!B230</f>
        <v/>
      </c>
      <c r="C229" s="81">
        <f>'Sessional + End Term Assessment'!C230</f>
        <v/>
      </c>
      <c r="D229" s="44" t="n"/>
      <c r="E229" s="44" t="n"/>
      <c r="F229" s="80" t="n">
        <v>13</v>
      </c>
      <c r="G229" s="49">
        <f>IF(F229&gt;=($F$6*0.5),1,0)</f>
        <v/>
      </c>
      <c r="H229" s="49">
        <f>IF(F229&gt;=($F$6*0.6),1,0)</f>
        <v/>
      </c>
      <c r="I229" s="49">
        <f>IF(F229&gt;=($F$6*0.7),1,0)</f>
        <v/>
      </c>
      <c r="J229" s="80" t="n">
        <v>26</v>
      </c>
      <c r="K229" s="49">
        <f>IF(J229&gt;=($J$6*0.7),1,0)</f>
        <v/>
      </c>
      <c r="L229" s="49">
        <f>IF(J229&gt;=($J$6*0.8),1,0)</f>
        <v/>
      </c>
      <c r="M229" s="49">
        <f>IF(J229&gt;=($J$6*0.9),1,0)</f>
        <v/>
      </c>
      <c r="N229" s="80" t="n">
        <v>24</v>
      </c>
      <c r="O229" s="49">
        <f>IF(N229&gt;=($N$6*0.7),1,0)</f>
        <v/>
      </c>
      <c r="P229" s="49">
        <f>IF(N229&gt;=($N$6*0.8),1,0)</f>
        <v/>
      </c>
      <c r="Q229" s="49">
        <f>IF(N229&gt;=($N$6*0.9),1,0)</f>
        <v/>
      </c>
      <c r="R229" s="44" t="n">
        <v>63</v>
      </c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3">
      <c r="A230" s="47">
        <f>'Sessional + End Term Assessment'!A231</f>
        <v/>
      </c>
      <c r="B230" s="81">
        <f>'Sessional + End Term Assessment'!B231</f>
        <v/>
      </c>
      <c r="C230" s="81">
        <f>'Sessional + End Term Assessment'!C231</f>
        <v/>
      </c>
      <c r="D230" s="44" t="n"/>
      <c r="E230" s="44" t="n"/>
      <c r="F230" s="80" t="n">
        <v>14</v>
      </c>
      <c r="G230" s="49">
        <f>IF(F230&gt;=($F$6*0.5),1,0)</f>
        <v/>
      </c>
      <c r="H230" s="49">
        <f>IF(F230&gt;=($F$6*0.6),1,0)</f>
        <v/>
      </c>
      <c r="I230" s="49">
        <f>IF(F230&gt;=($F$6*0.7),1,0)</f>
        <v/>
      </c>
      <c r="J230" s="80" t="n">
        <v>28</v>
      </c>
      <c r="K230" s="49">
        <f>IF(J230&gt;=($J$6*0.7),1,0)</f>
        <v/>
      </c>
      <c r="L230" s="49">
        <f>IF(J230&gt;=($J$6*0.8),1,0)</f>
        <v/>
      </c>
      <c r="M230" s="49">
        <f>IF(J230&gt;=($J$6*0.9),1,0)</f>
        <v/>
      </c>
      <c r="N230" s="80" t="n">
        <v>28</v>
      </c>
      <c r="O230" s="49">
        <f>IF(N230&gt;=($N$6*0.7),1,0)</f>
        <v/>
      </c>
      <c r="P230" s="49">
        <f>IF(N230&gt;=($N$6*0.8),1,0)</f>
        <v/>
      </c>
      <c r="Q230" s="49">
        <f>IF(N230&gt;=($N$6*0.9),1,0)</f>
        <v/>
      </c>
      <c r="R230" s="44" t="n">
        <v>70</v>
      </c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3">
      <c r="A231" s="47">
        <f>'Sessional + End Term Assessment'!A232</f>
        <v/>
      </c>
      <c r="B231" s="81">
        <f>'Sessional + End Term Assessment'!B232</f>
        <v/>
      </c>
      <c r="C231" s="81">
        <f>'Sessional + End Term Assessment'!C232</f>
        <v/>
      </c>
      <c r="D231" s="44" t="n"/>
      <c r="E231" s="44" t="n"/>
      <c r="F231" s="80" t="n">
        <v>13</v>
      </c>
      <c r="G231" s="49">
        <f>IF(F231&gt;=($F$6*0.5),1,0)</f>
        <v/>
      </c>
      <c r="H231" s="49">
        <f>IF(F231&gt;=($F$6*0.6),1,0)</f>
        <v/>
      </c>
      <c r="I231" s="49">
        <f>IF(F231&gt;=($F$6*0.7),1,0)</f>
        <v/>
      </c>
      <c r="J231" s="80" t="n">
        <v>26</v>
      </c>
      <c r="K231" s="49">
        <f>IF(J231&gt;=($J$6*0.7),1,0)</f>
        <v/>
      </c>
      <c r="L231" s="49">
        <f>IF(J231&gt;=($J$6*0.8),1,0)</f>
        <v/>
      </c>
      <c r="M231" s="49">
        <f>IF(J231&gt;=($J$6*0.9),1,0)</f>
        <v/>
      </c>
      <c r="N231" s="80" t="n">
        <v>23</v>
      </c>
      <c r="O231" s="49">
        <f>IF(N231&gt;=($N$6*0.7),1,0)</f>
        <v/>
      </c>
      <c r="P231" s="49">
        <f>IF(N231&gt;=($N$6*0.8),1,0)</f>
        <v/>
      </c>
      <c r="Q231" s="49">
        <f>IF(N231&gt;=($N$6*0.9),1,0)</f>
        <v/>
      </c>
      <c r="R231" s="44" t="n">
        <v>62</v>
      </c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3">
      <c r="A232" s="47">
        <f>'Sessional + End Term Assessment'!A233</f>
        <v/>
      </c>
      <c r="B232" s="81">
        <f>'Sessional + End Term Assessment'!B233</f>
        <v/>
      </c>
      <c r="C232" s="81">
        <f>'Sessional + End Term Assessment'!C233</f>
        <v/>
      </c>
      <c r="D232" s="44" t="n"/>
      <c r="E232" s="44" t="n"/>
      <c r="F232" s="80" t="n">
        <v>13</v>
      </c>
      <c r="G232" s="49">
        <f>IF(F232&gt;=($F$6*0.5),1,0)</f>
        <v/>
      </c>
      <c r="H232" s="49">
        <f>IF(F232&gt;=($F$6*0.6),1,0)</f>
        <v/>
      </c>
      <c r="I232" s="49">
        <f>IF(F232&gt;=($F$6*0.7),1,0)</f>
        <v/>
      </c>
      <c r="J232" s="80" t="n">
        <v>25</v>
      </c>
      <c r="K232" s="49">
        <f>IF(J232&gt;=($J$6*0.7),1,0)</f>
        <v/>
      </c>
      <c r="L232" s="49">
        <f>IF(J232&gt;=($J$6*0.8),1,0)</f>
        <v/>
      </c>
      <c r="M232" s="49">
        <f>IF(J232&gt;=($J$6*0.9),1,0)</f>
        <v/>
      </c>
      <c r="N232" s="80" t="n">
        <v>25</v>
      </c>
      <c r="O232" s="49">
        <f>IF(N232&gt;=($N$6*0.7),1,0)</f>
        <v/>
      </c>
      <c r="P232" s="49">
        <f>IF(N232&gt;=($N$6*0.8),1,0)</f>
        <v/>
      </c>
      <c r="Q232" s="49">
        <f>IF(N232&gt;=($N$6*0.9),1,0)</f>
        <v/>
      </c>
      <c r="R232" s="44" t="n">
        <v>63</v>
      </c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3">
      <c r="A233" s="47">
        <f>'Sessional + End Term Assessment'!A234</f>
        <v/>
      </c>
      <c r="B233" s="81">
        <f>'Sessional + End Term Assessment'!B234</f>
        <v/>
      </c>
      <c r="C233" s="81">
        <f>'Sessional + End Term Assessment'!C234</f>
        <v/>
      </c>
      <c r="D233" s="44" t="n"/>
      <c r="E233" s="44" t="n"/>
      <c r="F233" s="80" t="n">
        <v>13</v>
      </c>
      <c r="G233" s="49">
        <f>IF(F233&gt;=($F$6*0.5),1,0)</f>
        <v/>
      </c>
      <c r="H233" s="49">
        <f>IF(F233&gt;=($F$6*0.6),1,0)</f>
        <v/>
      </c>
      <c r="I233" s="49">
        <f>IF(F233&gt;=($F$6*0.7),1,0)</f>
        <v/>
      </c>
      <c r="J233" s="80" t="n">
        <v>22</v>
      </c>
      <c r="K233" s="49">
        <f>IF(J233&gt;=($J$6*0.7),1,0)</f>
        <v/>
      </c>
      <c r="L233" s="49">
        <f>IF(J233&gt;=($J$6*0.8),1,0)</f>
        <v/>
      </c>
      <c r="M233" s="49">
        <f>IF(J233&gt;=($J$6*0.9),1,0)</f>
        <v/>
      </c>
      <c r="N233" s="80" t="n">
        <v>24</v>
      </c>
      <c r="O233" s="49">
        <f>IF(N233&gt;=($N$6*0.7),1,0)</f>
        <v/>
      </c>
      <c r="P233" s="49">
        <f>IF(N233&gt;=($N$6*0.8),1,0)</f>
        <v/>
      </c>
      <c r="Q233" s="49">
        <f>IF(N233&gt;=($N$6*0.9),1,0)</f>
        <v/>
      </c>
      <c r="R233" s="44" t="n">
        <v>59</v>
      </c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3">
      <c r="A234" s="47">
        <f>'Sessional + End Term Assessment'!A235</f>
        <v/>
      </c>
      <c r="B234" s="81">
        <f>'Sessional + End Term Assessment'!B235</f>
        <v/>
      </c>
      <c r="C234" s="81">
        <f>'Sessional + End Term Assessment'!C235</f>
        <v/>
      </c>
      <c r="D234" s="44" t="n"/>
      <c r="E234" s="44" t="n"/>
      <c r="F234" s="80" t="n">
        <v>14</v>
      </c>
      <c r="G234" s="49">
        <f>IF(F234&gt;=($F$6*0.5),1,0)</f>
        <v/>
      </c>
      <c r="H234" s="49">
        <f>IF(F234&gt;=($F$6*0.6),1,0)</f>
        <v/>
      </c>
      <c r="I234" s="49">
        <f>IF(F234&gt;=($F$6*0.7),1,0)</f>
        <v/>
      </c>
      <c r="J234" s="80" t="n">
        <v>26</v>
      </c>
      <c r="K234" s="49">
        <f>IF(J234&gt;=($J$6*0.7),1,0)</f>
        <v/>
      </c>
      <c r="L234" s="49">
        <f>IF(J234&gt;=($J$6*0.8),1,0)</f>
        <v/>
      </c>
      <c r="M234" s="49">
        <f>IF(J234&gt;=($J$6*0.9),1,0)</f>
        <v/>
      </c>
      <c r="N234" s="80" t="n">
        <v>25</v>
      </c>
      <c r="O234" s="49">
        <f>IF(N234&gt;=($N$6*0.7),1,0)</f>
        <v/>
      </c>
      <c r="P234" s="49">
        <f>IF(N234&gt;=($N$6*0.8),1,0)</f>
        <v/>
      </c>
      <c r="Q234" s="49">
        <f>IF(N234&gt;=($N$6*0.9),1,0)</f>
        <v/>
      </c>
      <c r="R234" s="44" t="n">
        <v>65</v>
      </c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3">
      <c r="A235" s="47">
        <f>'Sessional + End Term Assessment'!A236</f>
        <v/>
      </c>
      <c r="B235" s="81">
        <f>'Sessional + End Term Assessment'!B236</f>
        <v/>
      </c>
      <c r="C235" s="81">
        <f>'Sessional + End Term Assessment'!C236</f>
        <v/>
      </c>
      <c r="D235" s="44" t="n"/>
      <c r="E235" s="44" t="n"/>
      <c r="F235" s="80" t="n">
        <v>13</v>
      </c>
      <c r="G235" s="49">
        <f>IF(F235&gt;=($F$6*0.5),1,0)</f>
        <v/>
      </c>
      <c r="H235" s="49">
        <f>IF(F235&gt;=($F$6*0.6),1,0)</f>
        <v/>
      </c>
      <c r="I235" s="49">
        <f>IF(F235&gt;=($F$6*0.7),1,0)</f>
        <v/>
      </c>
      <c r="J235" s="80" t="n">
        <v>24</v>
      </c>
      <c r="K235" s="49">
        <f>IF(J235&gt;=($J$6*0.7),1,0)</f>
        <v/>
      </c>
      <c r="L235" s="49">
        <f>IF(J235&gt;=($J$6*0.8),1,0)</f>
        <v/>
      </c>
      <c r="M235" s="49">
        <f>IF(J235&gt;=($J$6*0.9),1,0)</f>
        <v/>
      </c>
      <c r="N235" s="80" t="n">
        <v>21</v>
      </c>
      <c r="O235" s="49">
        <f>IF(N235&gt;=($N$6*0.7),1,0)</f>
        <v/>
      </c>
      <c r="P235" s="49">
        <f>IF(N235&gt;=($N$6*0.8),1,0)</f>
        <v/>
      </c>
      <c r="Q235" s="49">
        <f>IF(N235&gt;=($N$6*0.9),1,0)</f>
        <v/>
      </c>
      <c r="R235" s="44" t="n">
        <v>58</v>
      </c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3">
      <c r="A236" s="47">
        <f>'Sessional + End Term Assessment'!A237</f>
        <v/>
      </c>
      <c r="B236" s="81">
        <f>'Sessional + End Term Assessment'!B237</f>
        <v/>
      </c>
      <c r="C236" s="81">
        <f>'Sessional + End Term Assessment'!C237</f>
        <v/>
      </c>
      <c r="D236" s="44" t="n"/>
      <c r="E236" s="44" t="n"/>
      <c r="F236" s="80" t="n">
        <v>14</v>
      </c>
      <c r="G236" s="49">
        <f>IF(F236&gt;=($F$6*0.5),1,0)</f>
        <v/>
      </c>
      <c r="H236" s="49">
        <f>IF(F236&gt;=($F$6*0.6),1,0)</f>
        <v/>
      </c>
      <c r="I236" s="49">
        <f>IF(F236&gt;=($F$6*0.7),1,0)</f>
        <v/>
      </c>
      <c r="J236" s="80" t="n">
        <v>28</v>
      </c>
      <c r="K236" s="49">
        <f>IF(J236&gt;=($J$6*0.7),1,0)</f>
        <v/>
      </c>
      <c r="L236" s="49">
        <f>IF(J236&gt;=($J$6*0.8),1,0)</f>
        <v/>
      </c>
      <c r="M236" s="49">
        <f>IF(J236&gt;=($J$6*0.9),1,0)</f>
        <v/>
      </c>
      <c r="N236" s="80" t="n">
        <v>28</v>
      </c>
      <c r="O236" s="49">
        <f>IF(N236&gt;=($N$6*0.7),1,0)</f>
        <v/>
      </c>
      <c r="P236" s="49">
        <f>IF(N236&gt;=($N$6*0.8),1,0)</f>
        <v/>
      </c>
      <c r="Q236" s="49">
        <f>IF(N236&gt;=($N$6*0.9),1,0)</f>
        <v/>
      </c>
      <c r="R236" s="44" t="n">
        <v>70</v>
      </c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3">
      <c r="A237" s="47">
        <f>'Sessional + End Term Assessment'!A238</f>
        <v/>
      </c>
      <c r="B237" s="81">
        <f>'Sessional + End Term Assessment'!B238</f>
        <v/>
      </c>
      <c r="C237" s="81">
        <f>'Sessional + End Term Assessment'!C238</f>
        <v/>
      </c>
      <c r="D237" s="44" t="n"/>
      <c r="E237" s="44" t="n"/>
      <c r="F237" s="80" t="n">
        <v>13</v>
      </c>
      <c r="G237" s="49">
        <f>IF(F237&gt;=($F$6*0.5),1,0)</f>
        <v/>
      </c>
      <c r="H237" s="49">
        <f>IF(F237&gt;=($F$6*0.6),1,0)</f>
        <v/>
      </c>
      <c r="I237" s="49">
        <f>IF(F237&gt;=($F$6*0.7),1,0)</f>
        <v/>
      </c>
      <c r="J237" s="80" t="n">
        <v>21</v>
      </c>
      <c r="K237" s="49">
        <f>IF(J237&gt;=($J$6*0.7),1,0)</f>
        <v/>
      </c>
      <c r="L237" s="49">
        <f>IF(J237&gt;=($J$6*0.8),1,0)</f>
        <v/>
      </c>
      <c r="M237" s="49">
        <f>IF(J237&gt;=($J$6*0.9),1,0)</f>
        <v/>
      </c>
      <c r="N237" s="80" t="n">
        <v>21</v>
      </c>
      <c r="O237" s="49">
        <f>IF(N237&gt;=($N$6*0.7),1,0)</f>
        <v/>
      </c>
      <c r="P237" s="49">
        <f>IF(N237&gt;=($N$6*0.8),1,0)</f>
        <v/>
      </c>
      <c r="Q237" s="49">
        <f>IF(N237&gt;=($N$6*0.9),1,0)</f>
        <v/>
      </c>
      <c r="R237" s="44" t="n">
        <v>55</v>
      </c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3">
      <c r="A238" s="47">
        <f>'Sessional + End Term Assessment'!A239</f>
        <v/>
      </c>
      <c r="B238" s="81">
        <f>'Sessional + End Term Assessment'!B239</f>
        <v/>
      </c>
      <c r="C238" s="81">
        <f>'Sessional + End Term Assessment'!C239</f>
        <v/>
      </c>
      <c r="D238" s="44" t="n"/>
      <c r="E238" s="44" t="n"/>
      <c r="F238" s="80" t="n">
        <v>11</v>
      </c>
      <c r="G238" s="49">
        <f>IF(F238&gt;=($F$6*0.5),1,0)</f>
        <v/>
      </c>
      <c r="H238" s="49">
        <f>IF(F238&gt;=($F$6*0.6),1,0)</f>
        <v/>
      </c>
      <c r="I238" s="49">
        <f>IF(F238&gt;=($F$6*0.7),1,0)</f>
        <v/>
      </c>
      <c r="J238" s="80" t="n">
        <v>20</v>
      </c>
      <c r="K238" s="49">
        <f>IF(J238&gt;=($J$6*0.7),1,0)</f>
        <v/>
      </c>
      <c r="L238" s="49">
        <f>IF(J238&gt;=($J$6*0.8),1,0)</f>
        <v/>
      </c>
      <c r="M238" s="49">
        <f>IF(J238&gt;=($J$6*0.9),1,0)</f>
        <v/>
      </c>
      <c r="N238" s="80" t="n">
        <v>22</v>
      </c>
      <c r="O238" s="49">
        <f>IF(N238&gt;=($N$6*0.7),1,0)</f>
        <v/>
      </c>
      <c r="P238" s="49">
        <f>IF(N238&gt;=($N$6*0.8),1,0)</f>
        <v/>
      </c>
      <c r="Q238" s="49">
        <f>IF(N238&gt;=($N$6*0.9),1,0)</f>
        <v/>
      </c>
      <c r="R238" s="44" t="n">
        <v>53</v>
      </c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3">
      <c r="A239" s="47">
        <f>'Sessional + End Term Assessment'!A240</f>
        <v/>
      </c>
      <c r="B239" s="81">
        <f>'Sessional + End Term Assessment'!B240</f>
        <v/>
      </c>
      <c r="C239" s="81">
        <f>'Sessional + End Term Assessment'!C240</f>
        <v/>
      </c>
      <c r="D239" s="44" t="n"/>
      <c r="E239" s="44" t="n"/>
      <c r="F239" s="80" t="n">
        <v>13</v>
      </c>
      <c r="G239" s="49">
        <f>IF(F239&gt;=($F$6*0.5),1,0)</f>
        <v/>
      </c>
      <c r="H239" s="49">
        <f>IF(F239&gt;=($F$6*0.6),1,0)</f>
        <v/>
      </c>
      <c r="I239" s="49">
        <f>IF(F239&gt;=($F$6*0.7),1,0)</f>
        <v/>
      </c>
      <c r="J239" s="80" t="n">
        <v>24</v>
      </c>
      <c r="K239" s="49">
        <f>IF(J239&gt;=($J$6*0.7),1,0)</f>
        <v/>
      </c>
      <c r="L239" s="49">
        <f>IF(J239&gt;=($J$6*0.8),1,0)</f>
        <v/>
      </c>
      <c r="M239" s="49">
        <f>IF(J239&gt;=($J$6*0.9),1,0)</f>
        <v/>
      </c>
      <c r="N239" s="80" t="n">
        <v>22</v>
      </c>
      <c r="O239" s="49">
        <f>IF(N239&gt;=($N$6*0.7),1,0)</f>
        <v/>
      </c>
      <c r="P239" s="49">
        <f>IF(N239&gt;=($N$6*0.8),1,0)</f>
        <v/>
      </c>
      <c r="Q239" s="49">
        <f>IF(N239&gt;=($N$6*0.9),1,0)</f>
        <v/>
      </c>
      <c r="R239" s="44" t="n">
        <v>59</v>
      </c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3">
      <c r="A240" s="47">
        <f>'Sessional + End Term Assessment'!A241</f>
        <v/>
      </c>
      <c r="B240" s="81">
        <f>'Sessional + End Term Assessment'!B241</f>
        <v/>
      </c>
      <c r="C240" s="81">
        <f>'Sessional + End Term Assessment'!C241</f>
        <v/>
      </c>
      <c r="D240" s="44" t="n"/>
      <c r="E240" s="44" t="n"/>
      <c r="F240" s="80" t="n">
        <v>13</v>
      </c>
      <c r="G240" s="49">
        <f>IF(F240&gt;=($F$6*0.5),1,0)</f>
        <v/>
      </c>
      <c r="H240" s="49">
        <f>IF(F240&gt;=($F$6*0.6),1,0)</f>
        <v/>
      </c>
      <c r="I240" s="49">
        <f>IF(F240&gt;=($F$6*0.7),1,0)</f>
        <v/>
      </c>
      <c r="J240" s="80" t="n">
        <v>24</v>
      </c>
      <c r="K240" s="49">
        <f>IF(J240&gt;=($J$6*0.7),1,0)</f>
        <v/>
      </c>
      <c r="L240" s="49">
        <f>IF(J240&gt;=($J$6*0.8),1,0)</f>
        <v/>
      </c>
      <c r="M240" s="49">
        <f>IF(J240&gt;=($J$6*0.9),1,0)</f>
        <v/>
      </c>
      <c r="N240" s="80" t="n">
        <v>24</v>
      </c>
      <c r="O240" s="49">
        <f>IF(N240&gt;=($N$6*0.7),1,0)</f>
        <v/>
      </c>
      <c r="P240" s="49">
        <f>IF(N240&gt;=($N$6*0.8),1,0)</f>
        <v/>
      </c>
      <c r="Q240" s="49">
        <f>IF(N240&gt;=($N$6*0.9),1,0)</f>
        <v/>
      </c>
      <c r="R240" s="44" t="n">
        <v>61</v>
      </c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3">
      <c r="A241" s="47">
        <f>'Sessional + End Term Assessment'!A242</f>
        <v/>
      </c>
      <c r="B241" s="81">
        <f>'Sessional + End Term Assessment'!B242</f>
        <v/>
      </c>
      <c r="C241" s="81">
        <f>'Sessional + End Term Assessment'!C242</f>
        <v/>
      </c>
      <c r="D241" s="44" t="n"/>
      <c r="E241" s="44" t="n"/>
      <c r="F241" s="80" t="n">
        <v>14</v>
      </c>
      <c r="G241" s="49">
        <f>IF(F241&gt;=($F$6*0.5),1,0)</f>
        <v/>
      </c>
      <c r="H241" s="49">
        <f>IF(F241&gt;=($F$6*0.6),1,0)</f>
        <v/>
      </c>
      <c r="I241" s="49">
        <f>IF(F241&gt;=($F$6*0.7),1,0)</f>
        <v/>
      </c>
      <c r="J241" s="80" t="n">
        <v>27</v>
      </c>
      <c r="K241" s="49">
        <f>IF(J241&gt;=($J$6*0.7),1,0)</f>
        <v/>
      </c>
      <c r="L241" s="49">
        <f>IF(J241&gt;=($J$6*0.8),1,0)</f>
        <v/>
      </c>
      <c r="M241" s="49">
        <f>IF(J241&gt;=($J$6*0.9),1,0)</f>
        <v/>
      </c>
      <c r="N241" s="80" t="n">
        <v>24</v>
      </c>
      <c r="O241" s="49">
        <f>IF(N241&gt;=($N$6*0.7),1,0)</f>
        <v/>
      </c>
      <c r="P241" s="49">
        <f>IF(N241&gt;=($N$6*0.8),1,0)</f>
        <v/>
      </c>
      <c r="Q241" s="49">
        <f>IF(N241&gt;=($N$6*0.9),1,0)</f>
        <v/>
      </c>
      <c r="R241" s="44" t="n">
        <v>65</v>
      </c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3">
      <c r="A242" s="47">
        <f>'Sessional + End Term Assessment'!A243</f>
        <v/>
      </c>
      <c r="B242" s="81">
        <f>'Sessional + End Term Assessment'!B243</f>
        <v/>
      </c>
      <c r="C242" s="81">
        <f>'Sessional + End Term Assessment'!C243</f>
        <v/>
      </c>
      <c r="D242" s="44" t="n"/>
      <c r="E242" s="44" t="n"/>
      <c r="F242" s="80" t="n">
        <v>13</v>
      </c>
      <c r="G242" s="49">
        <f>IF(F242&gt;=($F$6*0.5),1,0)</f>
        <v/>
      </c>
      <c r="H242" s="49">
        <f>IF(F242&gt;=($F$6*0.6),1,0)</f>
        <v/>
      </c>
      <c r="I242" s="49">
        <f>IF(F242&gt;=($F$6*0.7),1,0)</f>
        <v/>
      </c>
      <c r="J242" s="80" t="n">
        <v>23</v>
      </c>
      <c r="K242" s="49">
        <f>IF(J242&gt;=($J$6*0.7),1,0)</f>
        <v/>
      </c>
      <c r="L242" s="49">
        <f>IF(J242&gt;=($J$6*0.8),1,0)</f>
        <v/>
      </c>
      <c r="M242" s="49">
        <f>IF(J242&gt;=($J$6*0.9),1,0)</f>
        <v/>
      </c>
      <c r="N242" s="80" t="n">
        <v>23</v>
      </c>
      <c r="O242" s="49">
        <f>IF(N242&gt;=($N$6*0.7),1,0)</f>
        <v/>
      </c>
      <c r="P242" s="49">
        <f>IF(N242&gt;=($N$6*0.8),1,0)</f>
        <v/>
      </c>
      <c r="Q242" s="49">
        <f>IF(N242&gt;=($N$6*0.9),1,0)</f>
        <v/>
      </c>
      <c r="R242" s="44" t="n">
        <v>59</v>
      </c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3">
      <c r="A243" s="47">
        <f>'Sessional + End Term Assessment'!A244</f>
        <v/>
      </c>
      <c r="B243" s="81">
        <f>'Sessional + End Term Assessment'!B244</f>
        <v/>
      </c>
      <c r="C243" s="81">
        <f>'Sessional + End Term Assessment'!C244</f>
        <v/>
      </c>
      <c r="D243" s="44" t="n"/>
      <c r="E243" s="44" t="n"/>
      <c r="F243" s="80" t="n">
        <v>14</v>
      </c>
      <c r="G243" s="49">
        <f>IF(F243&gt;=($F$6*0.5),1,0)</f>
        <v/>
      </c>
      <c r="H243" s="49">
        <f>IF(F243&gt;=($F$6*0.6),1,0)</f>
        <v/>
      </c>
      <c r="I243" s="49">
        <f>IF(F243&gt;=($F$6*0.7),1,0)</f>
        <v/>
      </c>
      <c r="J243" s="80" t="n">
        <v>28</v>
      </c>
      <c r="K243" s="49">
        <f>IF(J243&gt;=($J$6*0.7),1,0)</f>
        <v/>
      </c>
      <c r="L243" s="49">
        <f>IF(J243&gt;=($J$6*0.8),1,0)</f>
        <v/>
      </c>
      <c r="M243" s="49">
        <f>IF(J243&gt;=($J$6*0.9),1,0)</f>
        <v/>
      </c>
      <c r="N243" s="80" t="n">
        <v>28</v>
      </c>
      <c r="O243" s="49">
        <f>IF(N243&gt;=($N$6*0.7),1,0)</f>
        <v/>
      </c>
      <c r="P243" s="49">
        <f>IF(N243&gt;=($N$6*0.8),1,0)</f>
        <v/>
      </c>
      <c r="Q243" s="49">
        <f>IF(N243&gt;=($N$6*0.9),1,0)</f>
        <v/>
      </c>
      <c r="R243" s="44" t="n">
        <v>70</v>
      </c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3">
      <c r="A244" s="47">
        <f>'Sessional + End Term Assessment'!A245</f>
        <v/>
      </c>
      <c r="B244" s="81">
        <f>'Sessional + End Term Assessment'!B245</f>
        <v/>
      </c>
      <c r="C244" s="81">
        <f>'Sessional + End Term Assessment'!C245</f>
        <v/>
      </c>
      <c r="D244" s="44" t="n"/>
      <c r="E244" s="44" t="n"/>
      <c r="F244" s="80" t="n">
        <v>14</v>
      </c>
      <c r="G244" s="49">
        <f>IF(F244&gt;=($F$6*0.5),1,0)</f>
        <v/>
      </c>
      <c r="H244" s="49">
        <f>IF(F244&gt;=($F$6*0.6),1,0)</f>
        <v/>
      </c>
      <c r="I244" s="49">
        <f>IF(F244&gt;=($F$6*0.7),1,0)</f>
        <v/>
      </c>
      <c r="J244" s="80" t="n">
        <v>26</v>
      </c>
      <c r="K244" s="49">
        <f>IF(J244&gt;=($J$6*0.7),1,0)</f>
        <v/>
      </c>
      <c r="L244" s="49">
        <f>IF(J244&gt;=($J$6*0.8),1,0)</f>
        <v/>
      </c>
      <c r="M244" s="49">
        <f>IF(J244&gt;=($J$6*0.9),1,0)</f>
        <v/>
      </c>
      <c r="N244" s="80" t="n">
        <v>25</v>
      </c>
      <c r="O244" s="49">
        <f>IF(N244&gt;=($N$6*0.7),1,0)</f>
        <v/>
      </c>
      <c r="P244" s="49">
        <f>IF(N244&gt;=($N$6*0.8),1,0)</f>
        <v/>
      </c>
      <c r="Q244" s="49">
        <f>IF(N244&gt;=($N$6*0.9),1,0)</f>
        <v/>
      </c>
      <c r="R244" s="44" t="n">
        <v>65</v>
      </c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3">
      <c r="A245" s="47">
        <f>'Sessional + End Term Assessment'!A246</f>
        <v/>
      </c>
      <c r="B245" s="81">
        <f>'Sessional + End Term Assessment'!B246</f>
        <v/>
      </c>
      <c r="C245" s="81">
        <f>'Sessional + End Term Assessment'!C246</f>
        <v/>
      </c>
      <c r="D245" s="44" t="n"/>
      <c r="E245" s="44" t="n"/>
      <c r="F245" s="80" t="n">
        <v>11</v>
      </c>
      <c r="G245" s="49">
        <f>IF(F245&gt;=($F$6*0.5),1,0)</f>
        <v/>
      </c>
      <c r="H245" s="49">
        <f>IF(F245&gt;=($F$6*0.6),1,0)</f>
        <v/>
      </c>
      <c r="I245" s="49">
        <f>IF(F245&gt;=($F$6*0.7),1,0)</f>
        <v/>
      </c>
      <c r="J245" s="80" t="n">
        <v>23</v>
      </c>
      <c r="K245" s="49">
        <f>IF(J245&gt;=($J$6*0.7),1,0)</f>
        <v/>
      </c>
      <c r="L245" s="49">
        <f>IF(J245&gt;=($J$6*0.8),1,0)</f>
        <v/>
      </c>
      <c r="M245" s="49">
        <f>IF(J245&gt;=($J$6*0.9),1,0)</f>
        <v/>
      </c>
      <c r="N245" s="80" t="n">
        <v>20</v>
      </c>
      <c r="O245" s="49">
        <f>IF(N245&gt;=($N$6*0.7),1,0)</f>
        <v/>
      </c>
      <c r="P245" s="49">
        <f>IF(N245&gt;=($N$6*0.8),1,0)</f>
        <v/>
      </c>
      <c r="Q245" s="49">
        <f>IF(N245&gt;=($N$6*0.9),1,0)</f>
        <v/>
      </c>
      <c r="R245" s="44" t="n">
        <v>54</v>
      </c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3">
      <c r="A246" s="47">
        <f>'Sessional + End Term Assessment'!A247</f>
        <v/>
      </c>
      <c r="B246" s="81">
        <f>'Sessional + End Term Assessment'!B247</f>
        <v/>
      </c>
      <c r="C246" s="81">
        <f>'Sessional + End Term Assessment'!C247</f>
        <v/>
      </c>
      <c r="D246" s="44" t="n"/>
      <c r="E246" s="44" t="n"/>
      <c r="F246" s="80" t="n">
        <v>13</v>
      </c>
      <c r="G246" s="49">
        <f>IF(F246&gt;=($F$6*0.5),1,0)</f>
        <v/>
      </c>
      <c r="H246" s="49">
        <f>IF(F246&gt;=($F$6*0.6),1,0)</f>
        <v/>
      </c>
      <c r="I246" s="49">
        <f>IF(F246&gt;=($F$6*0.7),1,0)</f>
        <v/>
      </c>
      <c r="J246" s="80" t="n">
        <v>24</v>
      </c>
      <c r="K246" s="49">
        <f>IF(J246&gt;=($J$6*0.7),1,0)</f>
        <v/>
      </c>
      <c r="L246" s="49">
        <f>IF(J246&gt;=($J$6*0.8),1,0)</f>
        <v/>
      </c>
      <c r="M246" s="49">
        <f>IF(J246&gt;=($J$6*0.9),1,0)</f>
        <v/>
      </c>
      <c r="N246" s="80" t="n">
        <v>21</v>
      </c>
      <c r="O246" s="49">
        <f>IF(N246&gt;=($N$6*0.7),1,0)</f>
        <v/>
      </c>
      <c r="P246" s="49">
        <f>IF(N246&gt;=($N$6*0.8),1,0)</f>
        <v/>
      </c>
      <c r="Q246" s="49">
        <f>IF(N246&gt;=($N$6*0.9),1,0)</f>
        <v/>
      </c>
      <c r="R246" s="44" t="n">
        <v>58</v>
      </c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3">
      <c r="A247" s="47">
        <f>'Sessional + End Term Assessment'!A248</f>
        <v/>
      </c>
      <c r="B247" s="81">
        <f>'Sessional + End Term Assessment'!B248</f>
        <v/>
      </c>
      <c r="C247" s="81">
        <f>'Sessional + End Term Assessment'!C248</f>
        <v/>
      </c>
      <c r="D247" s="44" t="n"/>
      <c r="E247" s="44" t="n"/>
      <c r="F247" s="80" t="n">
        <v>11</v>
      </c>
      <c r="G247" s="49">
        <f>IF(F247&gt;=($F$6*0.5),1,0)</f>
        <v/>
      </c>
      <c r="H247" s="49">
        <f>IF(F247&gt;=($F$6*0.6),1,0)</f>
        <v/>
      </c>
      <c r="I247" s="49">
        <f>IF(F247&gt;=($F$6*0.7),1,0)</f>
        <v/>
      </c>
      <c r="J247" s="80" t="n">
        <v>20</v>
      </c>
      <c r="K247" s="49">
        <f>IF(J247&gt;=($J$6*0.7),1,0)</f>
        <v/>
      </c>
      <c r="L247" s="49">
        <f>IF(J247&gt;=($J$6*0.8),1,0)</f>
        <v/>
      </c>
      <c r="M247" s="49">
        <f>IF(J247&gt;=($J$6*0.9),1,0)</f>
        <v/>
      </c>
      <c r="N247" s="80" t="n">
        <v>20</v>
      </c>
      <c r="O247" s="49">
        <f>IF(N247&gt;=($N$6*0.7),1,0)</f>
        <v/>
      </c>
      <c r="P247" s="49">
        <f>IF(N247&gt;=($N$6*0.8),1,0)</f>
        <v/>
      </c>
      <c r="Q247" s="49">
        <f>IF(N247&gt;=($N$6*0.9),1,0)</f>
        <v/>
      </c>
      <c r="R247" s="44" t="n">
        <v>51</v>
      </c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3">
      <c r="A248" s="47">
        <f>'Sessional + End Term Assessment'!A249</f>
        <v/>
      </c>
      <c r="B248" s="81">
        <f>'Sessional + End Term Assessment'!B249</f>
        <v/>
      </c>
      <c r="C248" s="81">
        <f>'Sessional + End Term Assessment'!C249</f>
        <v/>
      </c>
      <c r="D248" s="44" t="n"/>
      <c r="E248" s="44" t="n"/>
      <c r="F248" s="80" t="n">
        <v>13</v>
      </c>
      <c r="G248" s="49">
        <f>IF(F248&gt;=($F$6*0.5),1,0)</f>
        <v/>
      </c>
      <c r="H248" s="49">
        <f>IF(F248&gt;=($F$6*0.6),1,0)</f>
        <v/>
      </c>
      <c r="I248" s="49">
        <f>IF(F248&gt;=($F$6*0.7),1,0)</f>
        <v/>
      </c>
      <c r="J248" s="80" t="n">
        <v>22</v>
      </c>
      <c r="K248" s="49">
        <f>IF(J248&gt;=($J$6*0.7),1,0)</f>
        <v/>
      </c>
      <c r="L248" s="49">
        <f>IF(J248&gt;=($J$6*0.8),1,0)</f>
        <v/>
      </c>
      <c r="M248" s="49">
        <f>IF(J248&gt;=($J$6*0.9),1,0)</f>
        <v/>
      </c>
      <c r="N248" s="80" t="n">
        <v>24</v>
      </c>
      <c r="O248" s="49">
        <f>IF(N248&gt;=($N$6*0.7),1,0)</f>
        <v/>
      </c>
      <c r="P248" s="49">
        <f>IF(N248&gt;=($N$6*0.8),1,0)</f>
        <v/>
      </c>
      <c r="Q248" s="49">
        <f>IF(N248&gt;=($N$6*0.9),1,0)</f>
        <v/>
      </c>
      <c r="R248" s="44" t="n">
        <v>59</v>
      </c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3">
      <c r="A249" s="47">
        <f>'Sessional + End Term Assessment'!A250</f>
        <v/>
      </c>
      <c r="B249" s="81">
        <f>'Sessional + End Term Assessment'!B250</f>
        <v/>
      </c>
      <c r="C249" s="81">
        <f>'Sessional + End Term Assessment'!C250</f>
        <v/>
      </c>
      <c r="D249" s="44" t="n"/>
      <c r="E249" s="44" t="n"/>
      <c r="F249" s="80" t="n">
        <v>13</v>
      </c>
      <c r="G249" s="49">
        <f>IF(F249&gt;=($F$6*0.5),1,0)</f>
        <v/>
      </c>
      <c r="H249" s="49">
        <f>IF(F249&gt;=($F$6*0.6),1,0)</f>
        <v/>
      </c>
      <c r="I249" s="49">
        <f>IF(F249&gt;=($F$6*0.7),1,0)</f>
        <v/>
      </c>
      <c r="J249" s="80" t="n">
        <v>23</v>
      </c>
      <c r="K249" s="49">
        <f>IF(J249&gt;=($J$6*0.7),1,0)</f>
        <v/>
      </c>
      <c r="L249" s="49">
        <f>IF(J249&gt;=($J$6*0.8),1,0)</f>
        <v/>
      </c>
      <c r="M249" s="49">
        <f>IF(J249&gt;=($J$6*0.9),1,0)</f>
        <v/>
      </c>
      <c r="N249" s="80" t="n">
        <v>21</v>
      </c>
      <c r="O249" s="49">
        <f>IF(N249&gt;=($N$6*0.7),1,0)</f>
        <v/>
      </c>
      <c r="P249" s="49">
        <f>IF(N249&gt;=($N$6*0.8),1,0)</f>
        <v/>
      </c>
      <c r="Q249" s="49">
        <f>IF(N249&gt;=($N$6*0.9),1,0)</f>
        <v/>
      </c>
      <c r="R249" s="44" t="n">
        <v>57</v>
      </c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3">
      <c r="A250" s="47">
        <f>'Sessional + End Term Assessment'!A251</f>
        <v/>
      </c>
      <c r="B250" s="81">
        <f>'Sessional + End Term Assessment'!B251</f>
        <v/>
      </c>
      <c r="C250" s="81">
        <f>'Sessional + End Term Assessment'!C251</f>
        <v/>
      </c>
      <c r="D250" s="44" t="n"/>
      <c r="E250" s="44" t="n"/>
      <c r="F250" s="80" t="n">
        <v>13</v>
      </c>
      <c r="G250" s="49">
        <f>IF(F250&gt;=($F$6*0.5),1,0)</f>
        <v/>
      </c>
      <c r="H250" s="49">
        <f>IF(F250&gt;=($F$6*0.6),1,0)</f>
        <v/>
      </c>
      <c r="I250" s="49">
        <f>IF(F250&gt;=($F$6*0.7),1,0)</f>
        <v/>
      </c>
      <c r="J250" s="80" t="n">
        <v>25</v>
      </c>
      <c r="K250" s="49">
        <f>IF(J250&gt;=($J$6*0.7),1,0)</f>
        <v/>
      </c>
      <c r="L250" s="49">
        <f>IF(J250&gt;=($J$6*0.8),1,0)</f>
        <v/>
      </c>
      <c r="M250" s="49">
        <f>IF(J250&gt;=($J$6*0.9),1,0)</f>
        <v/>
      </c>
      <c r="N250" s="80" t="n">
        <v>25</v>
      </c>
      <c r="O250" s="49">
        <f>IF(N250&gt;=($N$6*0.7),1,0)</f>
        <v/>
      </c>
      <c r="P250" s="49">
        <f>IF(N250&gt;=($N$6*0.8),1,0)</f>
        <v/>
      </c>
      <c r="Q250" s="49">
        <f>IF(N250&gt;=($N$6*0.9),1,0)</f>
        <v/>
      </c>
      <c r="R250" s="44" t="n">
        <v>63</v>
      </c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3">
      <c r="A251" s="47">
        <f>'Sessional + End Term Assessment'!A252</f>
        <v/>
      </c>
      <c r="B251" s="81">
        <f>'Sessional + End Term Assessment'!B252</f>
        <v/>
      </c>
      <c r="C251" s="81">
        <f>'Sessional + End Term Assessment'!C252</f>
        <v/>
      </c>
      <c r="D251" s="44" t="n"/>
      <c r="E251" s="44" t="n"/>
      <c r="F251" s="80" t="n">
        <v>11</v>
      </c>
      <c r="G251" s="49">
        <f>IF(F251&gt;=($F$6*0.5),1,0)</f>
        <v/>
      </c>
      <c r="H251" s="49">
        <f>IF(F251&gt;=($F$6*0.6),1,0)</f>
        <v/>
      </c>
      <c r="I251" s="49">
        <f>IF(F251&gt;=($F$6*0.7),1,0)</f>
        <v/>
      </c>
      <c r="J251" s="80" t="n">
        <v>23</v>
      </c>
      <c r="K251" s="49">
        <f>IF(J251&gt;=($J$6*0.7),1,0)</f>
        <v/>
      </c>
      <c r="L251" s="49">
        <f>IF(J251&gt;=($J$6*0.8),1,0)</f>
        <v/>
      </c>
      <c r="M251" s="49">
        <f>IF(J251&gt;=($J$6*0.9),1,0)</f>
        <v/>
      </c>
      <c r="N251" s="80" t="n">
        <v>20</v>
      </c>
      <c r="O251" s="49">
        <f>IF(N251&gt;=($N$6*0.7),1,0)</f>
        <v/>
      </c>
      <c r="P251" s="49">
        <f>IF(N251&gt;=($N$6*0.8),1,0)</f>
        <v/>
      </c>
      <c r="Q251" s="49">
        <f>IF(N251&gt;=($N$6*0.9),1,0)</f>
        <v/>
      </c>
      <c r="R251" s="44" t="n">
        <v>54</v>
      </c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3">
      <c r="A252" s="47">
        <f>'Sessional + End Term Assessment'!A253</f>
        <v/>
      </c>
      <c r="B252" s="81">
        <f>'Sessional + End Term Assessment'!B253</f>
        <v/>
      </c>
      <c r="C252" s="81">
        <f>'Sessional + End Term Assessment'!C253</f>
        <v/>
      </c>
      <c r="D252" s="44" t="n"/>
      <c r="E252" s="44" t="n"/>
      <c r="F252" s="80" t="n">
        <v>13</v>
      </c>
      <c r="G252" s="49">
        <f>IF(F252&gt;=($F$6*0.5),1,0)</f>
        <v/>
      </c>
      <c r="H252" s="49">
        <f>IF(F252&gt;=($F$6*0.6),1,0)</f>
        <v/>
      </c>
      <c r="I252" s="49">
        <f>IF(F252&gt;=($F$6*0.7),1,0)</f>
        <v/>
      </c>
      <c r="J252" s="80" t="n">
        <v>21</v>
      </c>
      <c r="K252" s="49">
        <f>IF(J252&gt;=($J$6*0.7),1,0)</f>
        <v/>
      </c>
      <c r="L252" s="49">
        <f>IF(J252&gt;=($J$6*0.8),1,0)</f>
        <v/>
      </c>
      <c r="M252" s="49">
        <f>IF(J252&gt;=($J$6*0.9),1,0)</f>
        <v/>
      </c>
      <c r="N252" s="80" t="n">
        <v>22</v>
      </c>
      <c r="O252" s="49">
        <f>IF(N252&gt;=($N$6*0.7),1,0)</f>
        <v/>
      </c>
      <c r="P252" s="49">
        <f>IF(N252&gt;=($N$6*0.8),1,0)</f>
        <v/>
      </c>
      <c r="Q252" s="49">
        <f>IF(N252&gt;=($N$6*0.9),1,0)</f>
        <v/>
      </c>
      <c r="R252" s="44" t="n">
        <v>56</v>
      </c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3">
      <c r="A253" s="47">
        <f>'Sessional + End Term Assessment'!A254</f>
        <v/>
      </c>
      <c r="B253" s="81">
        <f>'Sessional + End Term Assessment'!B254</f>
        <v/>
      </c>
      <c r="C253" s="81">
        <f>'Sessional + End Term Assessment'!C254</f>
        <v/>
      </c>
      <c r="D253" s="44" t="n"/>
      <c r="E253" s="44" t="n"/>
      <c r="F253" s="80" t="n">
        <v>14</v>
      </c>
      <c r="G253" s="49">
        <f>IF(F253&gt;=($F$6*0.5),1,0)</f>
        <v/>
      </c>
      <c r="H253" s="49">
        <f>IF(F253&gt;=($F$6*0.6),1,0)</f>
        <v/>
      </c>
      <c r="I253" s="49">
        <f>IF(F253&gt;=($F$6*0.7),1,0)</f>
        <v/>
      </c>
      <c r="J253" s="80" t="n">
        <v>28</v>
      </c>
      <c r="K253" s="49">
        <f>IF(J253&gt;=($J$6*0.7),1,0)</f>
        <v/>
      </c>
      <c r="L253" s="49">
        <f>IF(J253&gt;=($J$6*0.8),1,0)</f>
        <v/>
      </c>
      <c r="M253" s="49">
        <f>IF(J253&gt;=($J$6*0.9),1,0)</f>
        <v/>
      </c>
      <c r="N253" s="80" t="n">
        <v>28</v>
      </c>
      <c r="O253" s="49">
        <f>IF(N253&gt;=($N$6*0.7),1,0)</f>
        <v/>
      </c>
      <c r="P253" s="49">
        <f>IF(N253&gt;=($N$6*0.8),1,0)</f>
        <v/>
      </c>
      <c r="Q253" s="49">
        <f>IF(N253&gt;=($N$6*0.9),1,0)</f>
        <v/>
      </c>
      <c r="R253" s="44" t="n">
        <v>70</v>
      </c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3">
      <c r="A254" s="47">
        <f>'Sessional + End Term Assessment'!A255</f>
        <v/>
      </c>
      <c r="B254" s="81">
        <f>'Sessional + End Term Assessment'!B255</f>
        <v/>
      </c>
      <c r="C254" s="81">
        <f>'Sessional + End Term Assessment'!C255</f>
        <v/>
      </c>
      <c r="D254" s="44" t="n"/>
      <c r="E254" s="44" t="n"/>
      <c r="F254" s="80" t="n">
        <v>14</v>
      </c>
      <c r="G254" s="49">
        <f>IF(F254&gt;=($F$6*0.5),1,0)</f>
        <v/>
      </c>
      <c r="H254" s="49">
        <f>IF(F254&gt;=($F$6*0.6),1,0)</f>
        <v/>
      </c>
      <c r="I254" s="49">
        <f>IF(F254&gt;=($F$6*0.7),1,0)</f>
        <v/>
      </c>
      <c r="J254" s="80" t="n">
        <v>28</v>
      </c>
      <c r="K254" s="49">
        <f>IF(J254&gt;=($J$6*0.7),1,0)</f>
        <v/>
      </c>
      <c r="L254" s="49">
        <f>IF(J254&gt;=($J$6*0.8),1,0)</f>
        <v/>
      </c>
      <c r="M254" s="49">
        <f>IF(J254&gt;=($J$6*0.9),1,0)</f>
        <v/>
      </c>
      <c r="N254" s="80" t="n">
        <v>28</v>
      </c>
      <c r="O254" s="49">
        <f>IF(N254&gt;=($N$6*0.7),1,0)</f>
        <v/>
      </c>
      <c r="P254" s="49">
        <f>IF(N254&gt;=($N$6*0.8),1,0)</f>
        <v/>
      </c>
      <c r="Q254" s="49">
        <f>IF(N254&gt;=($N$6*0.9),1,0)</f>
        <v/>
      </c>
      <c r="R254" s="44" t="n">
        <v>70</v>
      </c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3">
      <c r="A255" s="47">
        <f>'Sessional + End Term Assessment'!A256</f>
        <v/>
      </c>
      <c r="B255" s="81">
        <f>'Sessional + End Term Assessment'!B256</f>
        <v/>
      </c>
      <c r="C255" s="81">
        <f>'Sessional + End Term Assessment'!C256</f>
        <v/>
      </c>
      <c r="D255" s="44" t="n"/>
      <c r="E255" s="44" t="n"/>
      <c r="F255" s="80" t="n">
        <v>13</v>
      </c>
      <c r="G255" s="49">
        <f>IF(F255&gt;=($F$6*0.5),1,0)</f>
        <v/>
      </c>
      <c r="H255" s="49">
        <f>IF(F255&gt;=($F$6*0.6),1,0)</f>
        <v/>
      </c>
      <c r="I255" s="49">
        <f>IF(F255&gt;=($F$6*0.7),1,0)</f>
        <v/>
      </c>
      <c r="J255" s="80" t="n">
        <v>25</v>
      </c>
      <c r="K255" s="49">
        <f>IF(J255&gt;=($J$6*0.7),1,0)</f>
        <v/>
      </c>
      <c r="L255" s="49">
        <f>IF(J255&gt;=($J$6*0.8),1,0)</f>
        <v/>
      </c>
      <c r="M255" s="49">
        <f>IF(J255&gt;=($J$6*0.9),1,0)</f>
        <v/>
      </c>
      <c r="N255" s="80" t="n">
        <v>22</v>
      </c>
      <c r="O255" s="49">
        <f>IF(N255&gt;=($N$6*0.7),1,0)</f>
        <v/>
      </c>
      <c r="P255" s="49">
        <f>IF(N255&gt;=($N$6*0.8),1,0)</f>
        <v/>
      </c>
      <c r="Q255" s="49">
        <f>IF(N255&gt;=($N$6*0.9),1,0)</f>
        <v/>
      </c>
      <c r="R255" s="44" t="n">
        <v>60</v>
      </c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</sheetData>
  <mergeCells count="17">
    <mergeCell ref="A3:R3"/>
    <mergeCell ref="O5:O6"/>
    <mergeCell ref="P5:P6"/>
    <mergeCell ref="Q5:Q6"/>
    <mergeCell ref="A4:A6"/>
    <mergeCell ref="R4:R5"/>
    <mergeCell ref="G5:G6"/>
    <mergeCell ref="B4:B6"/>
    <mergeCell ref="H5:H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55 K7:M255 O7:Q255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7"/>
  <sheetViews>
    <sheetView topLeftCell="A232" workbookViewId="0">
      <selection activeCell="E256" sqref="E256"/>
    </sheetView>
  </sheetViews>
  <sheetFormatPr baseColWidth="8" defaultColWidth="12.59765625" defaultRowHeight="15" customHeight="1"/>
  <cols>
    <col width="8.69921875" customWidth="1" style="93" min="1" max="1"/>
    <col width="14" customWidth="1" style="93" min="2" max="2"/>
    <col width="26.19921875" customWidth="1" style="93" min="3" max="3"/>
    <col width="10.8984375" customWidth="1" style="93" min="4" max="4"/>
    <col width="11.5" customWidth="1" style="93" min="5" max="5"/>
    <col width="8.69921875" customWidth="1" style="93" min="6" max="25"/>
    <col width="12.69921875" customWidth="1" style="93" min="26" max="26"/>
  </cols>
  <sheetData>
    <row r="1" ht="13.5" customHeight="1" s="93">
      <c r="A1" s="124" t="inlineStr">
        <is>
          <t>Marks and Gap Analysis of Mid-Term 2</t>
        </is>
      </c>
      <c r="B1" s="136" t="n"/>
      <c r="C1" s="136" t="n"/>
      <c r="D1" s="136" t="n"/>
      <c r="E1" s="136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3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3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3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3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3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3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3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3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3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3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3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3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3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3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3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3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3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3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3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3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3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3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3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3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3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3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3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3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3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3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3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3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3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3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3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3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3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3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3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3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3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3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3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3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3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3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3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3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3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3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3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3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3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3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3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3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3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3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3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3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3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3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3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3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3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3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3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3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3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3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3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3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3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3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3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3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3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3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3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3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3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3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3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3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3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3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3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3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3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3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3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3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3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3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3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3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3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3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3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3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3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3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3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3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3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3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3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3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3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3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3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3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3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3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3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3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3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3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3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3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3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3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3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3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3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3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3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3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3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3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3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3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3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3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3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3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3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3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3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3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3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3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3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3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3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3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3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3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3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3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3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3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3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3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3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3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3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3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3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3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3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3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3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3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3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3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3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3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3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3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3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3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3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3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3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3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3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3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3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3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3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3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3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3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3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3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3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3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3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3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3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3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3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3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3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3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3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3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3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3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3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3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3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3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3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3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3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3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3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3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3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3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3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3" thickBot="1">
      <c r="A215" s="61">
        <f>'Sessional + End Term Assessment'!A220</f>
        <v/>
      </c>
      <c r="B215" s="81">
        <f>'Sessional + End Term Assessment'!B220</f>
        <v/>
      </c>
      <c r="C215" s="81">
        <f>'Sessional + End Term Assessment'!C220</f>
        <v/>
      </c>
      <c r="D215" s="62">
        <f>'MID Term 2'!R219</f>
        <v/>
      </c>
      <c r="E215" s="63">
        <f>IF(D215&lt;=35,"Y","N")</f>
        <v/>
      </c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3" thickBot="1">
      <c r="A216" s="61">
        <f>'Sessional + End Term Assessment'!A221</f>
        <v/>
      </c>
      <c r="B216" s="81">
        <f>'Sessional + End Term Assessment'!B221</f>
        <v/>
      </c>
      <c r="C216" s="81">
        <f>'Sessional + End Term Assessment'!C221</f>
        <v/>
      </c>
      <c r="D216" s="62">
        <f>'MID Term 2'!R220</f>
        <v/>
      </c>
      <c r="E216" s="63">
        <f>IF(D216&lt;=35,"Y","N")</f>
        <v/>
      </c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3" thickBot="1">
      <c r="A217" s="61">
        <f>'Sessional + End Term Assessment'!A222</f>
        <v/>
      </c>
      <c r="B217" s="81">
        <f>'Sessional + End Term Assessment'!B222</f>
        <v/>
      </c>
      <c r="C217" s="81">
        <f>'Sessional + End Term Assessment'!C222</f>
        <v/>
      </c>
      <c r="D217" s="62">
        <f>'MID Term 2'!R221</f>
        <v/>
      </c>
      <c r="E217" s="63">
        <f>IF(D217&lt;=35,"Y","N")</f>
        <v/>
      </c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3" thickBot="1">
      <c r="A218" s="61">
        <f>'Sessional + End Term Assessment'!A223</f>
        <v/>
      </c>
      <c r="B218" s="81">
        <f>'Sessional + End Term Assessment'!B223</f>
        <v/>
      </c>
      <c r="C218" s="81">
        <f>'Sessional + End Term Assessment'!C223</f>
        <v/>
      </c>
      <c r="D218" s="62">
        <f>'MID Term 2'!R222</f>
        <v/>
      </c>
      <c r="E218" s="63">
        <f>IF(D218&lt;=35,"Y","N")</f>
        <v/>
      </c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3" thickBot="1">
      <c r="A219" s="61">
        <f>'Sessional + End Term Assessment'!A224</f>
        <v/>
      </c>
      <c r="B219" s="81">
        <f>'Sessional + End Term Assessment'!B224</f>
        <v/>
      </c>
      <c r="C219" s="81">
        <f>'Sessional + End Term Assessment'!C224</f>
        <v/>
      </c>
      <c r="D219" s="62">
        <f>'MID Term 2'!R223</f>
        <v/>
      </c>
      <c r="E219" s="63">
        <f>IF(D219&lt;=35,"Y","N")</f>
        <v/>
      </c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3" thickBot="1">
      <c r="A220" s="61">
        <f>'Sessional + End Term Assessment'!A225</f>
        <v/>
      </c>
      <c r="B220" s="81">
        <f>'Sessional + End Term Assessment'!B225</f>
        <v/>
      </c>
      <c r="C220" s="81">
        <f>'Sessional + End Term Assessment'!C225</f>
        <v/>
      </c>
      <c r="D220" s="62">
        <f>'MID Term 2'!R224</f>
        <v/>
      </c>
      <c r="E220" s="63">
        <f>IF(D220&lt;=35,"Y","N")</f>
        <v/>
      </c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3" thickBot="1">
      <c r="A221" s="61">
        <f>'Sessional + End Term Assessment'!A226</f>
        <v/>
      </c>
      <c r="B221" s="81">
        <f>'Sessional + End Term Assessment'!B226</f>
        <v/>
      </c>
      <c r="C221" s="81">
        <f>'Sessional + End Term Assessment'!C226</f>
        <v/>
      </c>
      <c r="D221" s="62">
        <f>'MID Term 2'!R225</f>
        <v/>
      </c>
      <c r="E221" s="63">
        <f>IF(D221&lt;=35,"Y","N")</f>
        <v/>
      </c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3" thickBot="1">
      <c r="A222" s="61">
        <f>'Sessional + End Term Assessment'!A227</f>
        <v/>
      </c>
      <c r="B222" s="81">
        <f>'Sessional + End Term Assessment'!B227</f>
        <v/>
      </c>
      <c r="C222" s="81">
        <f>'Sessional + End Term Assessment'!C227</f>
        <v/>
      </c>
      <c r="D222" s="62">
        <f>'MID Term 2'!R226</f>
        <v/>
      </c>
      <c r="E222" s="63">
        <f>IF(D222&lt;=35,"Y","N")</f>
        <v/>
      </c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3" thickBot="1">
      <c r="A223" s="61">
        <f>'Sessional + End Term Assessment'!A228</f>
        <v/>
      </c>
      <c r="B223" s="81">
        <f>'Sessional + End Term Assessment'!B228</f>
        <v/>
      </c>
      <c r="C223" s="81">
        <f>'Sessional + End Term Assessment'!C228</f>
        <v/>
      </c>
      <c r="D223" s="62">
        <f>'MID Term 2'!R227</f>
        <v/>
      </c>
      <c r="E223" s="63">
        <f>IF(D223&lt;=35,"Y","N")</f>
        <v/>
      </c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3" thickBot="1">
      <c r="A224" s="61">
        <f>'Sessional + End Term Assessment'!A229</f>
        <v/>
      </c>
      <c r="B224" s="81">
        <f>'Sessional + End Term Assessment'!B229</f>
        <v/>
      </c>
      <c r="C224" s="81">
        <f>'Sessional + End Term Assessment'!C229</f>
        <v/>
      </c>
      <c r="D224" s="62">
        <f>'MID Term 2'!R228</f>
        <v/>
      </c>
      <c r="E224" s="63">
        <f>IF(D224&lt;=35,"Y","N")</f>
        <v/>
      </c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3" thickBot="1">
      <c r="A225" s="61">
        <f>'Sessional + End Term Assessment'!A230</f>
        <v/>
      </c>
      <c r="B225" s="81">
        <f>'Sessional + End Term Assessment'!B230</f>
        <v/>
      </c>
      <c r="C225" s="81">
        <f>'Sessional + End Term Assessment'!C230</f>
        <v/>
      </c>
      <c r="D225" s="62">
        <f>'MID Term 2'!R229</f>
        <v/>
      </c>
      <c r="E225" s="63">
        <f>IF(D225&lt;=35,"Y","N")</f>
        <v/>
      </c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3" thickBot="1">
      <c r="A226" s="61">
        <f>'Sessional + End Term Assessment'!A231</f>
        <v/>
      </c>
      <c r="B226" s="81">
        <f>'Sessional + End Term Assessment'!B231</f>
        <v/>
      </c>
      <c r="C226" s="81">
        <f>'Sessional + End Term Assessment'!C231</f>
        <v/>
      </c>
      <c r="D226" s="62">
        <f>'MID Term 2'!R230</f>
        <v/>
      </c>
      <c r="E226" s="63">
        <f>IF(D226&lt;=35,"Y","N")</f>
        <v/>
      </c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3" thickBot="1">
      <c r="A227" s="61">
        <f>'Sessional + End Term Assessment'!A232</f>
        <v/>
      </c>
      <c r="B227" s="81">
        <f>'Sessional + End Term Assessment'!B232</f>
        <v/>
      </c>
      <c r="C227" s="81">
        <f>'Sessional + End Term Assessment'!C232</f>
        <v/>
      </c>
      <c r="D227" s="62">
        <f>'MID Term 2'!R231</f>
        <v/>
      </c>
      <c r="E227" s="63">
        <f>IF(D227&lt;=35,"Y","N")</f>
        <v/>
      </c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3" thickBot="1">
      <c r="A228" s="61">
        <f>'Sessional + End Term Assessment'!A233</f>
        <v/>
      </c>
      <c r="B228" s="81">
        <f>'Sessional + End Term Assessment'!B233</f>
        <v/>
      </c>
      <c r="C228" s="81">
        <f>'Sessional + End Term Assessment'!C233</f>
        <v/>
      </c>
      <c r="D228" s="62">
        <f>'MID Term 2'!R232</f>
        <v/>
      </c>
      <c r="E228" s="63">
        <f>IF(D228&lt;=35,"Y","N")</f>
        <v/>
      </c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3" thickBot="1">
      <c r="A229" s="61">
        <f>'Sessional + End Term Assessment'!A234</f>
        <v/>
      </c>
      <c r="B229" s="81">
        <f>'Sessional + End Term Assessment'!B234</f>
        <v/>
      </c>
      <c r="C229" s="81">
        <f>'Sessional + End Term Assessment'!C234</f>
        <v/>
      </c>
      <c r="D229" s="62">
        <f>'MID Term 2'!R233</f>
        <v/>
      </c>
      <c r="E229" s="63">
        <f>IF(D229&lt;=35,"Y","N")</f>
        <v/>
      </c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3" thickBot="1">
      <c r="A230" s="61">
        <f>'Sessional + End Term Assessment'!A235</f>
        <v/>
      </c>
      <c r="B230" s="81">
        <f>'Sessional + End Term Assessment'!B235</f>
        <v/>
      </c>
      <c r="C230" s="81">
        <f>'Sessional + End Term Assessment'!C235</f>
        <v/>
      </c>
      <c r="D230" s="62">
        <f>'MID Term 2'!R234</f>
        <v/>
      </c>
      <c r="E230" s="63">
        <f>IF(D230&lt;=35,"Y","N")</f>
        <v/>
      </c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3" thickBot="1">
      <c r="A231" s="61">
        <f>'Sessional + End Term Assessment'!A236</f>
        <v/>
      </c>
      <c r="B231" s="81">
        <f>'Sessional + End Term Assessment'!B236</f>
        <v/>
      </c>
      <c r="C231" s="81">
        <f>'Sessional + End Term Assessment'!C236</f>
        <v/>
      </c>
      <c r="D231" s="62">
        <f>'MID Term 2'!R235</f>
        <v/>
      </c>
      <c r="E231" s="63">
        <f>IF(D231&lt;=35,"Y","N")</f>
        <v/>
      </c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3" thickBot="1">
      <c r="A232" s="61">
        <f>'Sessional + End Term Assessment'!A237</f>
        <v/>
      </c>
      <c r="B232" s="81">
        <f>'Sessional + End Term Assessment'!B237</f>
        <v/>
      </c>
      <c r="C232" s="81">
        <f>'Sessional + End Term Assessment'!C237</f>
        <v/>
      </c>
      <c r="D232" s="62">
        <f>'MID Term 2'!R236</f>
        <v/>
      </c>
      <c r="E232" s="63">
        <f>IF(D232&lt;=35,"Y","N")</f>
        <v/>
      </c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3" thickBot="1">
      <c r="A233" s="61">
        <f>'Sessional + End Term Assessment'!A238</f>
        <v/>
      </c>
      <c r="B233" s="81">
        <f>'Sessional + End Term Assessment'!B238</f>
        <v/>
      </c>
      <c r="C233" s="81">
        <f>'Sessional + End Term Assessment'!C238</f>
        <v/>
      </c>
      <c r="D233" s="62">
        <f>'MID Term 2'!R237</f>
        <v/>
      </c>
      <c r="E233" s="63">
        <f>IF(D233&lt;=35,"Y","N")</f>
        <v/>
      </c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3" thickBot="1">
      <c r="A234" s="61">
        <f>'Sessional + End Term Assessment'!A239</f>
        <v/>
      </c>
      <c r="B234" s="81">
        <f>'Sessional + End Term Assessment'!B239</f>
        <v/>
      </c>
      <c r="C234" s="81">
        <f>'Sessional + End Term Assessment'!C239</f>
        <v/>
      </c>
      <c r="D234" s="62">
        <f>'MID Term 2'!R238</f>
        <v/>
      </c>
      <c r="E234" s="63">
        <f>IF(D234&lt;=35,"Y","N")</f>
        <v/>
      </c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3" thickBot="1">
      <c r="A235" s="61">
        <f>'Sessional + End Term Assessment'!A240</f>
        <v/>
      </c>
      <c r="B235" s="81">
        <f>'Sessional + End Term Assessment'!B240</f>
        <v/>
      </c>
      <c r="C235" s="81">
        <f>'Sessional + End Term Assessment'!C240</f>
        <v/>
      </c>
      <c r="D235" s="62">
        <f>'MID Term 2'!R239</f>
        <v/>
      </c>
      <c r="E235" s="63">
        <f>IF(D235&lt;=35,"Y","N")</f>
        <v/>
      </c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3" thickBot="1">
      <c r="A236" s="61">
        <f>'Sessional + End Term Assessment'!A241</f>
        <v/>
      </c>
      <c r="B236" s="81">
        <f>'Sessional + End Term Assessment'!B241</f>
        <v/>
      </c>
      <c r="C236" s="81">
        <f>'Sessional + End Term Assessment'!C241</f>
        <v/>
      </c>
      <c r="D236" s="62">
        <f>'MID Term 2'!R240</f>
        <v/>
      </c>
      <c r="E236" s="63">
        <f>IF(D236&lt;=35,"Y","N")</f>
        <v/>
      </c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3" thickBot="1">
      <c r="A237" s="61">
        <f>'Sessional + End Term Assessment'!A242</f>
        <v/>
      </c>
      <c r="B237" s="81">
        <f>'Sessional + End Term Assessment'!B242</f>
        <v/>
      </c>
      <c r="C237" s="81">
        <f>'Sessional + End Term Assessment'!C242</f>
        <v/>
      </c>
      <c r="D237" s="62">
        <f>'MID Term 2'!R241</f>
        <v/>
      </c>
      <c r="E237" s="63">
        <f>IF(D237&lt;=35,"Y","N")</f>
        <v/>
      </c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3" thickBot="1">
      <c r="A238" s="61">
        <f>'Sessional + End Term Assessment'!A243</f>
        <v/>
      </c>
      <c r="B238" s="81">
        <f>'Sessional + End Term Assessment'!B243</f>
        <v/>
      </c>
      <c r="C238" s="81">
        <f>'Sessional + End Term Assessment'!C243</f>
        <v/>
      </c>
      <c r="D238" s="62">
        <f>'MID Term 2'!R242</f>
        <v/>
      </c>
      <c r="E238" s="63">
        <f>IF(D238&lt;=35,"Y","N")</f>
        <v/>
      </c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3" thickBot="1">
      <c r="A239" s="61">
        <f>'Sessional + End Term Assessment'!A244</f>
        <v/>
      </c>
      <c r="B239" s="81">
        <f>'Sessional + End Term Assessment'!B244</f>
        <v/>
      </c>
      <c r="C239" s="81">
        <f>'Sessional + End Term Assessment'!C244</f>
        <v/>
      </c>
      <c r="D239" s="62">
        <f>'MID Term 2'!R243</f>
        <v/>
      </c>
      <c r="E239" s="63">
        <f>IF(D239&lt;=35,"Y","N")</f>
        <v/>
      </c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3" thickBot="1">
      <c r="A240" s="61">
        <f>'Sessional + End Term Assessment'!A245</f>
        <v/>
      </c>
      <c r="B240" s="81">
        <f>'Sessional + End Term Assessment'!B245</f>
        <v/>
      </c>
      <c r="C240" s="81">
        <f>'Sessional + End Term Assessment'!C245</f>
        <v/>
      </c>
      <c r="D240" s="62">
        <f>'MID Term 2'!R244</f>
        <v/>
      </c>
      <c r="E240" s="63">
        <f>IF(D240&lt;=35,"Y","N")</f>
        <v/>
      </c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3" thickBot="1">
      <c r="A241" s="61">
        <f>'Sessional + End Term Assessment'!A246</f>
        <v/>
      </c>
      <c r="B241" s="81">
        <f>'Sessional + End Term Assessment'!B246</f>
        <v/>
      </c>
      <c r="C241" s="81">
        <f>'Sessional + End Term Assessment'!C246</f>
        <v/>
      </c>
      <c r="D241" s="62">
        <f>'MID Term 2'!R245</f>
        <v/>
      </c>
      <c r="E241" s="63">
        <f>IF(D241&lt;=35,"Y","N")</f>
        <v/>
      </c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3" thickBot="1">
      <c r="A242" s="61">
        <f>'Sessional + End Term Assessment'!A247</f>
        <v/>
      </c>
      <c r="B242" s="81">
        <f>'Sessional + End Term Assessment'!B247</f>
        <v/>
      </c>
      <c r="C242" s="81">
        <f>'Sessional + End Term Assessment'!C247</f>
        <v/>
      </c>
      <c r="D242" s="62">
        <f>'MID Term 2'!R246</f>
        <v/>
      </c>
      <c r="E242" s="63">
        <f>IF(D242&lt;=35,"Y","N")</f>
        <v/>
      </c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3" thickBot="1">
      <c r="A243" s="61">
        <f>'Sessional + End Term Assessment'!A248</f>
        <v/>
      </c>
      <c r="B243" s="81">
        <f>'Sessional + End Term Assessment'!B248</f>
        <v/>
      </c>
      <c r="C243" s="81">
        <f>'Sessional + End Term Assessment'!C248</f>
        <v/>
      </c>
      <c r="D243" s="62">
        <f>'MID Term 2'!R247</f>
        <v/>
      </c>
      <c r="E243" s="63">
        <f>IF(D243&lt;=35,"Y","N")</f>
        <v/>
      </c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3" thickBot="1">
      <c r="A244" s="61">
        <f>'Sessional + End Term Assessment'!A249</f>
        <v/>
      </c>
      <c r="B244" s="81">
        <f>'Sessional + End Term Assessment'!B249</f>
        <v/>
      </c>
      <c r="C244" s="81">
        <f>'Sessional + End Term Assessment'!C249</f>
        <v/>
      </c>
      <c r="D244" s="62">
        <f>'MID Term 2'!R248</f>
        <v/>
      </c>
      <c r="E244" s="63">
        <f>IF(D244&lt;=35,"Y","N")</f>
        <v/>
      </c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3" thickBot="1">
      <c r="A245" s="61">
        <f>'Sessional + End Term Assessment'!A250</f>
        <v/>
      </c>
      <c r="B245" s="81">
        <f>'Sessional + End Term Assessment'!B250</f>
        <v/>
      </c>
      <c r="C245" s="81">
        <f>'Sessional + End Term Assessment'!C250</f>
        <v/>
      </c>
      <c r="D245" s="62">
        <f>'MID Term 2'!R249</f>
        <v/>
      </c>
      <c r="E245" s="63">
        <f>IF(D245&lt;=35,"Y","N")</f>
        <v/>
      </c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3" thickBot="1">
      <c r="A246" s="61">
        <f>'Sessional + End Term Assessment'!A251</f>
        <v/>
      </c>
      <c r="B246" s="81">
        <f>'Sessional + End Term Assessment'!B251</f>
        <v/>
      </c>
      <c r="C246" s="81">
        <f>'Sessional + End Term Assessment'!C251</f>
        <v/>
      </c>
      <c r="D246" s="62">
        <f>'MID Term 2'!R250</f>
        <v/>
      </c>
      <c r="E246" s="63">
        <f>IF(D246&lt;=35,"Y","N")</f>
        <v/>
      </c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3" thickBot="1">
      <c r="A247" s="61">
        <f>'Sessional + End Term Assessment'!A252</f>
        <v/>
      </c>
      <c r="B247" s="81">
        <f>'Sessional + End Term Assessment'!B252</f>
        <v/>
      </c>
      <c r="C247" s="81">
        <f>'Sessional + End Term Assessment'!C252</f>
        <v/>
      </c>
      <c r="D247" s="62">
        <f>'MID Term 2'!R251</f>
        <v/>
      </c>
      <c r="E247" s="63">
        <f>IF(D247&lt;=35,"Y","N")</f>
        <v/>
      </c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3" thickBot="1">
      <c r="A248" s="61">
        <f>'Sessional + End Term Assessment'!A253</f>
        <v/>
      </c>
      <c r="B248" s="81">
        <f>'Sessional + End Term Assessment'!B253</f>
        <v/>
      </c>
      <c r="C248" s="81">
        <f>'Sessional + End Term Assessment'!C253</f>
        <v/>
      </c>
      <c r="D248" s="62">
        <f>'MID Term 2'!R252</f>
        <v/>
      </c>
      <c r="E248" s="63">
        <f>IF(D248&lt;=35,"Y","N")</f>
        <v/>
      </c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3" thickBot="1">
      <c r="A249" s="61">
        <f>'Sessional + End Term Assessment'!A254</f>
        <v/>
      </c>
      <c r="B249" s="81">
        <f>'Sessional + End Term Assessment'!B254</f>
        <v/>
      </c>
      <c r="C249" s="81">
        <f>'Sessional + End Term Assessment'!C254</f>
        <v/>
      </c>
      <c r="D249" s="62">
        <f>'MID Term 2'!R253</f>
        <v/>
      </c>
      <c r="E249" s="63">
        <f>IF(D249&lt;=35,"Y","N")</f>
        <v/>
      </c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3" thickBot="1">
      <c r="A250" s="61">
        <f>'Sessional + End Term Assessment'!A255</f>
        <v/>
      </c>
      <c r="B250" s="81">
        <f>'Sessional + End Term Assessment'!B255</f>
        <v/>
      </c>
      <c r="C250" s="81">
        <f>'Sessional + End Term Assessment'!C255</f>
        <v/>
      </c>
      <c r="D250" s="62">
        <f>'MID Term 2'!R254</f>
        <v/>
      </c>
      <c r="E250" s="63">
        <f>IF(D250&lt;=35,"Y","N")</f>
        <v/>
      </c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3" thickBot="1">
      <c r="A251" s="61">
        <f>'Sessional + End Term Assessment'!A256</f>
        <v/>
      </c>
      <c r="B251" s="81">
        <f>'Sessional + End Term Assessment'!B256</f>
        <v/>
      </c>
      <c r="C251" s="81">
        <f>'Sessional + End Term Assessment'!C256</f>
        <v/>
      </c>
      <c r="D251" s="62">
        <f>'MID Term 2'!R255</f>
        <v/>
      </c>
      <c r="E251" s="63">
        <f>IF(D251&lt;=35,"Y","N")</f>
        <v/>
      </c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3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3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3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3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3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3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3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3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3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3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3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3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3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3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3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3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3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3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3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3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3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3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3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3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3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3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3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3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3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3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3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3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3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3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3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3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3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3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3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3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3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3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3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3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3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3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3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3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3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3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3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3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3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3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3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3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3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3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3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3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3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3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3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3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3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3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3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3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3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3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3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3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3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3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3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3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3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3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3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3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3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3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3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3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3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3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3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3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3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3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3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3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3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3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3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3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3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3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3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3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3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3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3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3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3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3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3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3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3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3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3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3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3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3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3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3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3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3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3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3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3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3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3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3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3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</sheetData>
  <autoFilter ref="A2:E121"/>
  <mergeCells count="1">
    <mergeCell ref="A1:E1"/>
  </mergeCells>
  <conditionalFormatting sqref="E3:E251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74"/>
  <sheetViews>
    <sheetView tabSelected="1" topLeftCell="A253" workbookViewId="0">
      <selection activeCell="A260" sqref="A260:O263"/>
    </sheetView>
  </sheetViews>
  <sheetFormatPr baseColWidth="8" defaultColWidth="12.59765625" defaultRowHeight="15" customHeight="1"/>
  <cols>
    <col width="5.69921875" customWidth="1" style="93" min="1" max="1"/>
    <col width="13.5" customWidth="1" style="93" min="2" max="2"/>
    <col width="27.8984375" customWidth="1" style="93" min="3" max="3"/>
    <col width="14.3984375" customWidth="1" style="93" min="4" max="4"/>
    <col width="12.19921875" customWidth="1" style="93" min="5" max="13"/>
    <col width="8" customWidth="1" style="93" min="14" max="15"/>
    <col width="7.69921875" customWidth="1" style="93" min="16" max="25"/>
    <col width="12.69921875" customWidth="1" style="93" min="26" max="26"/>
  </cols>
  <sheetData>
    <row r="1" ht="19.5" customHeight="1" s="93">
      <c r="A1" s="106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</row>
    <row r="2" ht="19.5" customHeight="1" s="93">
      <c r="A2" s="106" t="inlineStr">
        <is>
          <t>Course Outcome Attainment Sheet (Sessional)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</row>
    <row r="3" ht="19.5" customHeight="1" s="93">
      <c r="A3" s="106">
        <f>'CO-PO Mapping'!A3:P3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</row>
    <row r="4" ht="19.5" customHeight="1" s="93">
      <c r="A4" s="106">
        <f>'CO-PO Mapping'!A4:P4</f>
        <v/>
      </c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3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8" t="n"/>
      <c r="K5" s="128" t="n"/>
      <c r="L5" s="128" t="n"/>
      <c r="M5" s="129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3">
      <c r="A6" s="139" t="n"/>
      <c r="B6" s="139" t="n"/>
      <c r="C6" s="15" t="inlineStr">
        <is>
          <t>CO MAPPED</t>
        </is>
      </c>
      <c r="D6" s="130" t="n"/>
      <c r="E6" s="130" t="n"/>
      <c r="F6" s="130" t="n"/>
      <c r="G6" s="130" t="n"/>
      <c r="H6" s="130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9" t="n"/>
      <c r="O6" s="13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3">
      <c r="A7" s="139" t="n"/>
      <c r="B7" s="139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30" t="n"/>
      <c r="J7" s="130" t="n"/>
      <c r="K7" s="130" t="n"/>
      <c r="L7" s="130" t="n"/>
      <c r="M7" s="130" t="n"/>
      <c r="N7" s="130" t="n"/>
      <c r="O7" s="130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3">
      <c r="A8" s="130" t="n"/>
      <c r="B8" s="130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3">
      <c r="A9" s="15" t="inlineStr">
        <is>
          <t>Set Target Level</t>
        </is>
      </c>
      <c r="B9" s="128" t="n"/>
      <c r="C9" s="129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30" t="n"/>
      <c r="J9" s="130" t="n"/>
      <c r="K9" s="130" t="n"/>
      <c r="L9" s="130" t="n"/>
      <c r="M9" s="130" t="n"/>
      <c r="N9" s="130" t="n"/>
      <c r="O9" s="130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3">
      <c r="A10" s="47" t="n">
        <v>1</v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3">
      <c r="A11" s="47" t="n">
        <v>2</v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3">
      <c r="A12" s="47" t="n">
        <v>3</v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3">
      <c r="A13" s="47" t="n">
        <v>4</v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3">
      <c r="A14" s="47" t="n">
        <v>5</v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3">
      <c r="A15" s="47" t="n">
        <v>6</v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3">
      <c r="A16" s="47" t="n">
        <v>7</v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3">
      <c r="A17" s="47" t="n">
        <v>8</v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3">
      <c r="A18" s="47" t="n">
        <v>9</v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3">
      <c r="A19" s="47" t="n">
        <v>10</v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3">
      <c r="A20" s="47" t="n">
        <v>11</v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3">
      <c r="A21" s="47" t="n">
        <v>12</v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3">
      <c r="A22" s="47" t="n">
        <v>13</v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3">
      <c r="A23" s="47" t="n">
        <v>14</v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3">
      <c r="A24" s="47" t="n">
        <v>15</v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3">
      <c r="A25" s="47" t="n">
        <v>16</v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3">
      <c r="A26" s="47" t="n">
        <v>17</v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3">
      <c r="A27" s="47" t="n">
        <v>18</v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3">
      <c r="A28" s="47" t="n">
        <v>19</v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3">
      <c r="A29" s="47" t="n">
        <v>20</v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3">
      <c r="A30" s="47" t="n">
        <v>21</v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3">
      <c r="A31" s="47" t="n">
        <v>22</v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3">
      <c r="A32" s="47" t="n">
        <v>23</v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3">
      <c r="A33" s="47" t="n">
        <v>24</v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3">
      <c r="A34" s="47" t="n">
        <v>25</v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3">
      <c r="A35" s="47" t="n">
        <v>26</v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3">
      <c r="A36" s="47" t="n">
        <v>27</v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3">
      <c r="A37" s="47" t="n">
        <v>28</v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3">
      <c r="A38" s="47" t="n">
        <v>29</v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3">
      <c r="A39" s="47" t="n">
        <v>30</v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3">
      <c r="A40" s="47" t="n">
        <v>31</v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3">
      <c r="A41" s="47" t="n">
        <v>32</v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3">
      <c r="A42" s="47" t="n">
        <v>33</v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3">
      <c r="A43" s="47" t="n">
        <v>34</v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3">
      <c r="A44" s="47" t="n">
        <v>35</v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3">
      <c r="A45" s="47" t="n">
        <v>36</v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3">
      <c r="A46" s="47" t="n">
        <v>37</v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3">
      <c r="A47" s="47" t="n">
        <v>38</v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3">
      <c r="A48" s="47" t="n">
        <v>39</v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3">
      <c r="A49" s="47" t="n">
        <v>40</v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3">
      <c r="A50" s="47" t="n">
        <v>41</v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3">
      <c r="A51" s="47" t="n">
        <v>42</v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3">
      <c r="A52" s="47" t="n">
        <v>43</v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3">
      <c r="A53" s="47" t="n">
        <v>44</v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3">
      <c r="A54" s="47" t="n">
        <v>45</v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3">
      <c r="A55" s="47" t="n">
        <v>46</v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3">
      <c r="A56" s="47" t="n">
        <v>47</v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3">
      <c r="A57" s="47" t="n">
        <v>48</v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3">
      <c r="A58" s="47" t="n">
        <v>49</v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3">
      <c r="A59" s="47" t="n">
        <v>50</v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3">
      <c r="A60" s="47" t="n">
        <v>51</v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3">
      <c r="A61" s="47" t="n">
        <v>52</v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3">
      <c r="A62" s="47" t="n">
        <v>53</v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3">
      <c r="A63" s="47" t="n">
        <v>54</v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3">
      <c r="A64" s="47" t="n">
        <v>55</v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3">
      <c r="A65" s="47" t="n">
        <v>56</v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3">
      <c r="A66" s="47" t="n">
        <v>57</v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3">
      <c r="A67" s="47" t="n">
        <v>58</v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3">
      <c r="A68" s="47" t="n">
        <v>59</v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3">
      <c r="A69" s="47" t="n">
        <v>60</v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3">
      <c r="A70" s="47" t="n">
        <v>61</v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3">
      <c r="A71" s="47" t="n">
        <v>62</v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3">
      <c r="A72" s="47" t="n">
        <v>63</v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3">
      <c r="A73" s="47" t="n">
        <v>64</v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3">
      <c r="A74" s="47" t="n">
        <v>65</v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3">
      <c r="A75" s="47" t="n">
        <v>66</v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3">
      <c r="A76" s="47" t="n">
        <v>67</v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3">
      <c r="A77" s="47" t="n">
        <v>68</v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3">
      <c r="A78" s="47" t="n">
        <v>69</v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3">
      <c r="A79" s="47" t="n">
        <v>70</v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3">
      <c r="A80" s="47" t="n">
        <v>71</v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3">
      <c r="A81" s="47" t="n">
        <v>72</v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3">
      <c r="A82" s="47" t="n">
        <v>73</v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3">
      <c r="A83" s="47" t="n">
        <v>74</v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3">
      <c r="A84" s="47" t="n">
        <v>75</v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3">
      <c r="A85" s="47" t="n">
        <v>76</v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3">
      <c r="A86" s="47" t="n">
        <v>77</v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3">
      <c r="A87" s="47" t="n">
        <v>78</v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3">
      <c r="A88" s="47" t="n">
        <v>79</v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3">
      <c r="A89" s="47" t="n">
        <v>80</v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3">
      <c r="A90" s="47" t="n">
        <v>81</v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3">
      <c r="A91" s="47" t="n">
        <v>82</v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3">
      <c r="A92" s="47" t="n">
        <v>83</v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3">
      <c r="A93" s="47" t="n">
        <v>84</v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3">
      <c r="A94" s="47" t="n">
        <v>85</v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3">
      <c r="A95" s="47" t="n">
        <v>86</v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3">
      <c r="A96" s="47" t="n">
        <v>87</v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3">
      <c r="A97" s="47" t="n">
        <v>88</v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3">
      <c r="A98" s="47" t="n">
        <v>89</v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3">
      <c r="A99" s="47" t="n">
        <v>90</v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3">
      <c r="A100" s="47" t="n">
        <v>91</v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3">
      <c r="A101" s="47" t="n">
        <v>92</v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3">
      <c r="A102" s="47" t="n">
        <v>93</v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3">
      <c r="A103" s="47" t="n">
        <v>94</v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3">
      <c r="A104" s="47" t="n">
        <v>95</v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3">
      <c r="A105" s="47" t="n">
        <v>96</v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3">
      <c r="A106" s="47" t="n">
        <v>97</v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3">
      <c r="A107" s="47" t="n">
        <v>98</v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3">
      <c r="A108" s="47" t="n">
        <v>99</v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3">
      <c r="A109" s="47" t="n">
        <v>100</v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3">
      <c r="A110" s="47" t="n">
        <v>101</v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3">
      <c r="A111" s="47" t="n">
        <v>102</v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3">
      <c r="A112" s="47" t="n">
        <v>103</v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3">
      <c r="A113" s="47" t="n">
        <v>104</v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3">
      <c r="A114" s="47" t="n">
        <v>105</v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3">
      <c r="A115" s="47" t="n">
        <v>106</v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3">
      <c r="A116" s="47" t="n">
        <v>107</v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3">
      <c r="A117" s="47" t="n">
        <v>108</v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3">
      <c r="A118" s="47" t="n">
        <v>109</v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3">
      <c r="A119" s="47" t="n">
        <v>110</v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3">
      <c r="A120" s="47" t="n">
        <v>111</v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3">
      <c r="A121" s="47" t="n">
        <v>112</v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3">
      <c r="A122" s="47" t="n">
        <v>113</v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3">
      <c r="A123" s="47" t="n">
        <v>114</v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3">
      <c r="A124" s="47" t="n">
        <v>115</v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3">
      <c r="A125" s="47" t="n">
        <v>116</v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3">
      <c r="A126" s="47" t="n">
        <v>117</v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3">
      <c r="A127" s="47" t="n">
        <v>118</v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3">
      <c r="A128" s="47" t="n">
        <v>119</v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3">
      <c r="A129" s="47" t="n">
        <v>120</v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3">
      <c r="A130" s="47" t="n">
        <v>121</v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3">
      <c r="A131" s="47" t="n">
        <v>122</v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3">
      <c r="A132" s="47" t="n">
        <v>123</v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3">
      <c r="A133" s="47" t="n">
        <v>124</v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3">
      <c r="A134" s="47" t="n">
        <v>125</v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3">
      <c r="A135" s="47" t="n">
        <v>126</v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3">
      <c r="A136" s="47" t="n">
        <v>127</v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3">
      <c r="A137" s="47" t="n">
        <v>128</v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3">
      <c r="A138" s="47" t="n">
        <v>129</v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3">
      <c r="A139" s="47" t="n">
        <v>130</v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3">
      <c r="A140" s="47" t="n">
        <v>131</v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3">
      <c r="A141" s="47" t="n">
        <v>132</v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3">
      <c r="A142" s="47" t="n">
        <v>133</v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3">
      <c r="A143" s="47" t="n">
        <v>134</v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3">
      <c r="A144" s="47" t="n">
        <v>135</v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3">
      <c r="A145" s="47" t="n">
        <v>136</v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3">
      <c r="A146" s="47" t="n">
        <v>137</v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3">
      <c r="A147" s="47" t="n">
        <v>138</v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3">
      <c r="A148" s="47" t="n">
        <v>139</v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3">
      <c r="A149" s="47" t="n">
        <v>140</v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3">
      <c r="A150" s="47" t="n">
        <v>141</v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3">
      <c r="A151" s="47" t="n">
        <v>142</v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3">
      <c r="A152" s="47" t="n">
        <v>143</v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3">
      <c r="A153" s="47" t="n">
        <v>144</v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3">
      <c r="A154" s="47" t="n">
        <v>145</v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3">
      <c r="A155" s="47" t="n">
        <v>146</v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3">
      <c r="A156" s="47" t="n">
        <v>147</v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3">
      <c r="A157" s="47" t="n">
        <v>148</v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3">
      <c r="A158" s="47" t="n">
        <v>149</v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3">
      <c r="A159" s="47" t="n">
        <v>150</v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3">
      <c r="A160" s="47" t="n">
        <v>151</v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3">
      <c r="A161" s="47" t="n">
        <v>152</v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3">
      <c r="A162" s="47" t="n">
        <v>153</v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3">
      <c r="A163" s="47" t="n">
        <v>154</v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3">
      <c r="A164" s="47" t="n">
        <v>155</v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3">
      <c r="A165" s="47" t="n">
        <v>156</v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3">
      <c r="A166" s="47" t="n">
        <v>157</v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3">
      <c r="A167" s="47" t="n">
        <v>158</v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3">
      <c r="A168" s="47" t="n">
        <v>159</v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3">
      <c r="A169" s="47" t="n">
        <v>160</v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3">
      <c r="A170" s="47" t="n">
        <v>161</v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3">
      <c r="A171" s="47" t="n">
        <v>162</v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3">
      <c r="A172" s="47" t="n">
        <v>163</v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3">
      <c r="A173" s="47" t="n">
        <v>164</v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3">
      <c r="A174" s="47" t="n">
        <v>165</v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3">
      <c r="A175" s="47" t="n">
        <v>166</v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3">
      <c r="A176" s="47" t="n">
        <v>167</v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3">
      <c r="A177" s="47" t="n">
        <v>168</v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3">
      <c r="A178" s="47" t="n">
        <v>169</v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3">
      <c r="A179" s="47" t="n">
        <v>170</v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3">
      <c r="A180" s="47" t="n">
        <v>171</v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3">
      <c r="A181" s="47" t="n">
        <v>172</v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3">
      <c r="A182" s="47" t="n">
        <v>173</v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3">
      <c r="A183" s="47" t="n">
        <v>174</v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3">
      <c r="A184" s="47" t="n">
        <v>175</v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3">
      <c r="A185" s="47" t="n">
        <v>176</v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3">
      <c r="A186" s="47" t="n">
        <v>177</v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3">
      <c r="A187" s="47" t="n">
        <v>178</v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3">
      <c r="A188" s="47" t="n">
        <v>179</v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3">
      <c r="A189" s="47" t="n">
        <v>180</v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3">
      <c r="A190" s="47" t="n">
        <v>181</v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3">
      <c r="A191" s="47" t="n">
        <v>182</v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3">
      <c r="A192" s="47" t="n">
        <v>183</v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3">
      <c r="A193" s="47" t="n">
        <v>184</v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3">
      <c r="A194" s="47" t="n">
        <v>185</v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3">
      <c r="A195" s="47" t="n">
        <v>186</v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3">
      <c r="A196" s="47" t="n">
        <v>187</v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3">
      <c r="A197" s="47" t="n">
        <v>188</v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3">
      <c r="A198" s="47" t="n">
        <v>189</v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3">
      <c r="A199" s="47" t="n">
        <v>190</v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3">
      <c r="A200" s="47" t="n">
        <v>191</v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3">
      <c r="A201" s="47" t="n">
        <v>192</v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3">
      <c r="A202" s="47" t="n">
        <v>193</v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3">
      <c r="A203" s="47" t="n">
        <v>194</v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3">
      <c r="A204" s="47" t="n">
        <v>195</v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3">
      <c r="A205" s="47" t="n">
        <v>196</v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3">
      <c r="A206" s="47" t="n">
        <v>197</v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3">
      <c r="A207" s="47" t="n">
        <v>198</v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3">
      <c r="A208" s="47" t="n">
        <v>199</v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3">
      <c r="A209" s="47" t="n">
        <v>200</v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3">
      <c r="A210" s="47" t="n">
        <v>201</v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3">
      <c r="A211" s="47" t="n">
        <v>202</v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3">
      <c r="A212" s="47" t="n">
        <v>203</v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3">
      <c r="A213" s="47" t="n">
        <v>204</v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3">
      <c r="A214" s="47" t="n">
        <v>205</v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3">
      <c r="A215" s="47" t="n">
        <v>206</v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3">
      <c r="A216" s="47" t="n">
        <v>207</v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3">
      <c r="A217" s="47" t="n">
        <v>208</v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3">
      <c r="A218" s="47" t="n">
        <v>209</v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3">
      <c r="A219" s="47" t="n">
        <v>210</v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3">
      <c r="A220" s="47" t="n">
        <v>211</v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3">
      <c r="A221" s="47" t="n">
        <v>212</v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3">
      <c r="A222" s="47" t="n">
        <v>213</v>
      </c>
      <c r="B222" s="74">
        <f>'Sessional + End Term Assessment'!B257</f>
        <v/>
      </c>
      <c r="C222" s="74">
        <f>'Sessional + End Term Assessment'!C257</f>
        <v/>
      </c>
      <c r="D222" s="21">
        <f>'MID Term 1'!D219+'MID Term 2'!D219</f>
        <v/>
      </c>
      <c r="E222" s="21">
        <f>'MID Term 1'!H219+'MID Term 2'!E219</f>
        <v/>
      </c>
      <c r="F222" s="21">
        <f>'MID Term 1'!L219+'MID Term 2'!F219</f>
        <v/>
      </c>
      <c r="G222" s="21">
        <f>'MID Term 1'!P219+'MID Term 2'!J219</f>
        <v/>
      </c>
      <c r="H222" s="21">
        <f>'MID Term 1'!Q219+'MID Term 2'!N219</f>
        <v/>
      </c>
      <c r="I222" s="23">
        <f>IF((D222/$D$8)&gt;=$I$8,1,0)</f>
        <v/>
      </c>
      <c r="J222" s="23">
        <f>IF((E222/$E$8)&gt;=$J$8,1,0)</f>
        <v/>
      </c>
      <c r="K222" s="23">
        <f>IF((F222/$F$8)&gt;=$K$8,1,0)</f>
        <v/>
      </c>
      <c r="L222" s="23">
        <f>IF((G222/$G$8)&gt;=$L$8,1,0)</f>
        <v/>
      </c>
      <c r="M222" s="23">
        <f>IF((H222/$H$8)&gt;=$M$8,1,0)</f>
        <v/>
      </c>
      <c r="N222" s="21">
        <f>SUM(D222:H222)</f>
        <v/>
      </c>
      <c r="O222" s="23">
        <f>ROUND(N222/2,0)</f>
        <v/>
      </c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24" t="n"/>
    </row>
    <row r="223" ht="19.5" customHeight="1" s="93">
      <c r="A223" s="47" t="n">
        <v>214</v>
      </c>
      <c r="B223" s="74">
        <f>'Sessional + End Term Assessment'!B258</f>
        <v/>
      </c>
      <c r="C223" s="74">
        <f>'Sessional + End Term Assessment'!C258</f>
        <v/>
      </c>
      <c r="D223" s="21">
        <f>'MID Term 1'!D220+'MID Term 2'!D220</f>
        <v/>
      </c>
      <c r="E223" s="21">
        <f>'MID Term 1'!H220+'MID Term 2'!E220</f>
        <v/>
      </c>
      <c r="F223" s="21">
        <f>'MID Term 1'!L220+'MID Term 2'!F220</f>
        <v/>
      </c>
      <c r="G223" s="21">
        <f>'MID Term 1'!P220+'MID Term 2'!J220</f>
        <v/>
      </c>
      <c r="H223" s="21">
        <f>'MID Term 1'!Q220+'MID Term 2'!N220</f>
        <v/>
      </c>
      <c r="I223" s="23">
        <f>IF((D223/$D$8)&gt;=$I$8,1,0)</f>
        <v/>
      </c>
      <c r="J223" s="23">
        <f>IF((E223/$E$8)&gt;=$J$8,1,0)</f>
        <v/>
      </c>
      <c r="K223" s="23">
        <f>IF((F223/$F$8)&gt;=$K$8,1,0)</f>
        <v/>
      </c>
      <c r="L223" s="23">
        <f>IF((G223/$G$8)&gt;=$L$8,1,0)</f>
        <v/>
      </c>
      <c r="M223" s="23">
        <f>IF((H223/$H$8)&gt;=$M$8,1,0)</f>
        <v/>
      </c>
      <c r="N223" s="21">
        <f>SUM(D223:H223)</f>
        <v/>
      </c>
      <c r="O223" s="23">
        <f>ROUND(N223/2,0)</f>
        <v/>
      </c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24" t="n"/>
    </row>
    <row r="224" ht="19.5" customHeight="1" s="93">
      <c r="A224" s="47" t="n">
        <v>215</v>
      </c>
      <c r="B224" s="74">
        <f>'Sessional + End Term Assessment'!B259</f>
        <v/>
      </c>
      <c r="C224" s="74">
        <f>'Sessional + End Term Assessment'!C259</f>
        <v/>
      </c>
      <c r="D224" s="21">
        <f>'MID Term 1'!D221+'MID Term 2'!D221</f>
        <v/>
      </c>
      <c r="E224" s="21">
        <f>'MID Term 1'!H221+'MID Term 2'!E221</f>
        <v/>
      </c>
      <c r="F224" s="21">
        <f>'MID Term 1'!L221+'MID Term 2'!F221</f>
        <v/>
      </c>
      <c r="G224" s="21">
        <f>'MID Term 1'!P221+'MID Term 2'!J221</f>
        <v/>
      </c>
      <c r="H224" s="21">
        <f>'MID Term 1'!Q221+'MID Term 2'!N221</f>
        <v/>
      </c>
      <c r="I224" s="23">
        <f>IF((D224/$D$8)&gt;=$I$8,1,0)</f>
        <v/>
      </c>
      <c r="J224" s="23">
        <f>IF((E224/$E$8)&gt;=$J$8,1,0)</f>
        <v/>
      </c>
      <c r="K224" s="23">
        <f>IF((F224/$F$8)&gt;=$K$8,1,0)</f>
        <v/>
      </c>
      <c r="L224" s="23">
        <f>IF((G224/$G$8)&gt;=$L$8,1,0)</f>
        <v/>
      </c>
      <c r="M224" s="23">
        <f>IF((H224/$H$8)&gt;=$M$8,1,0)</f>
        <v/>
      </c>
      <c r="N224" s="21">
        <f>SUM(D224:H224)</f>
        <v/>
      </c>
      <c r="O224" s="23">
        <f>ROUND(N224/2,0)</f>
        <v/>
      </c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24" t="n"/>
    </row>
    <row r="225" ht="19.5" customHeight="1" s="93">
      <c r="A225" s="47" t="n">
        <v>216</v>
      </c>
      <c r="B225" s="74">
        <f>'Sessional + End Term Assessment'!B260</f>
        <v/>
      </c>
      <c r="C225" s="74">
        <f>'Sessional + End Term Assessment'!C260</f>
        <v/>
      </c>
      <c r="D225" s="21">
        <f>'MID Term 1'!D222+'MID Term 2'!D222</f>
        <v/>
      </c>
      <c r="E225" s="21">
        <f>'MID Term 1'!H222+'MID Term 2'!E222</f>
        <v/>
      </c>
      <c r="F225" s="21">
        <f>'MID Term 1'!L222+'MID Term 2'!F222</f>
        <v/>
      </c>
      <c r="G225" s="21">
        <f>'MID Term 1'!P222+'MID Term 2'!J222</f>
        <v/>
      </c>
      <c r="H225" s="21">
        <f>'MID Term 1'!Q222+'MID Term 2'!N222</f>
        <v/>
      </c>
      <c r="I225" s="23">
        <f>IF((D225/$D$8)&gt;=$I$8,1,0)</f>
        <v/>
      </c>
      <c r="J225" s="23">
        <f>IF((E225/$E$8)&gt;=$J$8,1,0)</f>
        <v/>
      </c>
      <c r="K225" s="23">
        <f>IF((F225/$F$8)&gt;=$K$8,1,0)</f>
        <v/>
      </c>
      <c r="L225" s="23">
        <f>IF((G225/$G$8)&gt;=$L$8,1,0)</f>
        <v/>
      </c>
      <c r="M225" s="23">
        <f>IF((H225/$H$8)&gt;=$M$8,1,0)</f>
        <v/>
      </c>
      <c r="N225" s="21">
        <f>SUM(D225:H225)</f>
        <v/>
      </c>
      <c r="O225" s="23">
        <f>ROUND(N225/2,0)</f>
        <v/>
      </c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24" t="n"/>
    </row>
    <row r="226" ht="19.5" customHeight="1" s="93">
      <c r="A226" s="47" t="n">
        <v>217</v>
      </c>
      <c r="B226" s="74">
        <f>'Sessional + End Term Assessment'!B261</f>
        <v/>
      </c>
      <c r="C226" s="74">
        <f>'Sessional + End Term Assessment'!C261</f>
        <v/>
      </c>
      <c r="D226" s="21">
        <f>'MID Term 1'!D223+'MID Term 2'!D223</f>
        <v/>
      </c>
      <c r="E226" s="21">
        <f>'MID Term 1'!H223+'MID Term 2'!E223</f>
        <v/>
      </c>
      <c r="F226" s="21">
        <f>'MID Term 1'!L223+'MID Term 2'!F223</f>
        <v/>
      </c>
      <c r="G226" s="21">
        <f>'MID Term 1'!P223+'MID Term 2'!J223</f>
        <v/>
      </c>
      <c r="H226" s="21">
        <f>'MID Term 1'!Q223+'MID Term 2'!N223</f>
        <v/>
      </c>
      <c r="I226" s="23">
        <f>IF((D226/$D$8)&gt;=$I$8,1,0)</f>
        <v/>
      </c>
      <c r="J226" s="23">
        <f>IF((E226/$E$8)&gt;=$J$8,1,0)</f>
        <v/>
      </c>
      <c r="K226" s="23">
        <f>IF((F226/$F$8)&gt;=$K$8,1,0)</f>
        <v/>
      </c>
      <c r="L226" s="23">
        <f>IF((G226/$G$8)&gt;=$L$8,1,0)</f>
        <v/>
      </c>
      <c r="M226" s="23">
        <f>IF((H226/$H$8)&gt;=$M$8,1,0)</f>
        <v/>
      </c>
      <c r="N226" s="21">
        <f>SUM(D226:H226)</f>
        <v/>
      </c>
      <c r="O226" s="23">
        <f>ROUND(N226/2,0)</f>
        <v/>
      </c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24" t="n"/>
    </row>
    <row r="227" ht="19.5" customHeight="1" s="93">
      <c r="A227" s="47" t="n">
        <v>218</v>
      </c>
      <c r="B227" s="74">
        <f>'Sessional + End Term Assessment'!B262</f>
        <v/>
      </c>
      <c r="C227" s="74">
        <f>'Sessional + End Term Assessment'!C262</f>
        <v/>
      </c>
      <c r="D227" s="21">
        <f>'MID Term 1'!D224+'MID Term 2'!D224</f>
        <v/>
      </c>
      <c r="E227" s="21">
        <f>'MID Term 1'!H224+'MID Term 2'!E224</f>
        <v/>
      </c>
      <c r="F227" s="21">
        <f>'MID Term 1'!L224+'MID Term 2'!F224</f>
        <v/>
      </c>
      <c r="G227" s="21">
        <f>'MID Term 1'!P224+'MID Term 2'!J224</f>
        <v/>
      </c>
      <c r="H227" s="21">
        <f>'MID Term 1'!Q224+'MID Term 2'!N224</f>
        <v/>
      </c>
      <c r="I227" s="23">
        <f>IF((D227/$D$8)&gt;=$I$8,1,0)</f>
        <v/>
      </c>
      <c r="J227" s="23">
        <f>IF((E227/$E$8)&gt;=$J$8,1,0)</f>
        <v/>
      </c>
      <c r="K227" s="23">
        <f>IF((F227/$F$8)&gt;=$K$8,1,0)</f>
        <v/>
      </c>
      <c r="L227" s="23">
        <f>IF((G227/$G$8)&gt;=$L$8,1,0)</f>
        <v/>
      </c>
      <c r="M227" s="23">
        <f>IF((H227/$H$8)&gt;=$M$8,1,0)</f>
        <v/>
      </c>
      <c r="N227" s="21">
        <f>SUM(D227:H227)</f>
        <v/>
      </c>
      <c r="O227" s="23">
        <f>ROUND(N227/2,0)</f>
        <v/>
      </c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24" t="n"/>
    </row>
    <row r="228" ht="19.5" customHeight="1" s="93">
      <c r="A228" s="47" t="n">
        <v>219</v>
      </c>
      <c r="B228" s="74">
        <f>'Sessional + End Term Assessment'!B263</f>
        <v/>
      </c>
      <c r="C228" s="74">
        <f>'Sessional + End Term Assessment'!C263</f>
        <v/>
      </c>
      <c r="D228" s="21">
        <f>'MID Term 1'!D225+'MID Term 2'!D225</f>
        <v/>
      </c>
      <c r="E228" s="21">
        <f>'MID Term 1'!H225+'MID Term 2'!E225</f>
        <v/>
      </c>
      <c r="F228" s="21">
        <f>'MID Term 1'!L225+'MID Term 2'!F225</f>
        <v/>
      </c>
      <c r="G228" s="21">
        <f>'MID Term 1'!P225+'MID Term 2'!J225</f>
        <v/>
      </c>
      <c r="H228" s="21">
        <f>'MID Term 1'!Q225+'MID Term 2'!N225</f>
        <v/>
      </c>
      <c r="I228" s="23">
        <f>IF((D228/$D$8)&gt;=$I$8,1,0)</f>
        <v/>
      </c>
      <c r="J228" s="23">
        <f>IF((E228/$E$8)&gt;=$J$8,1,0)</f>
        <v/>
      </c>
      <c r="K228" s="23">
        <f>IF((F228/$F$8)&gt;=$K$8,1,0)</f>
        <v/>
      </c>
      <c r="L228" s="23">
        <f>IF((G228/$G$8)&gt;=$L$8,1,0)</f>
        <v/>
      </c>
      <c r="M228" s="23">
        <f>IF((H228/$H$8)&gt;=$M$8,1,0)</f>
        <v/>
      </c>
      <c r="N228" s="21">
        <f>SUM(D228:H228)</f>
        <v/>
      </c>
      <c r="O228" s="23">
        <f>ROUND(N228/2,0)</f>
        <v/>
      </c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24" t="n"/>
    </row>
    <row r="229" ht="19.5" customHeight="1" s="93">
      <c r="A229" s="47" t="n">
        <v>220</v>
      </c>
      <c r="B229" s="74">
        <f>'Sessional + End Term Assessment'!B264</f>
        <v/>
      </c>
      <c r="C229" s="74">
        <f>'Sessional + End Term Assessment'!C264</f>
        <v/>
      </c>
      <c r="D229" s="21">
        <f>'MID Term 1'!D226+'MID Term 2'!D226</f>
        <v/>
      </c>
      <c r="E229" s="21">
        <f>'MID Term 1'!H226+'MID Term 2'!E226</f>
        <v/>
      </c>
      <c r="F229" s="21">
        <f>'MID Term 1'!L226+'MID Term 2'!F226</f>
        <v/>
      </c>
      <c r="G229" s="21">
        <f>'MID Term 1'!P226+'MID Term 2'!J226</f>
        <v/>
      </c>
      <c r="H229" s="21">
        <f>'MID Term 1'!Q226+'MID Term 2'!N226</f>
        <v/>
      </c>
      <c r="I229" s="23">
        <f>IF((D229/$D$8)&gt;=$I$8,1,0)</f>
        <v/>
      </c>
      <c r="J229" s="23">
        <f>IF((E229/$E$8)&gt;=$J$8,1,0)</f>
        <v/>
      </c>
      <c r="K229" s="23">
        <f>IF((F229/$F$8)&gt;=$K$8,1,0)</f>
        <v/>
      </c>
      <c r="L229" s="23">
        <f>IF((G229/$G$8)&gt;=$L$8,1,0)</f>
        <v/>
      </c>
      <c r="M229" s="23">
        <f>IF((H229/$H$8)&gt;=$M$8,1,0)</f>
        <v/>
      </c>
      <c r="N229" s="21">
        <f>SUM(D229:H229)</f>
        <v/>
      </c>
      <c r="O229" s="23">
        <f>ROUND(N229/2,0)</f>
        <v/>
      </c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24" t="n"/>
    </row>
    <row r="230" ht="19.5" customHeight="1" s="93">
      <c r="A230" s="47" t="n">
        <v>221</v>
      </c>
      <c r="B230" s="74">
        <f>'Sessional + End Term Assessment'!B265</f>
        <v/>
      </c>
      <c r="C230" s="74">
        <f>'Sessional + End Term Assessment'!C265</f>
        <v/>
      </c>
      <c r="D230" s="21">
        <f>'MID Term 1'!D227+'MID Term 2'!D227</f>
        <v/>
      </c>
      <c r="E230" s="21">
        <f>'MID Term 1'!H227+'MID Term 2'!E227</f>
        <v/>
      </c>
      <c r="F230" s="21">
        <f>'MID Term 1'!L227+'MID Term 2'!F227</f>
        <v/>
      </c>
      <c r="G230" s="21">
        <f>'MID Term 1'!P227+'MID Term 2'!J227</f>
        <v/>
      </c>
      <c r="H230" s="21">
        <f>'MID Term 1'!Q227+'MID Term 2'!N227</f>
        <v/>
      </c>
      <c r="I230" s="23">
        <f>IF((D230/$D$8)&gt;=$I$8,1,0)</f>
        <v/>
      </c>
      <c r="J230" s="23">
        <f>IF((E230/$E$8)&gt;=$J$8,1,0)</f>
        <v/>
      </c>
      <c r="K230" s="23">
        <f>IF((F230/$F$8)&gt;=$K$8,1,0)</f>
        <v/>
      </c>
      <c r="L230" s="23">
        <f>IF((G230/$G$8)&gt;=$L$8,1,0)</f>
        <v/>
      </c>
      <c r="M230" s="23">
        <f>IF((H230/$H$8)&gt;=$M$8,1,0)</f>
        <v/>
      </c>
      <c r="N230" s="21">
        <f>SUM(D230:H230)</f>
        <v/>
      </c>
      <c r="O230" s="23">
        <f>ROUND(N230/2,0)</f>
        <v/>
      </c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24" t="n"/>
    </row>
    <row r="231" ht="19.5" customHeight="1" s="93">
      <c r="A231" s="47" t="n">
        <v>222</v>
      </c>
      <c r="B231" s="74">
        <f>'Sessional + End Term Assessment'!B266</f>
        <v/>
      </c>
      <c r="C231" s="74">
        <f>'Sessional + End Term Assessment'!C266</f>
        <v/>
      </c>
      <c r="D231" s="21">
        <f>'MID Term 1'!D228+'MID Term 2'!D228</f>
        <v/>
      </c>
      <c r="E231" s="21">
        <f>'MID Term 1'!H228+'MID Term 2'!E228</f>
        <v/>
      </c>
      <c r="F231" s="21">
        <f>'MID Term 1'!L228+'MID Term 2'!F228</f>
        <v/>
      </c>
      <c r="G231" s="21">
        <f>'MID Term 1'!P228+'MID Term 2'!J228</f>
        <v/>
      </c>
      <c r="H231" s="21">
        <f>'MID Term 1'!Q228+'MID Term 2'!N228</f>
        <v/>
      </c>
      <c r="I231" s="23">
        <f>IF((D231/$D$8)&gt;=$I$8,1,0)</f>
        <v/>
      </c>
      <c r="J231" s="23">
        <f>IF((E231/$E$8)&gt;=$J$8,1,0)</f>
        <v/>
      </c>
      <c r="K231" s="23">
        <f>IF((F231/$F$8)&gt;=$K$8,1,0)</f>
        <v/>
      </c>
      <c r="L231" s="23">
        <f>IF((G231/$G$8)&gt;=$L$8,1,0)</f>
        <v/>
      </c>
      <c r="M231" s="23">
        <f>IF((H231/$H$8)&gt;=$M$8,1,0)</f>
        <v/>
      </c>
      <c r="N231" s="21">
        <f>SUM(D231:H231)</f>
        <v/>
      </c>
      <c r="O231" s="23">
        <f>ROUND(N231/2,0)</f>
        <v/>
      </c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24" t="n"/>
    </row>
    <row r="232" ht="19.5" customHeight="1" s="93">
      <c r="A232" s="47" t="n">
        <v>223</v>
      </c>
      <c r="B232" s="74">
        <f>'Sessional + End Term Assessment'!B267</f>
        <v/>
      </c>
      <c r="C232" s="74">
        <f>'Sessional + End Term Assessment'!C267</f>
        <v/>
      </c>
      <c r="D232" s="21">
        <f>'MID Term 1'!D229+'MID Term 2'!D229</f>
        <v/>
      </c>
      <c r="E232" s="21">
        <f>'MID Term 1'!H229+'MID Term 2'!E229</f>
        <v/>
      </c>
      <c r="F232" s="21">
        <f>'MID Term 1'!L229+'MID Term 2'!F229</f>
        <v/>
      </c>
      <c r="G232" s="21">
        <f>'MID Term 1'!P229+'MID Term 2'!J229</f>
        <v/>
      </c>
      <c r="H232" s="21">
        <f>'MID Term 1'!Q229+'MID Term 2'!N229</f>
        <v/>
      </c>
      <c r="I232" s="23">
        <f>IF((D232/$D$8)&gt;=$I$8,1,0)</f>
        <v/>
      </c>
      <c r="J232" s="23">
        <f>IF((E232/$E$8)&gt;=$J$8,1,0)</f>
        <v/>
      </c>
      <c r="K232" s="23">
        <f>IF((F232/$F$8)&gt;=$K$8,1,0)</f>
        <v/>
      </c>
      <c r="L232" s="23">
        <f>IF((G232/$G$8)&gt;=$L$8,1,0)</f>
        <v/>
      </c>
      <c r="M232" s="23">
        <f>IF((H232/$H$8)&gt;=$M$8,1,0)</f>
        <v/>
      </c>
      <c r="N232" s="21">
        <f>SUM(D232:H232)</f>
        <v/>
      </c>
      <c r="O232" s="23">
        <f>ROUND(N232/2,0)</f>
        <v/>
      </c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24" t="n"/>
    </row>
    <row r="233" ht="19.5" customHeight="1" s="93">
      <c r="A233" s="47" t="n">
        <v>224</v>
      </c>
      <c r="B233" s="74">
        <f>'Sessional + End Term Assessment'!B268</f>
        <v/>
      </c>
      <c r="C233" s="74">
        <f>'Sessional + End Term Assessment'!C268</f>
        <v/>
      </c>
      <c r="D233" s="21">
        <f>'MID Term 1'!D230+'MID Term 2'!D230</f>
        <v/>
      </c>
      <c r="E233" s="21">
        <f>'MID Term 1'!H230+'MID Term 2'!E230</f>
        <v/>
      </c>
      <c r="F233" s="21">
        <f>'MID Term 1'!L230+'MID Term 2'!F230</f>
        <v/>
      </c>
      <c r="G233" s="21">
        <f>'MID Term 1'!P230+'MID Term 2'!J230</f>
        <v/>
      </c>
      <c r="H233" s="21">
        <f>'MID Term 1'!Q230+'MID Term 2'!N230</f>
        <v/>
      </c>
      <c r="I233" s="23">
        <f>IF((D233/$D$8)&gt;=$I$8,1,0)</f>
        <v/>
      </c>
      <c r="J233" s="23">
        <f>IF((E233/$E$8)&gt;=$J$8,1,0)</f>
        <v/>
      </c>
      <c r="K233" s="23">
        <f>IF((F233/$F$8)&gt;=$K$8,1,0)</f>
        <v/>
      </c>
      <c r="L233" s="23">
        <f>IF((G233/$G$8)&gt;=$L$8,1,0)</f>
        <v/>
      </c>
      <c r="M233" s="23">
        <f>IF((H233/$H$8)&gt;=$M$8,1,0)</f>
        <v/>
      </c>
      <c r="N233" s="21">
        <f>SUM(D233:H233)</f>
        <v/>
      </c>
      <c r="O233" s="23">
        <f>ROUND(N233/2,0)</f>
        <v/>
      </c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24" t="n"/>
    </row>
    <row r="234" ht="19.5" customHeight="1" s="93">
      <c r="A234" s="47" t="n">
        <v>225</v>
      </c>
      <c r="B234" s="74">
        <f>'Sessional + End Term Assessment'!B269</f>
        <v/>
      </c>
      <c r="C234" s="74">
        <f>'Sessional + End Term Assessment'!C269</f>
        <v/>
      </c>
      <c r="D234" s="21">
        <f>'MID Term 1'!D231+'MID Term 2'!D231</f>
        <v/>
      </c>
      <c r="E234" s="21">
        <f>'MID Term 1'!H231+'MID Term 2'!E231</f>
        <v/>
      </c>
      <c r="F234" s="21">
        <f>'MID Term 1'!L231+'MID Term 2'!F231</f>
        <v/>
      </c>
      <c r="G234" s="21">
        <f>'MID Term 1'!P231+'MID Term 2'!J231</f>
        <v/>
      </c>
      <c r="H234" s="21">
        <f>'MID Term 1'!Q231+'MID Term 2'!N231</f>
        <v/>
      </c>
      <c r="I234" s="23">
        <f>IF((D234/$D$8)&gt;=$I$8,1,0)</f>
        <v/>
      </c>
      <c r="J234" s="23">
        <f>IF((E234/$E$8)&gt;=$J$8,1,0)</f>
        <v/>
      </c>
      <c r="K234" s="23">
        <f>IF((F234/$F$8)&gt;=$K$8,1,0)</f>
        <v/>
      </c>
      <c r="L234" s="23">
        <f>IF((G234/$G$8)&gt;=$L$8,1,0)</f>
        <v/>
      </c>
      <c r="M234" s="23">
        <f>IF((H234/$H$8)&gt;=$M$8,1,0)</f>
        <v/>
      </c>
      <c r="N234" s="21">
        <f>SUM(D234:H234)</f>
        <v/>
      </c>
      <c r="O234" s="23">
        <f>ROUND(N234/2,0)</f>
        <v/>
      </c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24" t="n"/>
    </row>
    <row r="235" ht="19.5" customHeight="1" s="93">
      <c r="A235" s="47" t="n">
        <v>226</v>
      </c>
      <c r="B235" s="74">
        <f>'Sessional + End Term Assessment'!B270</f>
        <v/>
      </c>
      <c r="C235" s="74">
        <f>'Sessional + End Term Assessment'!C270</f>
        <v/>
      </c>
      <c r="D235" s="21">
        <f>'MID Term 1'!D232+'MID Term 2'!D232</f>
        <v/>
      </c>
      <c r="E235" s="21">
        <f>'MID Term 1'!H232+'MID Term 2'!E232</f>
        <v/>
      </c>
      <c r="F235" s="21">
        <f>'MID Term 1'!L232+'MID Term 2'!F232</f>
        <v/>
      </c>
      <c r="G235" s="21">
        <f>'MID Term 1'!P232+'MID Term 2'!J232</f>
        <v/>
      </c>
      <c r="H235" s="21">
        <f>'MID Term 1'!Q232+'MID Term 2'!N232</f>
        <v/>
      </c>
      <c r="I235" s="23">
        <f>IF((D235/$D$8)&gt;=$I$8,1,0)</f>
        <v/>
      </c>
      <c r="J235" s="23">
        <f>IF((E235/$E$8)&gt;=$J$8,1,0)</f>
        <v/>
      </c>
      <c r="K235" s="23">
        <f>IF((F235/$F$8)&gt;=$K$8,1,0)</f>
        <v/>
      </c>
      <c r="L235" s="23">
        <f>IF((G235/$G$8)&gt;=$L$8,1,0)</f>
        <v/>
      </c>
      <c r="M235" s="23">
        <f>IF((H235/$H$8)&gt;=$M$8,1,0)</f>
        <v/>
      </c>
      <c r="N235" s="21">
        <f>SUM(D235:H235)</f>
        <v/>
      </c>
      <c r="O235" s="23">
        <f>ROUND(N235/2,0)</f>
        <v/>
      </c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24" t="n"/>
    </row>
    <row r="236" ht="19.5" customHeight="1" s="93">
      <c r="A236" s="47" t="n">
        <v>227</v>
      </c>
      <c r="B236" s="74">
        <f>'Sessional + End Term Assessment'!B271</f>
        <v/>
      </c>
      <c r="C236" s="74">
        <f>'Sessional + End Term Assessment'!C271</f>
        <v/>
      </c>
      <c r="D236" s="21">
        <f>'MID Term 1'!D233+'MID Term 2'!D233</f>
        <v/>
      </c>
      <c r="E236" s="21">
        <f>'MID Term 1'!H233+'MID Term 2'!E233</f>
        <v/>
      </c>
      <c r="F236" s="21">
        <f>'MID Term 1'!L233+'MID Term 2'!F233</f>
        <v/>
      </c>
      <c r="G236" s="21">
        <f>'MID Term 1'!P233+'MID Term 2'!J233</f>
        <v/>
      </c>
      <c r="H236" s="21">
        <f>'MID Term 1'!Q233+'MID Term 2'!N233</f>
        <v/>
      </c>
      <c r="I236" s="23">
        <f>IF((D236/$D$8)&gt;=$I$8,1,0)</f>
        <v/>
      </c>
      <c r="J236" s="23">
        <f>IF((E236/$E$8)&gt;=$J$8,1,0)</f>
        <v/>
      </c>
      <c r="K236" s="23">
        <f>IF((F236/$F$8)&gt;=$K$8,1,0)</f>
        <v/>
      </c>
      <c r="L236" s="23">
        <f>IF((G236/$G$8)&gt;=$L$8,1,0)</f>
        <v/>
      </c>
      <c r="M236" s="23">
        <f>IF((H236/$H$8)&gt;=$M$8,1,0)</f>
        <v/>
      </c>
      <c r="N236" s="21">
        <f>SUM(D236:H236)</f>
        <v/>
      </c>
      <c r="O236" s="23">
        <f>ROUND(N236/2,0)</f>
        <v/>
      </c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24" t="n"/>
    </row>
    <row r="237" ht="19.5" customHeight="1" s="93">
      <c r="A237" s="47" t="n">
        <v>228</v>
      </c>
      <c r="B237" s="74">
        <f>'Sessional + End Term Assessment'!B272</f>
        <v/>
      </c>
      <c r="C237" s="74">
        <f>'Sessional + End Term Assessment'!C272</f>
        <v/>
      </c>
      <c r="D237" s="21">
        <f>'MID Term 1'!D234+'MID Term 2'!D234</f>
        <v/>
      </c>
      <c r="E237" s="21">
        <f>'MID Term 1'!H234+'MID Term 2'!E234</f>
        <v/>
      </c>
      <c r="F237" s="21">
        <f>'MID Term 1'!L234+'MID Term 2'!F234</f>
        <v/>
      </c>
      <c r="G237" s="21">
        <f>'MID Term 1'!P234+'MID Term 2'!J234</f>
        <v/>
      </c>
      <c r="H237" s="21">
        <f>'MID Term 1'!Q234+'MID Term 2'!N234</f>
        <v/>
      </c>
      <c r="I237" s="23">
        <f>IF((D237/$D$8)&gt;=$I$8,1,0)</f>
        <v/>
      </c>
      <c r="J237" s="23">
        <f>IF((E237/$E$8)&gt;=$J$8,1,0)</f>
        <v/>
      </c>
      <c r="K237" s="23">
        <f>IF((F237/$F$8)&gt;=$K$8,1,0)</f>
        <v/>
      </c>
      <c r="L237" s="23">
        <f>IF((G237/$G$8)&gt;=$L$8,1,0)</f>
        <v/>
      </c>
      <c r="M237" s="23">
        <f>IF((H237/$H$8)&gt;=$M$8,1,0)</f>
        <v/>
      </c>
      <c r="N237" s="21">
        <f>SUM(D237:H237)</f>
        <v/>
      </c>
      <c r="O237" s="23">
        <f>ROUND(N237/2,0)</f>
        <v/>
      </c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24" t="n"/>
    </row>
    <row r="238" ht="19.5" customHeight="1" s="93">
      <c r="A238" s="47" t="n">
        <v>229</v>
      </c>
      <c r="B238" s="74">
        <f>'Sessional + End Term Assessment'!B273</f>
        <v/>
      </c>
      <c r="C238" s="74">
        <f>'Sessional + End Term Assessment'!C273</f>
        <v/>
      </c>
      <c r="D238" s="21">
        <f>'MID Term 1'!D235+'MID Term 2'!D235</f>
        <v/>
      </c>
      <c r="E238" s="21">
        <f>'MID Term 1'!H235+'MID Term 2'!E235</f>
        <v/>
      </c>
      <c r="F238" s="21">
        <f>'MID Term 1'!L235+'MID Term 2'!F235</f>
        <v/>
      </c>
      <c r="G238" s="21">
        <f>'MID Term 1'!P235+'MID Term 2'!J235</f>
        <v/>
      </c>
      <c r="H238" s="21">
        <f>'MID Term 1'!Q235+'MID Term 2'!N235</f>
        <v/>
      </c>
      <c r="I238" s="23">
        <f>IF((D238/$D$8)&gt;=$I$8,1,0)</f>
        <v/>
      </c>
      <c r="J238" s="23">
        <f>IF((E238/$E$8)&gt;=$J$8,1,0)</f>
        <v/>
      </c>
      <c r="K238" s="23">
        <f>IF((F238/$F$8)&gt;=$K$8,1,0)</f>
        <v/>
      </c>
      <c r="L238" s="23">
        <f>IF((G238/$G$8)&gt;=$L$8,1,0)</f>
        <v/>
      </c>
      <c r="M238" s="23">
        <f>IF((H238/$H$8)&gt;=$M$8,1,0)</f>
        <v/>
      </c>
      <c r="N238" s="21">
        <f>SUM(D238:H238)</f>
        <v/>
      </c>
      <c r="O238" s="23">
        <f>ROUND(N238/2,0)</f>
        <v/>
      </c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24" t="n"/>
    </row>
    <row r="239" ht="19.5" customHeight="1" s="93">
      <c r="A239" s="47" t="n">
        <v>230</v>
      </c>
      <c r="B239" s="74">
        <f>'Sessional + End Term Assessment'!B274</f>
        <v/>
      </c>
      <c r="C239" s="74">
        <f>'Sessional + End Term Assessment'!C274</f>
        <v/>
      </c>
      <c r="D239" s="21">
        <f>'MID Term 1'!D236+'MID Term 2'!D236</f>
        <v/>
      </c>
      <c r="E239" s="21">
        <f>'MID Term 1'!H236+'MID Term 2'!E236</f>
        <v/>
      </c>
      <c r="F239" s="21">
        <f>'MID Term 1'!L236+'MID Term 2'!F236</f>
        <v/>
      </c>
      <c r="G239" s="21">
        <f>'MID Term 1'!P236+'MID Term 2'!J236</f>
        <v/>
      </c>
      <c r="H239" s="21">
        <f>'MID Term 1'!Q236+'MID Term 2'!N236</f>
        <v/>
      </c>
      <c r="I239" s="23">
        <f>IF((D239/$D$8)&gt;=$I$8,1,0)</f>
        <v/>
      </c>
      <c r="J239" s="23">
        <f>IF((E239/$E$8)&gt;=$J$8,1,0)</f>
        <v/>
      </c>
      <c r="K239" s="23">
        <f>IF((F239/$F$8)&gt;=$K$8,1,0)</f>
        <v/>
      </c>
      <c r="L239" s="23">
        <f>IF((G239/$G$8)&gt;=$L$8,1,0)</f>
        <v/>
      </c>
      <c r="M239" s="23">
        <f>IF((H239/$H$8)&gt;=$M$8,1,0)</f>
        <v/>
      </c>
      <c r="N239" s="21">
        <f>SUM(D239:H239)</f>
        <v/>
      </c>
      <c r="O239" s="23">
        <f>ROUND(N239/2,0)</f>
        <v/>
      </c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24" t="n"/>
    </row>
    <row r="240" ht="19.5" customHeight="1" s="93">
      <c r="A240" s="47" t="n">
        <v>231</v>
      </c>
      <c r="B240" s="74">
        <f>'Sessional + End Term Assessment'!B275</f>
        <v/>
      </c>
      <c r="C240" s="74">
        <f>'Sessional + End Term Assessment'!C275</f>
        <v/>
      </c>
      <c r="D240" s="21">
        <f>'MID Term 1'!D237+'MID Term 2'!D237</f>
        <v/>
      </c>
      <c r="E240" s="21">
        <f>'MID Term 1'!H237+'MID Term 2'!E237</f>
        <v/>
      </c>
      <c r="F240" s="21">
        <f>'MID Term 1'!L237+'MID Term 2'!F237</f>
        <v/>
      </c>
      <c r="G240" s="21">
        <f>'MID Term 1'!P237+'MID Term 2'!J237</f>
        <v/>
      </c>
      <c r="H240" s="21">
        <f>'MID Term 1'!Q237+'MID Term 2'!N237</f>
        <v/>
      </c>
      <c r="I240" s="23">
        <f>IF((D240/$D$8)&gt;=$I$8,1,0)</f>
        <v/>
      </c>
      <c r="J240" s="23">
        <f>IF((E240/$E$8)&gt;=$J$8,1,0)</f>
        <v/>
      </c>
      <c r="K240" s="23">
        <f>IF((F240/$F$8)&gt;=$K$8,1,0)</f>
        <v/>
      </c>
      <c r="L240" s="23">
        <f>IF((G240/$G$8)&gt;=$L$8,1,0)</f>
        <v/>
      </c>
      <c r="M240" s="23">
        <f>IF((H240/$H$8)&gt;=$M$8,1,0)</f>
        <v/>
      </c>
      <c r="N240" s="21">
        <f>SUM(D240:H240)</f>
        <v/>
      </c>
      <c r="O240" s="23">
        <f>ROUND(N240/2,0)</f>
        <v/>
      </c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24" t="n"/>
    </row>
    <row r="241" ht="19.5" customHeight="1" s="93">
      <c r="A241" s="47" t="n">
        <v>232</v>
      </c>
      <c r="B241" s="74">
        <f>'Sessional + End Term Assessment'!B276</f>
        <v/>
      </c>
      <c r="C241" s="74">
        <f>'Sessional + End Term Assessment'!C276</f>
        <v/>
      </c>
      <c r="D241" s="21">
        <f>'MID Term 1'!D238+'MID Term 2'!D238</f>
        <v/>
      </c>
      <c r="E241" s="21">
        <f>'MID Term 1'!H238+'MID Term 2'!E238</f>
        <v/>
      </c>
      <c r="F241" s="21">
        <f>'MID Term 1'!L238+'MID Term 2'!F238</f>
        <v/>
      </c>
      <c r="G241" s="21">
        <f>'MID Term 1'!P238+'MID Term 2'!J238</f>
        <v/>
      </c>
      <c r="H241" s="21">
        <f>'MID Term 1'!Q238+'MID Term 2'!N238</f>
        <v/>
      </c>
      <c r="I241" s="23">
        <f>IF((D241/$D$8)&gt;=$I$8,1,0)</f>
        <v/>
      </c>
      <c r="J241" s="23">
        <f>IF((E241/$E$8)&gt;=$J$8,1,0)</f>
        <v/>
      </c>
      <c r="K241" s="23">
        <f>IF((F241/$F$8)&gt;=$K$8,1,0)</f>
        <v/>
      </c>
      <c r="L241" s="23">
        <f>IF((G241/$G$8)&gt;=$L$8,1,0)</f>
        <v/>
      </c>
      <c r="M241" s="23">
        <f>IF((H241/$H$8)&gt;=$M$8,1,0)</f>
        <v/>
      </c>
      <c r="N241" s="21">
        <f>SUM(D241:H241)</f>
        <v/>
      </c>
      <c r="O241" s="23">
        <f>ROUND(N241/2,0)</f>
        <v/>
      </c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24" t="n"/>
    </row>
    <row r="242" ht="19.5" customHeight="1" s="93">
      <c r="A242" s="47" t="n">
        <v>233</v>
      </c>
      <c r="B242" s="74">
        <f>'Sessional + End Term Assessment'!B277</f>
        <v/>
      </c>
      <c r="C242" s="74">
        <f>'Sessional + End Term Assessment'!C277</f>
        <v/>
      </c>
      <c r="D242" s="21">
        <f>'MID Term 1'!D239+'MID Term 2'!D239</f>
        <v/>
      </c>
      <c r="E242" s="21">
        <f>'MID Term 1'!H239+'MID Term 2'!E239</f>
        <v/>
      </c>
      <c r="F242" s="21">
        <f>'MID Term 1'!L239+'MID Term 2'!F239</f>
        <v/>
      </c>
      <c r="G242" s="21">
        <f>'MID Term 1'!P239+'MID Term 2'!J239</f>
        <v/>
      </c>
      <c r="H242" s="21">
        <f>'MID Term 1'!Q239+'MID Term 2'!N239</f>
        <v/>
      </c>
      <c r="I242" s="23">
        <f>IF((D242/$D$8)&gt;=$I$8,1,0)</f>
        <v/>
      </c>
      <c r="J242" s="23">
        <f>IF((E242/$E$8)&gt;=$J$8,1,0)</f>
        <v/>
      </c>
      <c r="K242" s="23">
        <f>IF((F242/$F$8)&gt;=$K$8,1,0)</f>
        <v/>
      </c>
      <c r="L242" s="23">
        <f>IF((G242/$G$8)&gt;=$L$8,1,0)</f>
        <v/>
      </c>
      <c r="M242" s="23">
        <f>IF((H242/$H$8)&gt;=$M$8,1,0)</f>
        <v/>
      </c>
      <c r="N242" s="21">
        <f>SUM(D242:H242)</f>
        <v/>
      </c>
      <c r="O242" s="23">
        <f>ROUND(N242/2,0)</f>
        <v/>
      </c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24" t="n"/>
    </row>
    <row r="243" ht="19.5" customHeight="1" s="93">
      <c r="A243" s="47" t="n">
        <v>234</v>
      </c>
      <c r="B243" s="74">
        <f>'Sessional + End Term Assessment'!B278</f>
        <v/>
      </c>
      <c r="C243" s="74">
        <f>'Sessional + End Term Assessment'!C278</f>
        <v/>
      </c>
      <c r="D243" s="21">
        <f>'MID Term 1'!D240+'MID Term 2'!D240</f>
        <v/>
      </c>
      <c r="E243" s="21">
        <f>'MID Term 1'!H240+'MID Term 2'!E240</f>
        <v/>
      </c>
      <c r="F243" s="21">
        <f>'MID Term 1'!L240+'MID Term 2'!F240</f>
        <v/>
      </c>
      <c r="G243" s="21">
        <f>'MID Term 1'!P240+'MID Term 2'!J240</f>
        <v/>
      </c>
      <c r="H243" s="21">
        <f>'MID Term 1'!Q240+'MID Term 2'!N240</f>
        <v/>
      </c>
      <c r="I243" s="23">
        <f>IF((D243/$D$8)&gt;=$I$8,1,0)</f>
        <v/>
      </c>
      <c r="J243" s="23">
        <f>IF((E243/$E$8)&gt;=$J$8,1,0)</f>
        <v/>
      </c>
      <c r="K243" s="23">
        <f>IF((F243/$F$8)&gt;=$K$8,1,0)</f>
        <v/>
      </c>
      <c r="L243" s="23">
        <f>IF((G243/$G$8)&gt;=$L$8,1,0)</f>
        <v/>
      </c>
      <c r="M243" s="23">
        <f>IF((H243/$H$8)&gt;=$M$8,1,0)</f>
        <v/>
      </c>
      <c r="N243" s="21">
        <f>SUM(D243:H243)</f>
        <v/>
      </c>
      <c r="O243" s="23">
        <f>ROUND(N243/2,0)</f>
        <v/>
      </c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24" t="n"/>
    </row>
    <row r="244" ht="19.5" customHeight="1" s="93">
      <c r="A244" s="47" t="n">
        <v>235</v>
      </c>
      <c r="B244" s="74">
        <f>'Sessional + End Term Assessment'!B279</f>
        <v/>
      </c>
      <c r="C244" s="74">
        <f>'Sessional + End Term Assessment'!C279</f>
        <v/>
      </c>
      <c r="D244" s="21">
        <f>'MID Term 1'!D241+'MID Term 2'!D241</f>
        <v/>
      </c>
      <c r="E244" s="21">
        <f>'MID Term 1'!H241+'MID Term 2'!E241</f>
        <v/>
      </c>
      <c r="F244" s="21">
        <f>'MID Term 1'!L241+'MID Term 2'!F241</f>
        <v/>
      </c>
      <c r="G244" s="21">
        <f>'MID Term 1'!P241+'MID Term 2'!J241</f>
        <v/>
      </c>
      <c r="H244" s="21">
        <f>'MID Term 1'!Q241+'MID Term 2'!N241</f>
        <v/>
      </c>
      <c r="I244" s="23">
        <f>IF((D244/$D$8)&gt;=$I$8,1,0)</f>
        <v/>
      </c>
      <c r="J244" s="23">
        <f>IF((E244/$E$8)&gt;=$J$8,1,0)</f>
        <v/>
      </c>
      <c r="K244" s="23">
        <f>IF((F244/$F$8)&gt;=$K$8,1,0)</f>
        <v/>
      </c>
      <c r="L244" s="23">
        <f>IF((G244/$G$8)&gt;=$L$8,1,0)</f>
        <v/>
      </c>
      <c r="M244" s="23">
        <f>IF((H244/$H$8)&gt;=$M$8,1,0)</f>
        <v/>
      </c>
      <c r="N244" s="21">
        <f>SUM(D244:H244)</f>
        <v/>
      </c>
      <c r="O244" s="23">
        <f>ROUND(N244/2,0)</f>
        <v/>
      </c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24" t="n"/>
    </row>
    <row r="245" ht="19.5" customHeight="1" s="93">
      <c r="A245" s="47" t="n">
        <v>236</v>
      </c>
      <c r="B245" s="74">
        <f>'Sessional + End Term Assessment'!B280</f>
        <v/>
      </c>
      <c r="C245" s="74">
        <f>'Sessional + End Term Assessment'!C280</f>
        <v/>
      </c>
      <c r="D245" s="21">
        <f>'MID Term 1'!D242+'MID Term 2'!D242</f>
        <v/>
      </c>
      <c r="E245" s="21">
        <f>'MID Term 1'!H242+'MID Term 2'!E242</f>
        <v/>
      </c>
      <c r="F245" s="21">
        <f>'MID Term 1'!L242+'MID Term 2'!F242</f>
        <v/>
      </c>
      <c r="G245" s="21">
        <f>'MID Term 1'!P242+'MID Term 2'!J242</f>
        <v/>
      </c>
      <c r="H245" s="21">
        <f>'MID Term 1'!Q242+'MID Term 2'!N242</f>
        <v/>
      </c>
      <c r="I245" s="23">
        <f>IF((D245/$D$8)&gt;=$I$8,1,0)</f>
        <v/>
      </c>
      <c r="J245" s="23">
        <f>IF((E245/$E$8)&gt;=$J$8,1,0)</f>
        <v/>
      </c>
      <c r="K245" s="23">
        <f>IF((F245/$F$8)&gt;=$K$8,1,0)</f>
        <v/>
      </c>
      <c r="L245" s="23">
        <f>IF((G245/$G$8)&gt;=$L$8,1,0)</f>
        <v/>
      </c>
      <c r="M245" s="23">
        <f>IF((H245/$H$8)&gt;=$M$8,1,0)</f>
        <v/>
      </c>
      <c r="N245" s="21">
        <f>SUM(D245:H245)</f>
        <v/>
      </c>
      <c r="O245" s="23">
        <f>ROUND(N245/2,0)</f>
        <v/>
      </c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24" t="n"/>
    </row>
    <row r="246" ht="19.5" customHeight="1" s="93">
      <c r="A246" s="47" t="n">
        <v>237</v>
      </c>
      <c r="B246" s="74">
        <f>'Sessional + End Term Assessment'!B281</f>
        <v/>
      </c>
      <c r="C246" s="74">
        <f>'Sessional + End Term Assessment'!C281</f>
        <v/>
      </c>
      <c r="D246" s="21">
        <f>'MID Term 1'!D243+'MID Term 2'!D243</f>
        <v/>
      </c>
      <c r="E246" s="21">
        <f>'MID Term 1'!H243+'MID Term 2'!E243</f>
        <v/>
      </c>
      <c r="F246" s="21">
        <f>'MID Term 1'!L243+'MID Term 2'!F243</f>
        <v/>
      </c>
      <c r="G246" s="21">
        <f>'MID Term 1'!P243+'MID Term 2'!J243</f>
        <v/>
      </c>
      <c r="H246" s="21">
        <f>'MID Term 1'!Q243+'MID Term 2'!N243</f>
        <v/>
      </c>
      <c r="I246" s="23">
        <f>IF((D246/$D$8)&gt;=$I$8,1,0)</f>
        <v/>
      </c>
      <c r="J246" s="23">
        <f>IF((E246/$E$8)&gt;=$J$8,1,0)</f>
        <v/>
      </c>
      <c r="K246" s="23">
        <f>IF((F246/$F$8)&gt;=$K$8,1,0)</f>
        <v/>
      </c>
      <c r="L246" s="23">
        <f>IF((G246/$G$8)&gt;=$L$8,1,0)</f>
        <v/>
      </c>
      <c r="M246" s="23">
        <f>IF((H246/$H$8)&gt;=$M$8,1,0)</f>
        <v/>
      </c>
      <c r="N246" s="21">
        <f>SUM(D246:H246)</f>
        <v/>
      </c>
      <c r="O246" s="23">
        <f>ROUND(N246/2,0)</f>
        <v/>
      </c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24" t="n"/>
    </row>
    <row r="247" ht="19.5" customHeight="1" s="93">
      <c r="A247" s="47" t="n">
        <v>238</v>
      </c>
      <c r="B247" s="74">
        <f>'Sessional + End Term Assessment'!B282</f>
        <v/>
      </c>
      <c r="C247" s="74">
        <f>'Sessional + End Term Assessment'!C282</f>
        <v/>
      </c>
      <c r="D247" s="21">
        <f>'MID Term 1'!D244+'MID Term 2'!D244</f>
        <v/>
      </c>
      <c r="E247" s="21">
        <f>'MID Term 1'!H244+'MID Term 2'!E244</f>
        <v/>
      </c>
      <c r="F247" s="21">
        <f>'MID Term 1'!L244+'MID Term 2'!F244</f>
        <v/>
      </c>
      <c r="G247" s="21">
        <f>'MID Term 1'!P244+'MID Term 2'!J244</f>
        <v/>
      </c>
      <c r="H247" s="21">
        <f>'MID Term 1'!Q244+'MID Term 2'!N244</f>
        <v/>
      </c>
      <c r="I247" s="23">
        <f>IF((D247/$D$8)&gt;=$I$8,1,0)</f>
        <v/>
      </c>
      <c r="J247" s="23">
        <f>IF((E247/$E$8)&gt;=$J$8,1,0)</f>
        <v/>
      </c>
      <c r="K247" s="23">
        <f>IF((F247/$F$8)&gt;=$K$8,1,0)</f>
        <v/>
      </c>
      <c r="L247" s="23">
        <f>IF((G247/$G$8)&gt;=$L$8,1,0)</f>
        <v/>
      </c>
      <c r="M247" s="23">
        <f>IF((H247/$H$8)&gt;=$M$8,1,0)</f>
        <v/>
      </c>
      <c r="N247" s="21">
        <f>SUM(D247:H247)</f>
        <v/>
      </c>
      <c r="O247" s="23">
        <f>ROUND(N247/2,0)</f>
        <v/>
      </c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24" t="n"/>
    </row>
    <row r="248" ht="19.5" customHeight="1" s="93">
      <c r="A248" s="47" t="n">
        <v>239</v>
      </c>
      <c r="B248" s="74">
        <f>'Sessional + End Term Assessment'!B283</f>
        <v/>
      </c>
      <c r="C248" s="74">
        <f>'Sessional + End Term Assessment'!C283</f>
        <v/>
      </c>
      <c r="D248" s="21">
        <f>'MID Term 1'!D245+'MID Term 2'!D245</f>
        <v/>
      </c>
      <c r="E248" s="21">
        <f>'MID Term 1'!H245+'MID Term 2'!E245</f>
        <v/>
      </c>
      <c r="F248" s="21">
        <f>'MID Term 1'!L245+'MID Term 2'!F245</f>
        <v/>
      </c>
      <c r="G248" s="21">
        <f>'MID Term 1'!P245+'MID Term 2'!J245</f>
        <v/>
      </c>
      <c r="H248" s="21">
        <f>'MID Term 1'!Q245+'MID Term 2'!N245</f>
        <v/>
      </c>
      <c r="I248" s="23">
        <f>IF((D248/$D$8)&gt;=$I$8,1,0)</f>
        <v/>
      </c>
      <c r="J248" s="23">
        <f>IF((E248/$E$8)&gt;=$J$8,1,0)</f>
        <v/>
      </c>
      <c r="K248" s="23">
        <f>IF((F248/$F$8)&gt;=$K$8,1,0)</f>
        <v/>
      </c>
      <c r="L248" s="23">
        <f>IF((G248/$G$8)&gt;=$L$8,1,0)</f>
        <v/>
      </c>
      <c r="M248" s="23">
        <f>IF((H248/$H$8)&gt;=$M$8,1,0)</f>
        <v/>
      </c>
      <c r="N248" s="21">
        <f>SUM(D248:H248)</f>
        <v/>
      </c>
      <c r="O248" s="23">
        <f>ROUND(N248/2,0)</f>
        <v/>
      </c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24" t="n"/>
    </row>
    <row r="249" ht="19.5" customHeight="1" s="93">
      <c r="A249" s="47" t="n">
        <v>240</v>
      </c>
      <c r="B249" s="74">
        <f>'Sessional + End Term Assessment'!B284</f>
        <v/>
      </c>
      <c r="C249" s="74">
        <f>'Sessional + End Term Assessment'!C284</f>
        <v/>
      </c>
      <c r="D249" s="21">
        <f>'MID Term 1'!D246+'MID Term 2'!D246</f>
        <v/>
      </c>
      <c r="E249" s="21">
        <f>'MID Term 1'!H246+'MID Term 2'!E246</f>
        <v/>
      </c>
      <c r="F249" s="21">
        <f>'MID Term 1'!L246+'MID Term 2'!F246</f>
        <v/>
      </c>
      <c r="G249" s="21">
        <f>'MID Term 1'!P246+'MID Term 2'!J246</f>
        <v/>
      </c>
      <c r="H249" s="21">
        <f>'MID Term 1'!Q246+'MID Term 2'!N246</f>
        <v/>
      </c>
      <c r="I249" s="23">
        <f>IF((D249/$D$8)&gt;=$I$8,1,0)</f>
        <v/>
      </c>
      <c r="J249" s="23">
        <f>IF((E249/$E$8)&gt;=$J$8,1,0)</f>
        <v/>
      </c>
      <c r="K249" s="23">
        <f>IF((F249/$F$8)&gt;=$K$8,1,0)</f>
        <v/>
      </c>
      <c r="L249" s="23">
        <f>IF((G249/$G$8)&gt;=$L$8,1,0)</f>
        <v/>
      </c>
      <c r="M249" s="23">
        <f>IF((H249/$H$8)&gt;=$M$8,1,0)</f>
        <v/>
      </c>
      <c r="N249" s="21">
        <f>SUM(D249:H249)</f>
        <v/>
      </c>
      <c r="O249" s="23">
        <f>ROUND(N249/2,0)</f>
        <v/>
      </c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24" t="n"/>
    </row>
    <row r="250" ht="19.5" customHeight="1" s="93">
      <c r="A250" s="47" t="n">
        <v>241</v>
      </c>
      <c r="B250" s="74">
        <f>'Sessional + End Term Assessment'!B285</f>
        <v/>
      </c>
      <c r="C250" s="74">
        <f>'Sessional + End Term Assessment'!C285</f>
        <v/>
      </c>
      <c r="D250" s="21">
        <f>'MID Term 1'!D247+'MID Term 2'!D247</f>
        <v/>
      </c>
      <c r="E250" s="21">
        <f>'MID Term 1'!H247+'MID Term 2'!E247</f>
        <v/>
      </c>
      <c r="F250" s="21">
        <f>'MID Term 1'!L247+'MID Term 2'!F247</f>
        <v/>
      </c>
      <c r="G250" s="21">
        <f>'MID Term 1'!P247+'MID Term 2'!J247</f>
        <v/>
      </c>
      <c r="H250" s="21">
        <f>'MID Term 1'!Q247+'MID Term 2'!N247</f>
        <v/>
      </c>
      <c r="I250" s="23">
        <f>IF((D250/$D$8)&gt;=$I$8,1,0)</f>
        <v/>
      </c>
      <c r="J250" s="23">
        <f>IF((E250/$E$8)&gt;=$J$8,1,0)</f>
        <v/>
      </c>
      <c r="K250" s="23">
        <f>IF((F250/$F$8)&gt;=$K$8,1,0)</f>
        <v/>
      </c>
      <c r="L250" s="23">
        <f>IF((G250/$G$8)&gt;=$L$8,1,0)</f>
        <v/>
      </c>
      <c r="M250" s="23">
        <f>IF((H250/$H$8)&gt;=$M$8,1,0)</f>
        <v/>
      </c>
      <c r="N250" s="21">
        <f>SUM(D250:H250)</f>
        <v/>
      </c>
      <c r="O250" s="23">
        <f>ROUND(N250/2,0)</f>
        <v/>
      </c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24" t="n"/>
    </row>
    <row r="251" ht="19.5" customHeight="1" s="93">
      <c r="A251" s="47" t="n">
        <v>242</v>
      </c>
      <c r="B251" s="74">
        <f>'Sessional + End Term Assessment'!B286</f>
        <v/>
      </c>
      <c r="C251" s="74">
        <f>'Sessional + End Term Assessment'!C286</f>
        <v/>
      </c>
      <c r="D251" s="21">
        <f>'MID Term 1'!D248+'MID Term 2'!D248</f>
        <v/>
      </c>
      <c r="E251" s="21">
        <f>'MID Term 1'!H248+'MID Term 2'!E248</f>
        <v/>
      </c>
      <c r="F251" s="21">
        <f>'MID Term 1'!L248+'MID Term 2'!F248</f>
        <v/>
      </c>
      <c r="G251" s="21">
        <f>'MID Term 1'!P248+'MID Term 2'!J248</f>
        <v/>
      </c>
      <c r="H251" s="21">
        <f>'MID Term 1'!Q248+'MID Term 2'!N248</f>
        <v/>
      </c>
      <c r="I251" s="23">
        <f>IF((D251/$D$8)&gt;=$I$8,1,0)</f>
        <v/>
      </c>
      <c r="J251" s="23">
        <f>IF((E251/$E$8)&gt;=$J$8,1,0)</f>
        <v/>
      </c>
      <c r="K251" s="23">
        <f>IF((F251/$F$8)&gt;=$K$8,1,0)</f>
        <v/>
      </c>
      <c r="L251" s="23">
        <f>IF((G251/$G$8)&gt;=$L$8,1,0)</f>
        <v/>
      </c>
      <c r="M251" s="23">
        <f>IF((H251/$H$8)&gt;=$M$8,1,0)</f>
        <v/>
      </c>
      <c r="N251" s="21">
        <f>SUM(D251:H251)</f>
        <v/>
      </c>
      <c r="O251" s="23">
        <f>ROUND(N251/2,0)</f>
        <v/>
      </c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24" t="n"/>
    </row>
    <row r="252" ht="19.5" customHeight="1" s="93">
      <c r="A252" s="47" t="n">
        <v>243</v>
      </c>
      <c r="B252" s="74">
        <f>'Sessional + End Term Assessment'!B287</f>
        <v/>
      </c>
      <c r="C252" s="74">
        <f>'Sessional + End Term Assessment'!C287</f>
        <v/>
      </c>
      <c r="D252" s="21">
        <f>'MID Term 1'!D249+'MID Term 2'!D249</f>
        <v/>
      </c>
      <c r="E252" s="21">
        <f>'MID Term 1'!H249+'MID Term 2'!E249</f>
        <v/>
      </c>
      <c r="F252" s="21">
        <f>'MID Term 1'!L249+'MID Term 2'!F249</f>
        <v/>
      </c>
      <c r="G252" s="21">
        <f>'MID Term 1'!P249+'MID Term 2'!J249</f>
        <v/>
      </c>
      <c r="H252" s="21">
        <f>'MID Term 1'!Q249+'MID Term 2'!N249</f>
        <v/>
      </c>
      <c r="I252" s="23">
        <f>IF((D252/$D$8)&gt;=$I$8,1,0)</f>
        <v/>
      </c>
      <c r="J252" s="23">
        <f>IF((E252/$E$8)&gt;=$J$8,1,0)</f>
        <v/>
      </c>
      <c r="K252" s="23">
        <f>IF((F252/$F$8)&gt;=$K$8,1,0)</f>
        <v/>
      </c>
      <c r="L252" s="23">
        <f>IF((G252/$G$8)&gt;=$L$8,1,0)</f>
        <v/>
      </c>
      <c r="M252" s="23">
        <f>IF((H252/$H$8)&gt;=$M$8,1,0)</f>
        <v/>
      </c>
      <c r="N252" s="21">
        <f>SUM(D252:H252)</f>
        <v/>
      </c>
      <c r="O252" s="23">
        <f>ROUND(N252/2,0)</f>
        <v/>
      </c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24" t="n"/>
    </row>
    <row r="253" ht="19.5" customHeight="1" s="93">
      <c r="A253" s="47" t="n">
        <v>244</v>
      </c>
      <c r="B253" s="74">
        <f>'Sessional + End Term Assessment'!B288</f>
        <v/>
      </c>
      <c r="C253" s="74">
        <f>'Sessional + End Term Assessment'!C288</f>
        <v/>
      </c>
      <c r="D253" s="21">
        <f>'MID Term 1'!D250+'MID Term 2'!D250</f>
        <v/>
      </c>
      <c r="E253" s="21">
        <f>'MID Term 1'!H250+'MID Term 2'!E250</f>
        <v/>
      </c>
      <c r="F253" s="21">
        <f>'MID Term 1'!L250+'MID Term 2'!F250</f>
        <v/>
      </c>
      <c r="G253" s="21">
        <f>'MID Term 1'!P250+'MID Term 2'!J250</f>
        <v/>
      </c>
      <c r="H253" s="21">
        <f>'MID Term 1'!Q250+'MID Term 2'!N250</f>
        <v/>
      </c>
      <c r="I253" s="23">
        <f>IF((D253/$D$8)&gt;=$I$8,1,0)</f>
        <v/>
      </c>
      <c r="J253" s="23">
        <f>IF((E253/$E$8)&gt;=$J$8,1,0)</f>
        <v/>
      </c>
      <c r="K253" s="23">
        <f>IF((F253/$F$8)&gt;=$K$8,1,0)</f>
        <v/>
      </c>
      <c r="L253" s="23">
        <f>IF((G253/$G$8)&gt;=$L$8,1,0)</f>
        <v/>
      </c>
      <c r="M253" s="23">
        <f>IF((H253/$H$8)&gt;=$M$8,1,0)</f>
        <v/>
      </c>
      <c r="N253" s="21">
        <f>SUM(D253:H253)</f>
        <v/>
      </c>
      <c r="O253" s="23">
        <f>ROUND(N253/2,0)</f>
        <v/>
      </c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24" t="n"/>
    </row>
    <row r="254" ht="19.5" customHeight="1" s="93">
      <c r="A254" s="47" t="n">
        <v>245</v>
      </c>
      <c r="B254" s="74">
        <f>'Sessional + End Term Assessment'!B289</f>
        <v/>
      </c>
      <c r="C254" s="74">
        <f>'Sessional + End Term Assessment'!C289</f>
        <v/>
      </c>
      <c r="D254" s="21">
        <f>'MID Term 1'!D251+'MID Term 2'!D251</f>
        <v/>
      </c>
      <c r="E254" s="21">
        <f>'MID Term 1'!H251+'MID Term 2'!E251</f>
        <v/>
      </c>
      <c r="F254" s="21">
        <f>'MID Term 1'!L251+'MID Term 2'!F251</f>
        <v/>
      </c>
      <c r="G254" s="21">
        <f>'MID Term 1'!P251+'MID Term 2'!J251</f>
        <v/>
      </c>
      <c r="H254" s="21">
        <f>'MID Term 1'!Q251+'MID Term 2'!N251</f>
        <v/>
      </c>
      <c r="I254" s="23">
        <f>IF((D254/$D$8)&gt;=$I$8,1,0)</f>
        <v/>
      </c>
      <c r="J254" s="23">
        <f>IF((E254/$E$8)&gt;=$J$8,1,0)</f>
        <v/>
      </c>
      <c r="K254" s="23">
        <f>IF((F254/$F$8)&gt;=$K$8,1,0)</f>
        <v/>
      </c>
      <c r="L254" s="23">
        <f>IF((G254/$G$8)&gt;=$L$8,1,0)</f>
        <v/>
      </c>
      <c r="M254" s="23">
        <f>IF((H254/$H$8)&gt;=$M$8,1,0)</f>
        <v/>
      </c>
      <c r="N254" s="21">
        <f>SUM(D254:H254)</f>
        <v/>
      </c>
      <c r="O254" s="23">
        <f>ROUND(N254/2,0)</f>
        <v/>
      </c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24" t="n"/>
    </row>
    <row r="255" ht="19.5" customHeight="1" s="93">
      <c r="A255" s="47" t="n">
        <v>246</v>
      </c>
      <c r="B255" s="74">
        <f>'Sessional + End Term Assessment'!B290</f>
        <v/>
      </c>
      <c r="C255" s="74">
        <f>'Sessional + End Term Assessment'!C290</f>
        <v/>
      </c>
      <c r="D255" s="21">
        <f>'MID Term 1'!D252+'MID Term 2'!D252</f>
        <v/>
      </c>
      <c r="E255" s="21">
        <f>'MID Term 1'!H252+'MID Term 2'!E252</f>
        <v/>
      </c>
      <c r="F255" s="21">
        <f>'MID Term 1'!L252+'MID Term 2'!F252</f>
        <v/>
      </c>
      <c r="G255" s="21">
        <f>'MID Term 1'!P252+'MID Term 2'!J252</f>
        <v/>
      </c>
      <c r="H255" s="21">
        <f>'MID Term 1'!Q252+'MID Term 2'!N252</f>
        <v/>
      </c>
      <c r="I255" s="23">
        <f>IF((D255/$D$8)&gt;=$I$8,1,0)</f>
        <v/>
      </c>
      <c r="J255" s="23">
        <f>IF((E255/$E$8)&gt;=$J$8,1,0)</f>
        <v/>
      </c>
      <c r="K255" s="23">
        <f>IF((F255/$F$8)&gt;=$K$8,1,0)</f>
        <v/>
      </c>
      <c r="L255" s="23">
        <f>IF((G255/$G$8)&gt;=$L$8,1,0)</f>
        <v/>
      </c>
      <c r="M255" s="23">
        <f>IF((H255/$H$8)&gt;=$M$8,1,0)</f>
        <v/>
      </c>
      <c r="N255" s="21">
        <f>SUM(D255:H255)</f>
        <v/>
      </c>
      <c r="O255" s="23">
        <f>ROUND(N255/2,0)</f>
        <v/>
      </c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24" t="n"/>
    </row>
    <row r="256" ht="19.5" customHeight="1" s="93">
      <c r="A256" s="47" t="n">
        <v>247</v>
      </c>
      <c r="B256" s="74">
        <f>'Sessional + End Term Assessment'!B291</f>
        <v/>
      </c>
      <c r="C256" s="74">
        <f>'Sessional + End Term Assessment'!C291</f>
        <v/>
      </c>
      <c r="D256" s="21">
        <f>'MID Term 1'!D253+'MID Term 2'!D253</f>
        <v/>
      </c>
      <c r="E256" s="21">
        <f>'MID Term 1'!H253+'MID Term 2'!E253</f>
        <v/>
      </c>
      <c r="F256" s="21">
        <f>'MID Term 1'!L253+'MID Term 2'!F253</f>
        <v/>
      </c>
      <c r="G256" s="21">
        <f>'MID Term 1'!P253+'MID Term 2'!J253</f>
        <v/>
      </c>
      <c r="H256" s="21">
        <f>'MID Term 1'!Q253+'MID Term 2'!N253</f>
        <v/>
      </c>
      <c r="I256" s="23">
        <f>IF((D256/$D$8)&gt;=$I$8,1,0)</f>
        <v/>
      </c>
      <c r="J256" s="23">
        <f>IF((E256/$E$8)&gt;=$J$8,1,0)</f>
        <v/>
      </c>
      <c r="K256" s="23">
        <f>IF((F256/$F$8)&gt;=$K$8,1,0)</f>
        <v/>
      </c>
      <c r="L256" s="23">
        <f>IF((G256/$G$8)&gt;=$L$8,1,0)</f>
        <v/>
      </c>
      <c r="M256" s="23">
        <f>IF((H256/$H$8)&gt;=$M$8,1,0)</f>
        <v/>
      </c>
      <c r="N256" s="21">
        <f>SUM(D256:H256)</f>
        <v/>
      </c>
      <c r="O256" s="23">
        <f>ROUND(N256/2,0)</f>
        <v/>
      </c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24" t="n"/>
    </row>
    <row r="257" ht="19.5" customHeight="1" s="93">
      <c r="A257" s="47" t="n">
        <v>248</v>
      </c>
      <c r="B257" s="74">
        <f>'Sessional + End Term Assessment'!B292</f>
        <v/>
      </c>
      <c r="C257" s="74">
        <f>'Sessional + End Term Assessment'!C292</f>
        <v/>
      </c>
      <c r="D257" s="21">
        <f>'MID Term 1'!D254+'MID Term 2'!D254</f>
        <v/>
      </c>
      <c r="E257" s="21">
        <f>'MID Term 1'!H254+'MID Term 2'!E254</f>
        <v/>
      </c>
      <c r="F257" s="21">
        <f>'MID Term 1'!L254+'MID Term 2'!F254</f>
        <v/>
      </c>
      <c r="G257" s="21">
        <f>'MID Term 1'!P254+'MID Term 2'!J254</f>
        <v/>
      </c>
      <c r="H257" s="21">
        <f>'MID Term 1'!Q254+'MID Term 2'!N254</f>
        <v/>
      </c>
      <c r="I257" s="23">
        <f>IF((D257/$D$8)&gt;=$I$8,1,0)</f>
        <v/>
      </c>
      <c r="J257" s="23">
        <f>IF((E257/$E$8)&gt;=$J$8,1,0)</f>
        <v/>
      </c>
      <c r="K257" s="23">
        <f>IF((F257/$F$8)&gt;=$K$8,1,0)</f>
        <v/>
      </c>
      <c r="L257" s="23">
        <f>IF((G257/$G$8)&gt;=$L$8,1,0)</f>
        <v/>
      </c>
      <c r="M257" s="23">
        <f>IF((H257/$H$8)&gt;=$M$8,1,0)</f>
        <v/>
      </c>
      <c r="N257" s="21">
        <f>SUM(D257:H257)</f>
        <v/>
      </c>
      <c r="O257" s="23">
        <f>ROUND(N257/2,0)</f>
        <v/>
      </c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24" t="n"/>
    </row>
    <row r="258" ht="19.5" customHeight="1" s="93">
      <c r="A258" s="47" t="n">
        <v>249</v>
      </c>
      <c r="B258" s="74">
        <f>'Sessional + End Term Assessment'!B293</f>
        <v/>
      </c>
      <c r="C258" s="74">
        <f>'Sessional + End Term Assessment'!C293</f>
        <v/>
      </c>
      <c r="D258" s="21">
        <f>'MID Term 1'!D255+'MID Term 2'!D255</f>
        <v/>
      </c>
      <c r="E258" s="21">
        <f>'MID Term 1'!H255+'MID Term 2'!E255</f>
        <v/>
      </c>
      <c r="F258" s="21">
        <f>'MID Term 1'!L255+'MID Term 2'!F255</f>
        <v/>
      </c>
      <c r="G258" s="21">
        <f>'MID Term 1'!P255+'MID Term 2'!J255</f>
        <v/>
      </c>
      <c r="H258" s="21">
        <f>'MID Term 1'!Q255+'MID Term 2'!N255</f>
        <v/>
      </c>
      <c r="I258" s="23">
        <f>IF((D258/$D$8)&gt;=$I$8,1,0)</f>
        <v/>
      </c>
      <c r="J258" s="23">
        <f>IF((E258/$E$8)&gt;=$J$8,1,0)</f>
        <v/>
      </c>
      <c r="K258" s="23">
        <f>IF((F258/$F$8)&gt;=$K$8,1,0)</f>
        <v/>
      </c>
      <c r="L258" s="23">
        <f>IF((G258/$G$8)&gt;=$L$8,1,0)</f>
        <v/>
      </c>
      <c r="M258" s="23">
        <f>IF((H258/$H$8)&gt;=$M$8,1,0)</f>
        <v/>
      </c>
      <c r="N258" s="21">
        <f>SUM(D258:H258)</f>
        <v/>
      </c>
      <c r="O258" s="23">
        <f>ROUND(N258/2,0)</f>
        <v/>
      </c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24" t="n"/>
    </row>
    <row r="259" ht="19.5" customHeight="1" s="93">
      <c r="A259" s="15" t="n"/>
      <c r="B259" s="15" t="n"/>
      <c r="C259" s="15" t="inlineStr">
        <is>
          <t>Total No. of Students</t>
        </is>
      </c>
      <c r="D259" s="55" t="n">
        <v>249</v>
      </c>
      <c r="E259" s="55" t="n">
        <v>249</v>
      </c>
      <c r="F259" s="55" t="n">
        <v>249</v>
      </c>
      <c r="G259" s="55" t="n">
        <v>249</v>
      </c>
      <c r="H259" s="55" t="n">
        <v>249</v>
      </c>
      <c r="I259" s="55">
        <f>SUM(I10:I258)</f>
        <v/>
      </c>
      <c r="J259" s="55">
        <f>SUM(J10:J258)</f>
        <v/>
      </c>
      <c r="K259" s="55">
        <f>SUM(K10:K258)</f>
        <v/>
      </c>
      <c r="L259" s="55">
        <f>SUM(L10:L258)</f>
        <v/>
      </c>
      <c r="M259" s="55">
        <f>SUM(M10:M258)</f>
        <v/>
      </c>
      <c r="N259" s="55" t="n"/>
      <c r="O259" s="55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9.5" customHeight="1" s="93">
      <c r="A260" s="140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60" s="131" t="n"/>
      <c r="C260" s="131" t="n"/>
      <c r="D260" s="131" t="n"/>
      <c r="E260" s="131" t="n"/>
      <c r="F260" s="131" t="n"/>
      <c r="G260" s="131" t="n"/>
      <c r="H260" s="131" t="n"/>
      <c r="I260" s="131" t="n"/>
      <c r="J260" s="131" t="n"/>
      <c r="K260" s="131" t="n"/>
      <c r="L260" s="131" t="n"/>
      <c r="M260" s="131" t="n"/>
      <c r="N260" s="131" t="n"/>
      <c r="O260" s="13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9.5" customHeight="1" s="93">
      <c r="A261" s="133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9.5" customHeight="1" s="93">
      <c r="A262" s="133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9.5" customHeight="1" s="93">
      <c r="A263" s="135" t="n"/>
      <c r="B263" s="136" t="n"/>
      <c r="C263" s="136" t="n"/>
      <c r="D263" s="136" t="n"/>
      <c r="E263" s="136" t="n"/>
      <c r="F263" s="136" t="n"/>
      <c r="G263" s="136" t="n"/>
      <c r="H263" s="136" t="n"/>
      <c r="I263" s="136" t="n"/>
      <c r="J263" s="136" t="n"/>
      <c r="K263" s="136" t="n"/>
      <c r="L263" s="136" t="n"/>
      <c r="M263" s="136" t="n"/>
      <c r="N263" s="136" t="n"/>
      <c r="O263" s="136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5.75" customHeight="1" s="93">
      <c r="A264" s="33" t="inlineStr">
        <is>
          <t>CO Attainment Calculation</t>
        </is>
      </c>
      <c r="B264" s="128" t="n"/>
      <c r="C264" s="129" t="n"/>
      <c r="D264" s="32" t="inlineStr">
        <is>
          <t>% of students get &gt;= Target %</t>
        </is>
      </c>
      <c r="E264" s="32" t="inlineStr">
        <is>
          <t>CO Attainment Level</t>
        </is>
      </c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9.5" customHeight="1" s="93">
      <c r="A265" s="33" t="inlineStr">
        <is>
          <t>No. of Students Attained CO23CS201.1</t>
        </is>
      </c>
      <c r="B265" s="128" t="n"/>
      <c r="C265" s="129" t="n"/>
      <c r="D265" s="33">
        <f>ROUND((I259/D259*100),0)</f>
        <v/>
      </c>
      <c r="E265" s="32">
        <f>IF(D265&gt;100,"ERROR",IF(D265&gt;=61,3,IF(D265&gt;=46,2,IF(D265&gt;=16,1,IF(D265&gt;15,0,0)))))</f>
        <v/>
      </c>
      <c r="F265" s="33">
        <f>E265*0.2</f>
        <v/>
      </c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9.5" customHeight="1" s="93">
      <c r="A266" s="33" t="inlineStr">
        <is>
          <t>No. of Students Attained CO23CS201.2</t>
        </is>
      </c>
      <c r="B266" s="128" t="n"/>
      <c r="C266" s="129" t="n"/>
      <c r="D266" s="33">
        <f>ROUND((J259/E259*100),0)</f>
        <v/>
      </c>
      <c r="E266" s="32">
        <f>IF(D266&gt;100,"ERROR",IF(D266&gt;=61,3,IF(D266&gt;=46,2,IF(D266&gt;=16,1,IF(D266&gt;15,0,0)))))</f>
        <v/>
      </c>
      <c r="F266" s="33">
        <f>E266*0.2</f>
        <v/>
      </c>
      <c r="G266" s="33" t="n"/>
      <c r="H266" s="141" t="inlineStr">
        <is>
          <t>CO Achieved</t>
        </is>
      </c>
      <c r="I266" s="142" t="n"/>
      <c r="J266" s="56">
        <f>SUM(F265:F269)</f>
        <v/>
      </c>
      <c r="K266" s="33" t="n"/>
      <c r="L266" s="33" t="n"/>
      <c r="M266" s="33" t="n"/>
      <c r="N266" s="33" t="n"/>
      <c r="O266" s="33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9.5" customHeight="1" s="93">
      <c r="A267" s="33" t="inlineStr">
        <is>
          <t>No. of Students Attained CO23CS201.3</t>
        </is>
      </c>
      <c r="B267" s="128" t="n"/>
      <c r="C267" s="129" t="n"/>
      <c r="D267" s="33">
        <f>ROUND((K259/F259*100),0)</f>
        <v/>
      </c>
      <c r="E267" s="32">
        <f>IF(D267&gt;100,"ERROR",IF(D267&gt;=61,3,IF(D267&gt;=46,2,IF(D267&gt;=16,1,IF(D267&gt;15,0,0)))))</f>
        <v/>
      </c>
      <c r="F267" s="33">
        <f>E267*0.2</f>
        <v/>
      </c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9.5" customHeight="1" s="93">
      <c r="A268" s="33" t="inlineStr">
        <is>
          <t>No. of Students Attained CO23CS201.4</t>
        </is>
      </c>
      <c r="B268" s="128" t="n"/>
      <c r="C268" s="129" t="n"/>
      <c r="D268" s="33">
        <f>ROUND((L259/G259*100),0)</f>
        <v/>
      </c>
      <c r="E268" s="32">
        <f>IF(D268&gt;100,"ERROR",IF(D268&gt;=61,3,IF(D268&gt;=46,2,IF(D268&gt;=16,1,IF(D268&gt;15,0,0)))))</f>
        <v/>
      </c>
      <c r="F268" s="33">
        <f>E268*0.2</f>
        <v/>
      </c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9.5" customHeight="1" s="93">
      <c r="A269" s="33" t="inlineStr">
        <is>
          <t>No. of Students Attained CO23CS201.5</t>
        </is>
      </c>
      <c r="B269" s="128" t="n"/>
      <c r="C269" s="129" t="n"/>
      <c r="D269" s="33">
        <f>ROUND((M259/H259*100),0)</f>
        <v/>
      </c>
      <c r="E269" s="32">
        <f>IF(D269&gt;100,"ERROR",IF(D269&gt;=61,3,IF(D269&gt;=46,2,IF(D269&gt;=16,1,IF(D269&gt;15,0,0)))))</f>
        <v/>
      </c>
      <c r="F269" s="33">
        <f>E269*0.2</f>
        <v/>
      </c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9.5" customHeight="1" s="93">
      <c r="A270" s="143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70" s="131" t="n"/>
      <c r="C270" s="131" t="n"/>
      <c r="D270" s="131" t="n"/>
      <c r="E270" s="131" t="n"/>
      <c r="F270" s="131" t="n"/>
      <c r="G270" s="131" t="n"/>
      <c r="H270" s="132" t="n"/>
      <c r="I270" s="140" t="inlineStr">
        <is>
          <t>Signature Subject Teacher:</t>
        </is>
      </c>
      <c r="J270" s="131" t="n"/>
      <c r="K270" s="131" t="n"/>
      <c r="L270" s="131" t="n"/>
      <c r="M270" s="131" t="n"/>
      <c r="N270" s="131" t="n"/>
      <c r="O270" s="13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9.5" customHeight="1" s="93">
      <c r="A271" s="133" t="n"/>
      <c r="H271" s="134" t="n"/>
      <c r="I271" s="133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9.5" customHeight="1" s="93">
      <c r="A272" s="133" t="n"/>
      <c r="H272" s="134" t="n"/>
      <c r="I272" s="133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9.5" customHeight="1" s="93">
      <c r="A273" s="135" t="n"/>
      <c r="B273" s="136" t="n"/>
      <c r="C273" s="136" t="n"/>
      <c r="D273" s="136" t="n"/>
      <c r="E273" s="136" t="n"/>
      <c r="F273" s="136" t="n"/>
      <c r="G273" s="136" t="n"/>
      <c r="H273" s="137" t="n"/>
      <c r="I273" s="135" t="n"/>
      <c r="J273" s="136" t="n"/>
      <c r="K273" s="136" t="n"/>
      <c r="L273" s="136" t="n"/>
      <c r="M273" s="136" t="n"/>
      <c r="N273" s="136" t="n"/>
      <c r="O273" s="136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5.75" customHeight="1" s="93">
      <c r="C274" s="50" t="n"/>
    </row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  <row r="1001" ht="15.75" customHeight="1" s="93"/>
    <row r="1002" ht="15.75" customHeight="1" s="93"/>
    <row r="1003" ht="15.75" customHeight="1" s="93"/>
    <row r="1004" ht="15.75" customHeight="1" s="93"/>
    <row r="1005" ht="15.75" customHeight="1" s="93"/>
    <row r="1006" ht="15.75" customHeight="1" s="93"/>
    <row r="1007" ht="15.75" customHeight="1" s="93"/>
    <row r="1008" ht="15.75" customHeight="1" s="93"/>
    <row r="1009" ht="15.75" customHeight="1" s="93"/>
    <row r="1010" ht="15.75" customHeight="1" s="93"/>
    <row r="1011" ht="15.75" customHeight="1" s="93"/>
    <row r="1012" ht="15.75" customHeight="1" s="93"/>
    <row r="1013" ht="15.75" customHeight="1" s="93"/>
    <row r="1014" ht="15.75" customHeight="1" s="93"/>
    <row r="1015" ht="15.75" customHeight="1" s="93"/>
    <row r="1016" ht="15.75" customHeight="1" s="93"/>
    <row r="1017" ht="15.75" customHeight="1" s="93"/>
    <row r="1018" ht="15.75" customHeight="1" s="93"/>
    <row r="1019" ht="15.75" customHeight="1" s="93"/>
    <row r="1020" ht="15.75" customHeight="1" s="93"/>
    <row r="1021" ht="15.75" customHeight="1" s="93"/>
    <row r="1022" ht="15.75" customHeight="1" s="93"/>
    <row r="1023" ht="15.75" customHeight="1" s="93"/>
    <row r="1024" ht="15.75" customHeight="1" s="93"/>
    <row r="1025" ht="15.75" customHeight="1" s="93"/>
    <row r="1026" ht="15.75" customHeight="1" s="93"/>
    <row r="1027" ht="15.75" customHeight="1" s="93"/>
    <row r="1028" ht="15.75" customHeight="1" s="93"/>
    <row r="1029" ht="15.75" customHeight="1" s="93"/>
    <row r="1030" ht="15.75" customHeight="1" s="93"/>
    <row r="1031" ht="15.75" customHeight="1" s="93"/>
    <row r="1032" ht="15.75" customHeight="1" s="93"/>
    <row r="1033" ht="15.75" customHeight="1" s="93"/>
    <row r="1034" ht="15.75" customHeight="1" s="93"/>
    <row r="1035" ht="15.75" customHeight="1" s="93"/>
    <row r="1036" ht="15.75" customHeight="1" s="93"/>
    <row r="1037" ht="15.75" customHeight="1" s="93"/>
    <row r="1038" ht="15.75" customHeight="1" s="93"/>
    <row r="1039" ht="15.75" customHeight="1" s="93"/>
    <row r="1040" ht="15.75" customHeight="1" s="93"/>
    <row r="1041" ht="15.75" customHeight="1" s="93"/>
    <row r="1042" ht="15.75" customHeight="1" s="93"/>
    <row r="1043" ht="15.75" customHeight="1" s="93"/>
    <row r="1044" ht="15.75" customHeight="1" s="93"/>
    <row r="1045" ht="15.75" customHeight="1" s="93"/>
    <row r="1046" ht="15.75" customHeight="1" s="93"/>
    <row r="1047" ht="15.75" customHeight="1" s="93"/>
    <row r="1048" ht="15.75" customHeight="1" s="93"/>
    <row r="1049" ht="15.75" customHeight="1" s="93"/>
    <row r="1050" ht="15.75" customHeight="1" s="93"/>
    <row r="1051" ht="15.75" customHeight="1" s="93"/>
    <row r="1052" ht="15.75" customHeight="1" s="93"/>
    <row r="1053" ht="15.75" customHeight="1" s="93"/>
    <row r="1054" ht="15.75" customHeight="1" s="93"/>
    <row r="1055" ht="15.75" customHeight="1" s="93"/>
    <row r="1056" ht="15.75" customHeight="1" s="93"/>
    <row r="1057" ht="15.75" customHeight="1" s="93"/>
    <row r="1058" ht="15.75" customHeight="1" s="93"/>
    <row r="1059" ht="15.75" customHeight="1" s="93"/>
    <row r="1060" ht="15.75" customHeight="1" s="93"/>
    <row r="1061" ht="15.75" customHeight="1" s="93"/>
    <row r="1062" ht="15.75" customHeight="1" s="93"/>
    <row r="1063" ht="15.75" customHeight="1" s="93"/>
    <row r="1064" ht="15.75" customHeight="1" s="93"/>
    <row r="1065" ht="15.75" customHeight="1" s="93"/>
    <row r="1066" ht="15.75" customHeight="1" s="93"/>
    <row r="1067" ht="15.75" customHeight="1" s="93"/>
    <row r="1068" ht="15.75" customHeight="1" s="93"/>
    <row r="1069" ht="15.75" customHeight="1" s="93"/>
    <row r="1070" ht="15.75" customHeight="1" s="93"/>
    <row r="1071" ht="15.75" customHeight="1" s="93"/>
  </sheetData>
  <mergeCells count="37">
    <mergeCell ref="E5:E6"/>
    <mergeCell ref="A268:C268"/>
    <mergeCell ref="A264:C264"/>
    <mergeCell ref="J6:J7"/>
    <mergeCell ref="A267:C267"/>
    <mergeCell ref="F5:F6"/>
    <mergeCell ref="A3:O3"/>
    <mergeCell ref="A2:O2"/>
    <mergeCell ref="A269:C269"/>
    <mergeCell ref="L8:L9"/>
    <mergeCell ref="N8:N9"/>
    <mergeCell ref="M6:M7"/>
    <mergeCell ref="A260:O263"/>
    <mergeCell ref="H266:I266"/>
    <mergeCell ref="A4:O4"/>
    <mergeCell ref="A265:C265"/>
    <mergeCell ref="G5:G6"/>
    <mergeCell ref="I8:I9"/>
    <mergeCell ref="K8:K9"/>
    <mergeCell ref="A270:H273"/>
    <mergeCell ref="M8:M9"/>
    <mergeCell ref="O8:O9"/>
    <mergeCell ref="A9:C9"/>
    <mergeCell ref="L6:L7"/>
    <mergeCell ref="A5:A8"/>
    <mergeCell ref="I5:M5"/>
    <mergeCell ref="O5:O7"/>
    <mergeCell ref="A266:C266"/>
    <mergeCell ref="D5:D6"/>
    <mergeCell ref="B5:B8"/>
    <mergeCell ref="H5:H6"/>
    <mergeCell ref="N5:N7"/>
    <mergeCell ref="J8:J9"/>
    <mergeCell ref="I6:I7"/>
    <mergeCell ref="A1:O1"/>
    <mergeCell ref="K6:K7"/>
    <mergeCell ref="I270:O273"/>
  </mergeCells>
  <conditionalFormatting sqref="D10:H259 N10:O259">
    <cfRule type="containsText" priority="2" operator="containsText" dxfId="1" text="AB">
      <formula>NOT(ISERROR(SEARCH(("AB"),(D10))))</formula>
    </cfRule>
  </conditionalFormatting>
  <conditionalFormatting sqref="I10:M259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3" min="1" max="1"/>
    <col width="7.69921875" customWidth="1" style="93" min="2" max="26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9" t="n"/>
    </row>
    <row r="2" ht="19.5" customHeight="1" s="93">
      <c r="A2" s="15" t="inlineStr">
        <is>
          <t>CO to PO &amp; PSO Attainment Through Sessional Assessment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9" t="n"/>
    </row>
    <row r="3" ht="19.5" customHeight="1" s="93">
      <c r="A3" s="15">
        <f>'CO-PO Mapping'!A3:P3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9" t="n"/>
    </row>
    <row r="4" ht="19.5" customHeight="1" s="93">
      <c r="A4" s="15">
        <f>'CO-PO Mapping'!A4:P4</f>
        <v/>
      </c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9" t="n"/>
    </row>
    <row r="5" ht="31.2" customHeight="1" s="93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3">
      <c r="A6" s="12" t="inlineStr">
        <is>
          <t>CO23CS201.1</t>
        </is>
      </c>
      <c r="B6" s="23">
        <f>'Attainment Sheet Sessional'!E265*'CO-PO Mapping'!B6/3</f>
        <v/>
      </c>
      <c r="C6" s="23">
        <f>'Attainment Sheet Sessional'!E265*'CO-PO Mapping'!C6/3</f>
        <v/>
      </c>
      <c r="D6" s="23">
        <f>'Attainment Sheet Sessional'!$E265*'CO-PO Mapping'!D6/3</f>
        <v/>
      </c>
      <c r="E6" s="23">
        <f>'Attainment Sheet Sessional'!$E265*'CO-PO Mapping'!E6/3</f>
        <v/>
      </c>
      <c r="F6" s="23">
        <f>'Attainment Sheet Sessional'!$E265*'CO-PO Mapping'!F6/3</f>
        <v/>
      </c>
      <c r="G6" s="23">
        <f>'Attainment Sheet Sessional'!$E265*'CO-PO Mapping'!G6/3</f>
        <v/>
      </c>
      <c r="H6" s="23">
        <f>'Attainment Sheet Sessional'!$E265*'CO-PO Mapping'!H6/3</f>
        <v/>
      </c>
      <c r="I6" s="23">
        <f>'Attainment Sheet Sessional'!$E265*'CO-PO Mapping'!I6/3</f>
        <v/>
      </c>
      <c r="J6" s="23">
        <f>'Attainment Sheet Sessional'!$E265*'CO-PO Mapping'!J6/3</f>
        <v/>
      </c>
      <c r="K6" s="23">
        <f>'Attainment Sheet Sessional'!$E265*'CO-PO Mapping'!K6/3</f>
        <v/>
      </c>
      <c r="L6" s="23">
        <f>'Attainment Sheet Sessional'!$E265*'CO-PO Mapping'!L6/3</f>
        <v/>
      </c>
      <c r="M6" s="23">
        <f>'Attainment Sheet Sessional'!$E265*'CO-PO Mapping'!M6/3</f>
        <v/>
      </c>
      <c r="N6" s="23">
        <f>'Attainment Sheet Sessional'!$E265*'CO-PO Mapping'!N6/3</f>
        <v/>
      </c>
      <c r="O6" s="23">
        <f>'Attainment Sheet Sessional'!$E265*'CO-PO Mapping'!O6/3</f>
        <v/>
      </c>
      <c r="P6" s="23">
        <f>'Attainment Sheet Sessional'!$E265*'CO-PO Mapping'!P6/3</f>
        <v/>
      </c>
    </row>
    <row r="7" ht="19.5" customHeight="1" s="93">
      <c r="A7" s="12" t="inlineStr">
        <is>
          <t>CO23CS201.2</t>
        </is>
      </c>
      <c r="B7" s="23">
        <f>'Attainment Sheet Sessional'!E266*'CO-PO Mapping'!B7/3</f>
        <v/>
      </c>
      <c r="C7" s="23">
        <f>'Attainment Sheet Sessional'!E266*'CO-PO Mapping'!C7/3</f>
        <v/>
      </c>
      <c r="D7" s="23">
        <f>'Attainment Sheet Sessional'!$E266*'CO-PO Mapping'!D7/3</f>
        <v/>
      </c>
      <c r="E7" s="23">
        <f>'Attainment Sheet Sessional'!$E266*'CO-PO Mapping'!E7/3</f>
        <v/>
      </c>
      <c r="F7" s="23">
        <f>'Attainment Sheet Sessional'!$E266*'CO-PO Mapping'!F7/3</f>
        <v/>
      </c>
      <c r="G7" s="23">
        <f>'Attainment Sheet Sessional'!$E266*'CO-PO Mapping'!G7/3</f>
        <v/>
      </c>
      <c r="H7" s="23">
        <f>'Attainment Sheet Sessional'!$E266*'CO-PO Mapping'!H7/3</f>
        <v/>
      </c>
      <c r="I7" s="23">
        <f>'Attainment Sheet Sessional'!$E266*'CO-PO Mapping'!I7/3</f>
        <v/>
      </c>
      <c r="J7" s="23">
        <f>'Attainment Sheet Sessional'!$E266*'CO-PO Mapping'!J7/3</f>
        <v/>
      </c>
      <c r="K7" s="23">
        <f>'Attainment Sheet Sessional'!$E266*'CO-PO Mapping'!K7/3</f>
        <v/>
      </c>
      <c r="L7" s="23">
        <f>'Attainment Sheet Sessional'!$E266*'CO-PO Mapping'!L7/3</f>
        <v/>
      </c>
      <c r="M7" s="23">
        <f>'Attainment Sheet Sessional'!$E266*'CO-PO Mapping'!M7/3</f>
        <v/>
      </c>
      <c r="N7" s="23">
        <f>'Attainment Sheet Sessional'!$E266*'CO-PO Mapping'!N7/3</f>
        <v/>
      </c>
      <c r="O7" s="23">
        <f>'Attainment Sheet Sessional'!$E266*'CO-PO Mapping'!O7/3</f>
        <v/>
      </c>
      <c r="P7" s="23">
        <f>'Attainment Sheet Sessional'!$E266*'CO-PO Mapping'!P7/3</f>
        <v/>
      </c>
    </row>
    <row r="8" ht="19.5" customHeight="1" s="93">
      <c r="A8" s="12" t="inlineStr">
        <is>
          <t>CO23CS201.3</t>
        </is>
      </c>
      <c r="B8" s="23">
        <f>'Attainment Sheet Sessional'!E267*'CO-PO Mapping'!B8/3</f>
        <v/>
      </c>
      <c r="C8" s="23">
        <f>'Attainment Sheet Sessional'!E267*'CO-PO Mapping'!C8/3</f>
        <v/>
      </c>
      <c r="D8" s="23">
        <f>'Attainment Sheet Sessional'!$E267*'CO-PO Mapping'!D8/3</f>
        <v/>
      </c>
      <c r="E8" s="23">
        <f>'Attainment Sheet Sessional'!$E267*'CO-PO Mapping'!E8/3</f>
        <v/>
      </c>
      <c r="F8" s="23">
        <f>'Attainment Sheet Sessional'!$E267*'CO-PO Mapping'!F8/3</f>
        <v/>
      </c>
      <c r="G8" s="23">
        <f>'Attainment Sheet Sessional'!$E267*'CO-PO Mapping'!G8/3</f>
        <v/>
      </c>
      <c r="H8" s="23">
        <f>'Attainment Sheet Sessional'!$E267*'CO-PO Mapping'!H8/3</f>
        <v/>
      </c>
      <c r="I8" s="23">
        <f>'Attainment Sheet Sessional'!$E267*'CO-PO Mapping'!I8/3</f>
        <v/>
      </c>
      <c r="J8" s="23">
        <f>'Attainment Sheet Sessional'!$E267*'CO-PO Mapping'!J8/3</f>
        <v/>
      </c>
      <c r="K8" s="23">
        <f>'Attainment Sheet Sessional'!$E267*'CO-PO Mapping'!K8/3</f>
        <v/>
      </c>
      <c r="L8" s="23">
        <f>'Attainment Sheet Sessional'!$E267*'CO-PO Mapping'!L8/3</f>
        <v/>
      </c>
      <c r="M8" s="23">
        <f>'Attainment Sheet Sessional'!$E267*'CO-PO Mapping'!M8/3</f>
        <v/>
      </c>
      <c r="N8" s="23">
        <f>'Attainment Sheet Sessional'!$E267*'CO-PO Mapping'!N8/3</f>
        <v/>
      </c>
      <c r="O8" s="23">
        <f>'Attainment Sheet Sessional'!$E267*'CO-PO Mapping'!O8/3</f>
        <v/>
      </c>
      <c r="P8" s="23">
        <f>'Attainment Sheet Sessional'!$E267*'CO-PO Mapping'!P8/3</f>
        <v/>
      </c>
    </row>
    <row r="9" ht="19.5" customHeight="1" s="93">
      <c r="A9" s="12" t="inlineStr">
        <is>
          <t>CO23CS201.4</t>
        </is>
      </c>
      <c r="B9" s="23">
        <f>'Attainment Sheet Sessional'!E268*'CO-PO Mapping'!B9/3</f>
        <v/>
      </c>
      <c r="C9" s="23">
        <f>'Attainment Sheet Sessional'!E268*'CO-PO Mapping'!C9/3</f>
        <v/>
      </c>
      <c r="D9" s="23">
        <f>'Attainment Sheet Sessional'!$E268*'CO-PO Mapping'!D9/3</f>
        <v/>
      </c>
      <c r="E9" s="23">
        <f>'Attainment Sheet Sessional'!$E268*'CO-PO Mapping'!E9/3</f>
        <v/>
      </c>
      <c r="F9" s="23">
        <f>'Attainment Sheet Sessional'!$E268*'CO-PO Mapping'!F9/3</f>
        <v/>
      </c>
      <c r="G9" s="23">
        <f>'Attainment Sheet Sessional'!$E268*'CO-PO Mapping'!G9/3</f>
        <v/>
      </c>
      <c r="H9" s="23">
        <f>'Attainment Sheet Sessional'!$E268*'CO-PO Mapping'!H9/3</f>
        <v/>
      </c>
      <c r="I9" s="23">
        <f>'Attainment Sheet Sessional'!$E268*'CO-PO Mapping'!I9/3</f>
        <v/>
      </c>
      <c r="J9" s="23">
        <f>'Attainment Sheet Sessional'!$E268*'CO-PO Mapping'!J9/3</f>
        <v/>
      </c>
      <c r="K9" s="23">
        <f>'Attainment Sheet Sessional'!$E268*'CO-PO Mapping'!K9/3</f>
        <v/>
      </c>
      <c r="L9" s="23">
        <f>'Attainment Sheet Sessional'!$E268*'CO-PO Mapping'!L9/3</f>
        <v/>
      </c>
      <c r="M9" s="23">
        <f>'Attainment Sheet Sessional'!$E268*'CO-PO Mapping'!M9/3</f>
        <v/>
      </c>
      <c r="N9" s="23">
        <f>'Attainment Sheet Sessional'!$E268*'CO-PO Mapping'!N9/3</f>
        <v/>
      </c>
      <c r="O9" s="23">
        <f>'Attainment Sheet Sessional'!$E268*'CO-PO Mapping'!O9/3</f>
        <v/>
      </c>
      <c r="P9" s="23">
        <f>'Attainment Sheet Sessional'!$E268*'CO-PO Mapping'!P9/3</f>
        <v/>
      </c>
    </row>
    <row r="10" ht="19.5" customHeight="1" s="93">
      <c r="A10" s="12" t="inlineStr">
        <is>
          <t>CO23CS201.5</t>
        </is>
      </c>
      <c r="B10" s="23">
        <f>'Attainment Sheet Sessional'!E269*'CO-PO Mapping'!B10/3</f>
        <v/>
      </c>
      <c r="C10" s="23">
        <f>'Attainment Sheet Sessional'!E269*'CO-PO Mapping'!C10/3</f>
        <v/>
      </c>
      <c r="D10" s="23">
        <f>'Attainment Sheet Sessional'!$E269*'CO-PO Mapping'!D10/3</f>
        <v/>
      </c>
      <c r="E10" s="23">
        <f>'Attainment Sheet Sessional'!$E269*'CO-PO Mapping'!E10/3</f>
        <v/>
      </c>
      <c r="F10" s="23">
        <f>'Attainment Sheet Sessional'!$E269*'CO-PO Mapping'!F10/3</f>
        <v/>
      </c>
      <c r="G10" s="23">
        <f>'Attainment Sheet Sessional'!$E269*'CO-PO Mapping'!G10/3</f>
        <v/>
      </c>
      <c r="H10" s="23">
        <f>'Attainment Sheet Sessional'!$E269*'CO-PO Mapping'!H10/3</f>
        <v/>
      </c>
      <c r="I10" s="23">
        <f>'Attainment Sheet Sessional'!$E269*'CO-PO Mapping'!I10/3</f>
        <v/>
      </c>
      <c r="J10" s="23">
        <f>'Attainment Sheet Sessional'!$E269*'CO-PO Mapping'!J10/3</f>
        <v/>
      </c>
      <c r="K10" s="23">
        <f>'Attainment Sheet Sessional'!$E269*'CO-PO Mapping'!K10/3</f>
        <v/>
      </c>
      <c r="L10" s="23">
        <f>'Attainment Sheet Sessional'!$E269*'CO-PO Mapping'!L10/3</f>
        <v/>
      </c>
      <c r="M10" s="23">
        <f>'Attainment Sheet Sessional'!$E269*'CO-PO Mapping'!M10/3</f>
        <v/>
      </c>
      <c r="N10" s="23">
        <f>'Attainment Sheet Sessional'!$E269*'CO-PO Mapping'!N10/3</f>
        <v/>
      </c>
      <c r="O10" s="23">
        <f>'Attainment Sheet Sessional'!$E269*'CO-PO Mapping'!O10/3</f>
        <v/>
      </c>
      <c r="P10" s="23">
        <f>'Attainment Sheet Sessional'!$E269*'CO-PO Mapping'!P10/3</f>
        <v/>
      </c>
    </row>
    <row r="11" ht="19.5" customHeight="1" s="93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3">
      <c r="A12" s="33" t="inlineStr">
        <is>
          <t>Signature Subject Teacher</t>
        </is>
      </c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9" t="n"/>
      <c r="N12" s="33" t="n"/>
      <c r="O12" s="128" t="n"/>
      <c r="P12" s="129" t="n"/>
    </row>
    <row r="16" ht="15.6" customHeight="1" s="93">
      <c r="F16" s="1" t="n"/>
    </row>
    <row r="21" ht="15.75" customHeight="1" s="93"/>
    <row r="22" ht="15.75" customHeight="1" s="93"/>
    <row r="23" ht="15.75" customHeight="1" s="93"/>
    <row r="24" ht="15.75" customHeight="1" s="93"/>
    <row r="25" ht="15.75" customHeight="1" s="93"/>
    <row r="26" ht="15.75" customHeight="1" s="93"/>
    <row r="27" ht="15.75" customHeight="1" s="93"/>
    <row r="28" ht="15.75" customHeight="1" s="93"/>
    <row r="29" ht="15.75" customHeight="1" s="93"/>
    <row r="30" ht="15.75" customHeight="1" s="93"/>
    <row r="31" ht="15.75" customHeight="1" s="93"/>
    <row r="32" ht="15.75" customHeight="1" s="93"/>
    <row r="33" ht="15.75" customHeight="1" s="93"/>
    <row r="34" ht="15.75" customHeight="1" s="93"/>
    <row r="35" ht="15.75" customHeight="1" s="93"/>
    <row r="36" ht="15.75" customHeight="1" s="93"/>
    <row r="37" ht="15.75" customHeight="1" s="93"/>
    <row r="38" ht="15.75" customHeight="1" s="93"/>
    <row r="39" ht="15.75" customHeight="1" s="93"/>
    <row r="40" ht="15.75" customHeight="1" s="93"/>
    <row r="41" ht="15.75" customHeight="1" s="93"/>
    <row r="42" ht="15.75" customHeight="1" s="93"/>
    <row r="43" ht="15.75" customHeight="1" s="93"/>
    <row r="44" ht="15.75" customHeight="1" s="93"/>
    <row r="45" ht="15.75" customHeight="1" s="93"/>
    <row r="46" ht="15.75" customHeight="1" s="93"/>
    <row r="47" ht="15.75" customHeight="1" s="93"/>
    <row r="48" ht="15.75" customHeight="1" s="93"/>
    <row r="49" ht="15.75" customHeight="1" s="93"/>
    <row r="50" ht="15.75" customHeight="1" s="93"/>
    <row r="51" ht="15.75" customHeight="1" s="93"/>
    <row r="52" ht="15.75" customHeight="1" s="93"/>
    <row r="53" ht="15.75" customHeight="1" s="93"/>
    <row r="54" ht="15.75" customHeight="1" s="93"/>
    <row r="55" ht="15.75" customHeight="1" s="93"/>
    <row r="56" ht="15.75" customHeight="1" s="93"/>
    <row r="57" ht="15.75" customHeight="1" s="93"/>
    <row r="58" ht="15.75" customHeight="1" s="93"/>
    <row r="59" ht="15.75" customHeight="1" s="93"/>
    <row r="60" ht="15.75" customHeight="1" s="93"/>
    <row r="61" ht="15.75" customHeight="1" s="93"/>
    <row r="62" ht="15.75" customHeight="1" s="93"/>
    <row r="63" ht="15.75" customHeight="1" s="93"/>
    <row r="64" ht="15.75" customHeight="1" s="93"/>
    <row r="65" ht="15.75" customHeight="1" s="93"/>
    <row r="66" ht="15.75" customHeight="1" s="93"/>
    <row r="67" ht="15.75" customHeight="1" s="93"/>
    <row r="68" ht="15.75" customHeight="1" s="93"/>
    <row r="69" ht="15.75" customHeight="1" s="93"/>
    <row r="70" ht="15.75" customHeight="1" s="93"/>
    <row r="71" ht="15.75" customHeight="1" s="93"/>
    <row r="72" ht="15.75" customHeight="1" s="93"/>
    <row r="73" ht="15.75" customHeight="1" s="93"/>
    <row r="74" ht="15.75" customHeight="1" s="93"/>
    <row r="75" ht="15.75" customHeight="1" s="93"/>
    <row r="76" ht="15.75" customHeight="1" s="93"/>
    <row r="77" ht="15.75" customHeight="1" s="93"/>
    <row r="78" ht="15.75" customHeight="1" s="93"/>
    <row r="79" ht="15.75" customHeight="1" s="93"/>
    <row r="80" ht="15.75" customHeight="1" s="93"/>
    <row r="81" ht="15.75" customHeight="1" s="93"/>
    <row r="82" ht="15.75" customHeight="1" s="93"/>
    <row r="83" ht="15.75" customHeight="1" s="93"/>
    <row r="84" ht="15.75" customHeight="1" s="93"/>
    <row r="85" ht="15.75" customHeight="1" s="93"/>
    <row r="86" ht="15.75" customHeight="1" s="93"/>
    <row r="87" ht="15.75" customHeight="1" s="93"/>
    <row r="88" ht="15.75" customHeight="1" s="93"/>
    <row r="89" ht="15.75" customHeight="1" s="93"/>
    <row r="90" ht="15.75" customHeight="1" s="93"/>
    <row r="91" ht="15.75" customHeight="1" s="93"/>
    <row r="92" ht="15.75" customHeight="1" s="93"/>
    <row r="93" ht="15.75" customHeight="1" s="93"/>
    <row r="94" ht="15.75" customHeight="1" s="93"/>
    <row r="95" ht="15.75" customHeight="1" s="93"/>
    <row r="96" ht="15.75" customHeight="1" s="93"/>
    <row r="97" ht="15.75" customHeight="1" s="93"/>
    <row r="98" ht="15.75" customHeight="1" s="93"/>
    <row r="99" ht="15.75" customHeight="1" s="93"/>
    <row r="100" ht="15.75" customHeight="1" s="93"/>
    <row r="101" ht="15.75" customHeight="1" s="93"/>
    <row r="102" ht="15.75" customHeight="1" s="93"/>
    <row r="103" ht="15.75" customHeight="1" s="93"/>
    <row r="104" ht="15.75" customHeight="1" s="93"/>
    <row r="105" ht="15.75" customHeight="1" s="93"/>
    <row r="106" ht="15.75" customHeight="1" s="93"/>
    <row r="107" ht="15.75" customHeight="1" s="93"/>
    <row r="108" ht="15.75" customHeight="1" s="93"/>
    <row r="109" ht="15.75" customHeight="1" s="93"/>
    <row r="110" ht="15.75" customHeight="1" s="93"/>
    <row r="111" ht="15.75" customHeight="1" s="93"/>
    <row r="112" ht="15.75" customHeight="1" s="93"/>
    <row r="113" ht="15.75" customHeight="1" s="93"/>
    <row r="114" ht="15.75" customHeight="1" s="93"/>
    <row r="115" ht="15.75" customHeight="1" s="93"/>
    <row r="116" ht="15.75" customHeight="1" s="93"/>
    <row r="117" ht="15.75" customHeight="1" s="93"/>
    <row r="118" ht="15.75" customHeight="1" s="93"/>
    <row r="119" ht="15.75" customHeight="1" s="93"/>
    <row r="120" ht="15.75" customHeight="1" s="93"/>
    <row r="121" ht="15.75" customHeight="1" s="93"/>
    <row r="122" ht="15.75" customHeight="1" s="93"/>
    <row r="123" ht="15.75" customHeight="1" s="93"/>
    <row r="124" ht="15.75" customHeight="1" s="93"/>
    <row r="125" ht="15.75" customHeight="1" s="93"/>
    <row r="126" ht="15.75" customHeight="1" s="93"/>
    <row r="127" ht="15.75" customHeight="1" s="93"/>
    <row r="128" ht="15.75" customHeight="1" s="93"/>
    <row r="129" ht="15.75" customHeight="1" s="93"/>
    <row r="130" ht="15.75" customHeight="1" s="93"/>
    <row r="131" ht="15.75" customHeight="1" s="93"/>
    <row r="132" ht="15.75" customHeight="1" s="93"/>
    <row r="133" ht="15.75" customHeight="1" s="93"/>
    <row r="134" ht="15.75" customHeight="1" s="93"/>
    <row r="135" ht="15.75" customHeight="1" s="93"/>
    <row r="136" ht="15.75" customHeight="1" s="93"/>
    <row r="137" ht="15.75" customHeight="1" s="93"/>
    <row r="138" ht="15.75" customHeight="1" s="93"/>
    <row r="139" ht="15.75" customHeight="1" s="93"/>
    <row r="140" ht="15.75" customHeight="1" s="93"/>
    <row r="141" ht="15.75" customHeight="1" s="93"/>
    <row r="142" ht="15.75" customHeight="1" s="93"/>
    <row r="143" ht="15.75" customHeight="1" s="93"/>
    <row r="144" ht="15.75" customHeight="1" s="93"/>
    <row r="145" ht="15.75" customHeight="1" s="93"/>
    <row r="146" ht="15.75" customHeight="1" s="93"/>
    <row r="147" ht="15.75" customHeight="1" s="93"/>
    <row r="148" ht="15.75" customHeight="1" s="93"/>
    <row r="149" ht="15.75" customHeight="1" s="93"/>
    <row r="150" ht="15.75" customHeight="1" s="93"/>
    <row r="151" ht="15.75" customHeight="1" s="93"/>
    <row r="152" ht="15.75" customHeight="1" s="93"/>
    <row r="153" ht="15.75" customHeight="1" s="93"/>
    <row r="154" ht="15.75" customHeight="1" s="93"/>
    <row r="155" ht="15.75" customHeight="1" s="93"/>
    <row r="156" ht="15.75" customHeight="1" s="93"/>
    <row r="157" ht="15.75" customHeight="1" s="93"/>
    <row r="158" ht="15.75" customHeight="1" s="93"/>
    <row r="159" ht="15.75" customHeight="1" s="93"/>
    <row r="160" ht="15.75" customHeight="1" s="93"/>
    <row r="161" ht="15.75" customHeight="1" s="93"/>
    <row r="162" ht="15.75" customHeight="1" s="93"/>
    <row r="163" ht="15.75" customHeight="1" s="93"/>
    <row r="164" ht="15.75" customHeight="1" s="93"/>
    <row r="165" ht="15.75" customHeight="1" s="93"/>
    <row r="166" ht="15.75" customHeight="1" s="93"/>
    <row r="167" ht="15.75" customHeight="1" s="93"/>
    <row r="168" ht="15.75" customHeight="1" s="93"/>
    <row r="169" ht="15.75" customHeight="1" s="93"/>
    <row r="170" ht="15.75" customHeight="1" s="93"/>
    <row r="171" ht="15.75" customHeight="1" s="93"/>
    <row r="172" ht="15.75" customHeight="1" s="93"/>
    <row r="173" ht="15.75" customHeight="1" s="93"/>
    <row r="174" ht="15.75" customHeight="1" s="93"/>
    <row r="175" ht="15.75" customHeight="1" s="93"/>
    <row r="176" ht="15.75" customHeight="1" s="93"/>
    <row r="177" ht="15.75" customHeight="1" s="93"/>
    <row r="178" ht="15.75" customHeight="1" s="93"/>
    <row r="179" ht="15.75" customHeight="1" s="93"/>
    <row r="180" ht="15.75" customHeight="1" s="93"/>
    <row r="181" ht="15.75" customHeight="1" s="93"/>
    <row r="182" ht="15.75" customHeight="1" s="93"/>
    <row r="183" ht="15.75" customHeight="1" s="93"/>
    <row r="184" ht="15.75" customHeight="1" s="93"/>
    <row r="185" ht="15.75" customHeight="1" s="93"/>
    <row r="186" ht="15.75" customHeight="1" s="93"/>
    <row r="187" ht="15.75" customHeight="1" s="93"/>
    <row r="188" ht="15.75" customHeight="1" s="93"/>
    <row r="189" ht="15.75" customHeight="1" s="93"/>
    <row r="190" ht="15.75" customHeight="1" s="93"/>
    <row r="191" ht="15.75" customHeight="1" s="93"/>
    <row r="192" ht="15.75" customHeight="1" s="93"/>
    <row r="193" ht="15.75" customHeight="1" s="93"/>
    <row r="194" ht="15.75" customHeight="1" s="93"/>
    <row r="195" ht="15.75" customHeight="1" s="93"/>
    <row r="196" ht="15.75" customHeight="1" s="93"/>
    <row r="197" ht="15.75" customHeight="1" s="93"/>
    <row r="198" ht="15.75" customHeight="1" s="93"/>
    <row r="199" ht="15.75" customHeight="1" s="93"/>
    <row r="200" ht="15.75" customHeight="1" s="93"/>
    <row r="201" ht="15.75" customHeight="1" s="93"/>
    <row r="202" ht="15.75" customHeight="1" s="93"/>
    <row r="203" ht="15.75" customHeight="1" s="93"/>
    <row r="204" ht="15.75" customHeight="1" s="93"/>
    <row r="205" ht="15.75" customHeight="1" s="93"/>
    <row r="206" ht="15.75" customHeight="1" s="93"/>
    <row r="207" ht="15.75" customHeight="1" s="93"/>
    <row r="208" ht="15.75" customHeight="1" s="93"/>
    <row r="209" ht="15.75" customHeight="1" s="93"/>
    <row r="210" ht="15.75" customHeight="1" s="93"/>
    <row r="211" ht="15.75" customHeight="1" s="93"/>
    <row r="212" ht="15.75" customHeight="1" s="93"/>
    <row r="213" ht="15.75" customHeight="1" s="93"/>
    <row r="214" ht="15.75" customHeight="1" s="93"/>
    <row r="215" ht="15.75" customHeight="1" s="93"/>
    <row r="216" ht="15.75" customHeight="1" s="93"/>
    <row r="217" ht="15.75" customHeight="1" s="93"/>
    <row r="218" ht="15.75" customHeight="1" s="93"/>
    <row r="219" ht="15.75" customHeight="1" s="93"/>
    <row r="220" ht="15.75" customHeight="1" s="93"/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3" min="1" max="1"/>
    <col width="8" customWidth="1" style="93" min="2" max="16"/>
    <col width="7.69921875" customWidth="1" style="93" min="17" max="26"/>
  </cols>
  <sheetData>
    <row r="1" ht="19.5" customHeight="1" s="93">
      <c r="A1" s="15">
        <f>'CO-PO Mapping'!A1:P1</f>
        <v/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9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3">
      <c r="A2" s="15" t="inlineStr">
        <is>
          <t>Course to PO &amp; PSO Attainment From All Tools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9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3">
      <c r="A3" s="15">
        <f>'CO-PO Mapping'!A3:P3</f>
        <v/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9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3">
      <c r="A4" s="15">
        <f>'CO-PO Mapping'!A4:P4</f>
        <v/>
      </c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9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3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3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3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3">
      <c r="A8" s="33" t="inlineStr">
        <is>
          <t>Signature Subject Teacher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9" t="n"/>
      <c r="N8" s="33" t="n"/>
      <c r="O8" s="128" t="n"/>
      <c r="P8" s="129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3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2026-10-07T08:48:29Z</dcterms:modified>
  <cp:lastModifiedBy>Kalpana Fatawat</cp:lastModifiedBy>
</cp:coreProperties>
</file>
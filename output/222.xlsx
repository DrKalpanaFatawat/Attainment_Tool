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1'!$E$1:$E$32</definedName>
    <definedName name="_xlnm._FilterDatabase" localSheetId="7" hidden="1">'REMIDAL 2'!$A$2:$E$32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39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0" fontId="3" fillId="2" borderId="12" applyAlignment="1" pivotButton="0" quotePrefix="0" xfId="0">
      <alignment horizontal="center" vertical="center" wrapText="1"/>
    </xf>
    <xf numFmtId="0" fontId="4" fillId="0" borderId="27" pivotButton="0" quotePrefix="0" xfId="0"/>
    <xf numFmtId="0" fontId="4" fillId="0" borderId="13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30" pivotButton="0" quotePrefix="0" xfId="0"/>
    <xf numFmtId="0" fontId="3" fillId="2" borderId="12" applyAlignment="1" pivotButton="0" quotePrefix="0" xfId="0">
      <alignment horizontal="center" vertical="center"/>
    </xf>
    <xf numFmtId="9" fontId="3" fillId="2" borderId="1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4" fillId="0" borderId="28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1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88" min="1" max="1"/>
    <col width="8" customWidth="1" style="88" min="2" max="16"/>
    <col width="7.69921875" customWidth="1" style="88" min="17" max="26"/>
  </cols>
  <sheetData>
    <row r="1" ht="19.5" customHeight="1" s="88">
      <c r="A1" s="15" t="inlineStr">
        <is>
          <t>DEPARTMENT OF COMPUTER SCIENCE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4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88">
      <c r="A2" s="15" t="inlineStr">
        <is>
          <t>CO to PO &amp; PSO Mapping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4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88">
      <c r="A3" s="15" t="inlineStr">
        <is>
          <t>II Year III Semester</t>
        </is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4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8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4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8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8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8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8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8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8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8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8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8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3" t="n"/>
      <c r="C13" s="123" t="n"/>
      <c r="D13" s="123" t="n"/>
      <c r="E13" s="123" t="n"/>
      <c r="F13" s="123" t="n"/>
      <c r="G13" s="123" t="n"/>
      <c r="H13" s="123" t="n"/>
      <c r="I13" s="123" t="n"/>
      <c r="J13" s="123" t="n"/>
      <c r="K13" s="123" t="n"/>
      <c r="L13" s="123" t="n"/>
      <c r="M13" s="124" t="n"/>
      <c r="N13" s="33" t="n"/>
      <c r="O13" s="123" t="n"/>
      <c r="P13" s="124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8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8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8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8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8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8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8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8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8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8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8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8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8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8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8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8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8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8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8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8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8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8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8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8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8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8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8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8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8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8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8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8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8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8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8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8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8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8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8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8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8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8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8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8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8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8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8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8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8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8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8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8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8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8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8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8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8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8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8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8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8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8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8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8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8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8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8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8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8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8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8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8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8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8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8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8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8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8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8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8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8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8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8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8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8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8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8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8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8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8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8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8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8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8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8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8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8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8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8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8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8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8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8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8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8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8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8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8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8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8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8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8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1"/>
  <sheetViews>
    <sheetView topLeftCell="A28" workbookViewId="0">
      <selection activeCell="E41" sqref="E41"/>
    </sheetView>
  </sheetViews>
  <sheetFormatPr baseColWidth="8" defaultColWidth="12.59765625" defaultRowHeight="15" customHeight="1"/>
  <cols>
    <col width="5.69921875" customWidth="1" style="88" min="1" max="1"/>
    <col width="17.5" customWidth="1" style="88" min="2" max="2"/>
    <col width="29.5" customWidth="1" style="88" min="3" max="3"/>
    <col width="14.19921875" customWidth="1" style="88" min="4" max="5"/>
    <col width="13.19921875" customWidth="1" style="88" min="6" max="6"/>
    <col width="13.3984375" customWidth="1" style="88" min="7" max="7"/>
    <col width="13.19921875" customWidth="1" style="88" min="8" max="8"/>
    <col width="7.69921875" customWidth="1" style="88" min="9" max="26"/>
  </cols>
  <sheetData>
    <row r="1" ht="19.5" customHeight="1" s="88">
      <c r="A1" s="15">
        <f>'CO-PO Mapping'!A1:P1</f>
        <v/>
      </c>
      <c r="B1" s="123" t="n"/>
      <c r="C1" s="123" t="n"/>
      <c r="D1" s="123" t="n"/>
      <c r="E1" s="123" t="n"/>
      <c r="F1" s="123" t="n"/>
      <c r="G1" s="123" t="n"/>
      <c r="H1" s="124" t="n"/>
    </row>
    <row r="2" ht="19.5" customHeight="1" s="88">
      <c r="A2" s="15" t="inlineStr">
        <is>
          <t>End Term and Sessional Assessment Sheet</t>
        </is>
      </c>
      <c r="B2" s="123" t="n"/>
      <c r="C2" s="123" t="n"/>
      <c r="D2" s="123" t="n"/>
      <c r="E2" s="123" t="n"/>
      <c r="F2" s="123" t="n"/>
      <c r="G2" s="123" t="n"/>
      <c r="H2" s="124" t="n"/>
    </row>
    <row r="3" ht="19.5" customHeight="1" s="88">
      <c r="A3" s="15">
        <f>'CO-PO Mapping'!A3:P3</f>
        <v/>
      </c>
      <c r="B3" s="123" t="n"/>
      <c r="C3" s="123" t="n"/>
      <c r="D3" s="123" t="n"/>
      <c r="E3" s="123" t="n"/>
      <c r="F3" s="123" t="n"/>
      <c r="G3" s="123" t="n"/>
      <c r="H3" s="124" t="n"/>
    </row>
    <row r="4" ht="19.5" customHeight="1" s="88">
      <c r="A4" s="15">
        <f>'CO-PO Mapping'!A4:P4</f>
        <v/>
      </c>
      <c r="B4" s="123" t="n"/>
      <c r="C4" s="123" t="n"/>
      <c r="D4" s="123" t="n"/>
      <c r="E4" s="123" t="n"/>
      <c r="F4" s="123" t="n"/>
      <c r="G4" s="123" t="n"/>
      <c r="H4" s="12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8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4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88">
      <c r="A6" s="125" t="n"/>
      <c r="B6" s="125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88">
      <c r="A7" s="103" t="inlineStr">
        <is>
          <t>Set Target Level</t>
        </is>
      </c>
      <c r="B7" s="126" t="n"/>
      <c r="C7" s="127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88">
      <c r="A8" s="20" t="n">
        <v>1</v>
      </c>
      <c r="B8" s="80" t="inlineStr">
        <is>
          <t>23ETCCS001</t>
        </is>
      </c>
      <c r="C8" s="75" t="inlineStr">
        <is>
          <t>AAKANSHA SILAWAT</t>
        </is>
      </c>
      <c r="D8" s="79" t="n">
        <v>52</v>
      </c>
      <c r="E8" s="79" t="n">
        <v>26</v>
      </c>
      <c r="F8" s="79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88">
      <c r="A9" s="20" t="n">
        <v>2</v>
      </c>
      <c r="B9" s="74" t="inlineStr">
        <is>
          <t>23ETCCS002</t>
        </is>
      </c>
      <c r="C9" s="75" t="inlineStr">
        <is>
          <t>ABHINAV MISHRA</t>
        </is>
      </c>
      <c r="D9" s="79" t="n">
        <v>34</v>
      </c>
      <c r="E9" s="79" t="n">
        <v>26</v>
      </c>
      <c r="F9" s="79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88">
      <c r="A10" s="20" t="n">
        <v>3</v>
      </c>
      <c r="B10" s="74" t="inlineStr">
        <is>
          <t>23ETCCS003</t>
        </is>
      </c>
      <c r="C10" s="75" t="inlineStr">
        <is>
          <t>ACHAL JAIN</t>
        </is>
      </c>
      <c r="D10" s="79" t="n">
        <v>33</v>
      </c>
      <c r="E10" s="79" t="n">
        <v>24</v>
      </c>
      <c r="F10" s="79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88">
      <c r="A11" s="20" t="n">
        <v>4</v>
      </c>
      <c r="B11" s="74" t="inlineStr">
        <is>
          <t>23ETCCS004</t>
        </is>
      </c>
      <c r="C11" s="75" t="inlineStr">
        <is>
          <t>ADITYA SISODIYA</t>
        </is>
      </c>
      <c r="D11" s="79" t="n">
        <v>51</v>
      </c>
      <c r="E11" s="79" t="n">
        <v>27</v>
      </c>
      <c r="F11" s="79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88">
      <c r="A12" s="20" t="n">
        <v>5</v>
      </c>
      <c r="B12" s="74" t="inlineStr">
        <is>
          <t>23ETCCS005</t>
        </is>
      </c>
      <c r="C12" s="75" t="inlineStr">
        <is>
          <t>AKSHAT JAIN</t>
        </is>
      </c>
      <c r="D12" s="79" t="n">
        <v>41</v>
      </c>
      <c r="E12" s="79" t="n">
        <v>24</v>
      </c>
      <c r="F12" s="79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88">
      <c r="A13" s="20" t="n">
        <v>6</v>
      </c>
      <c r="B13" s="74" t="inlineStr">
        <is>
          <t>23ETCCS006</t>
        </is>
      </c>
      <c r="C13" s="75" t="inlineStr">
        <is>
          <t>AKSHAY SUTHAR</t>
        </is>
      </c>
      <c r="D13" s="79" t="n">
        <v>51</v>
      </c>
      <c r="E13" s="79" t="n">
        <v>28</v>
      </c>
      <c r="F13" s="79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88">
      <c r="A14" s="20" t="n">
        <v>7</v>
      </c>
      <c r="B14" s="74" t="inlineStr">
        <is>
          <t>23ETCCS007</t>
        </is>
      </c>
      <c r="C14" s="75" t="inlineStr">
        <is>
          <t>ANANT SINGH JADON</t>
        </is>
      </c>
      <c r="D14" s="79" t="n">
        <v>40</v>
      </c>
      <c r="E14" s="79" t="n">
        <v>28</v>
      </c>
      <c r="F14" s="79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88">
      <c r="A15" s="20" t="n">
        <v>8</v>
      </c>
      <c r="B15" s="77" t="inlineStr">
        <is>
          <t>23ETCCS008</t>
        </is>
      </c>
      <c r="C15" s="76" t="inlineStr">
        <is>
          <t>ANISHKA RANAWAT</t>
        </is>
      </c>
      <c r="D15" s="79" t="n">
        <v>58</v>
      </c>
      <c r="E15" s="79" t="n">
        <v>30</v>
      </c>
      <c r="F15" s="79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88">
      <c r="A16" s="20" t="n">
        <v>9</v>
      </c>
      <c r="B16" s="74" t="inlineStr">
        <is>
          <t>23ETCCS009</t>
        </is>
      </c>
      <c r="C16" s="75" t="inlineStr">
        <is>
          <t>ANJEL NATHAN</t>
        </is>
      </c>
      <c r="D16" s="79" t="n">
        <v>49</v>
      </c>
      <c r="E16" s="79" t="n">
        <v>28</v>
      </c>
      <c r="F16" s="79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88">
      <c r="A17" s="20" t="n">
        <v>10</v>
      </c>
      <c r="B17" s="74" t="inlineStr">
        <is>
          <t>23ETCCS010</t>
        </is>
      </c>
      <c r="C17" s="75" t="inlineStr">
        <is>
          <t>AQSA MAKRANI</t>
        </is>
      </c>
      <c r="D17" s="79" t="n">
        <v>55</v>
      </c>
      <c r="E17" s="79" t="n">
        <v>28</v>
      </c>
      <c r="F17" s="79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88">
      <c r="A18" s="20" t="n">
        <v>11</v>
      </c>
      <c r="B18" s="74" t="inlineStr">
        <is>
          <t>23ETCCS011</t>
        </is>
      </c>
      <c r="C18" s="75" t="inlineStr">
        <is>
          <t>ARIHANT KOTHARI</t>
        </is>
      </c>
      <c r="D18" s="79" t="n">
        <v>40</v>
      </c>
      <c r="E18" s="79" t="n">
        <v>29</v>
      </c>
      <c r="F18" s="79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88">
      <c r="A19" s="20" t="n">
        <v>12</v>
      </c>
      <c r="B19" s="74" t="inlineStr">
        <is>
          <t>23ETCCS012</t>
        </is>
      </c>
      <c r="C19" s="75" t="inlineStr">
        <is>
          <t>ARYAN KUMAR SHRIVASTAVA</t>
        </is>
      </c>
      <c r="D19" s="79" t="n">
        <v>29</v>
      </c>
      <c r="E19" s="79" t="n">
        <v>27</v>
      </c>
      <c r="F19" s="79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88">
      <c r="A20" s="20" t="n">
        <v>13</v>
      </c>
      <c r="B20" s="74" t="inlineStr">
        <is>
          <t>23ETCCS013</t>
        </is>
      </c>
      <c r="C20" s="75" t="inlineStr">
        <is>
          <t>ARYAN SHARMA</t>
        </is>
      </c>
      <c r="D20" s="79" t="n">
        <v>27</v>
      </c>
      <c r="E20" s="79" t="n">
        <v>27</v>
      </c>
      <c r="F20" s="79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88">
      <c r="A21" s="20" t="n">
        <v>14</v>
      </c>
      <c r="B21" s="74" t="inlineStr">
        <is>
          <t>23ETCCS014</t>
        </is>
      </c>
      <c r="C21" s="75" t="inlineStr">
        <is>
          <t>ASHOK SUTHAR</t>
        </is>
      </c>
      <c r="D21" s="79" t="n">
        <v>41</v>
      </c>
      <c r="E21" s="79" t="n">
        <v>25</v>
      </c>
      <c r="F21" s="79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88">
      <c r="A22" s="20" t="n">
        <v>15</v>
      </c>
      <c r="B22" s="74" t="inlineStr">
        <is>
          <t>23ETCCS015</t>
        </is>
      </c>
      <c r="C22" s="75" t="inlineStr">
        <is>
          <t>ASHWIN RAJ SINGH CHOUHAN</t>
        </is>
      </c>
      <c r="D22" s="79" t="n">
        <v>41</v>
      </c>
      <c r="E22" s="79" t="n">
        <v>28</v>
      </c>
      <c r="F22" s="79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88">
      <c r="A23" s="20" t="n">
        <v>16</v>
      </c>
      <c r="B23" s="74" t="inlineStr">
        <is>
          <t>23ETCCS016</t>
        </is>
      </c>
      <c r="C23" s="75" t="inlineStr">
        <is>
          <t>BHARAT PRAJAPAT</t>
        </is>
      </c>
      <c r="D23" s="79" t="n">
        <v>61</v>
      </c>
      <c r="E23" s="79" t="n">
        <v>30</v>
      </c>
      <c r="F23" s="79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88">
      <c r="A24" s="20" t="n">
        <v>17</v>
      </c>
      <c r="B24" s="74" t="inlineStr">
        <is>
          <t>23ETCCS017</t>
        </is>
      </c>
      <c r="C24" s="75" t="inlineStr">
        <is>
          <t>BHAVESH GURJAR</t>
        </is>
      </c>
      <c r="D24" s="79" t="n">
        <v>49</v>
      </c>
      <c r="E24" s="79" t="n">
        <v>28</v>
      </c>
      <c r="F24" s="79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88">
      <c r="A25" s="20" t="n">
        <v>18</v>
      </c>
      <c r="B25" s="74" t="inlineStr">
        <is>
          <t>23ETCCS018</t>
        </is>
      </c>
      <c r="C25" s="75" t="inlineStr">
        <is>
          <t>BHAVESH SUTHAR</t>
        </is>
      </c>
      <c r="D25" s="79" t="n">
        <v>51</v>
      </c>
      <c r="E25" s="79" t="n">
        <v>29</v>
      </c>
      <c r="F25" s="79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88">
      <c r="A26" s="20" t="n">
        <v>19</v>
      </c>
      <c r="B26" s="74" t="inlineStr">
        <is>
          <t>23ETCCS019</t>
        </is>
      </c>
      <c r="C26" s="75" t="inlineStr">
        <is>
          <t>BHAVISHYA PALIWAL</t>
        </is>
      </c>
      <c r="D26" s="79" t="n">
        <v>49</v>
      </c>
      <c r="E26" s="79" t="n">
        <v>29</v>
      </c>
      <c r="F26" s="79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88">
      <c r="A27" s="20" t="n">
        <v>20</v>
      </c>
      <c r="B27" s="74" t="inlineStr">
        <is>
          <t>23ETCCS020</t>
        </is>
      </c>
      <c r="C27" s="75" t="inlineStr">
        <is>
          <t>BHAVY BAID</t>
        </is>
      </c>
      <c r="D27" s="79" t="n">
        <v>49</v>
      </c>
      <c r="E27" s="79" t="n">
        <v>30</v>
      </c>
      <c r="F27" s="79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88">
      <c r="A28" s="20" t="n">
        <v>21</v>
      </c>
      <c r="B28" s="74" t="inlineStr">
        <is>
          <t>23ETCCS021</t>
        </is>
      </c>
      <c r="C28" s="75" t="inlineStr">
        <is>
          <t>BHAVY SARVA</t>
        </is>
      </c>
      <c r="D28" s="79" t="n">
        <v>45</v>
      </c>
      <c r="E28" s="79" t="n">
        <v>29</v>
      </c>
      <c r="F28" s="79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88">
      <c r="A29" s="20" t="n">
        <v>22</v>
      </c>
      <c r="B29" s="74" t="inlineStr">
        <is>
          <t>23ETCCS022</t>
        </is>
      </c>
      <c r="C29" s="75" t="inlineStr">
        <is>
          <t>BHAVYARAJ SHRIMALI</t>
        </is>
      </c>
      <c r="D29" s="79" t="n">
        <v>47</v>
      </c>
      <c r="E29" s="79" t="n">
        <v>28</v>
      </c>
      <c r="F29" s="79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88">
      <c r="A30" s="20" t="n">
        <v>23</v>
      </c>
      <c r="B30" s="74" t="inlineStr">
        <is>
          <t>23ETCCS023</t>
        </is>
      </c>
      <c r="C30" s="75" t="inlineStr">
        <is>
          <t>BHUMI PALIWAL</t>
        </is>
      </c>
      <c r="D30" s="79" t="n">
        <v>45</v>
      </c>
      <c r="E30" s="79" t="n">
        <v>26</v>
      </c>
      <c r="F30" s="79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88">
      <c r="A31" s="20" t="n">
        <v>24</v>
      </c>
      <c r="B31" s="74" t="inlineStr">
        <is>
          <t>23ETCCS024</t>
        </is>
      </c>
      <c r="C31" s="75" t="inlineStr">
        <is>
          <t>CHINMAY TRIVEDI</t>
        </is>
      </c>
      <c r="D31" s="79" t="n">
        <v>34</v>
      </c>
      <c r="E31" s="79" t="n">
        <v>25</v>
      </c>
      <c r="F31" s="79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88">
      <c r="A32" s="20" t="n">
        <v>25</v>
      </c>
      <c r="B32" s="74" t="inlineStr">
        <is>
          <t>23ETCCS025</t>
        </is>
      </c>
      <c r="C32" s="75" t="inlineStr">
        <is>
          <t>DARAKSHAN KHAN</t>
        </is>
      </c>
      <c r="D32" s="79" t="n">
        <v>51</v>
      </c>
      <c r="E32" s="79" t="n">
        <v>24</v>
      </c>
      <c r="F32" s="79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88">
      <c r="A33" s="20" t="n">
        <v>26</v>
      </c>
      <c r="B33" s="74" t="inlineStr">
        <is>
          <t>23ETCCS026</t>
        </is>
      </c>
      <c r="C33" s="75" t="inlineStr">
        <is>
          <t>DASHRATH JANWA</t>
        </is>
      </c>
      <c r="D33" s="79" t="n">
        <v>46</v>
      </c>
      <c r="E33" s="79" t="n">
        <v>25</v>
      </c>
      <c r="F33" s="79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88">
      <c r="A34" s="20" t="n">
        <v>27</v>
      </c>
      <c r="B34" s="74" t="inlineStr">
        <is>
          <t>23ETCCS027</t>
        </is>
      </c>
      <c r="C34" s="75" t="inlineStr">
        <is>
          <t>DEEPAK SAINI</t>
        </is>
      </c>
      <c r="D34" s="79" t="n">
        <v>50</v>
      </c>
      <c r="E34" s="79" t="n">
        <v>29</v>
      </c>
      <c r="F34" s="79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88">
      <c r="A35" s="20" t="n">
        <v>28</v>
      </c>
      <c r="B35" s="74" t="inlineStr">
        <is>
          <t>23ETCCS028</t>
        </is>
      </c>
      <c r="C35" s="75" t="inlineStr">
        <is>
          <t>DEVENDRA SINGH</t>
        </is>
      </c>
      <c r="D35" s="79" t="n">
        <v>30</v>
      </c>
      <c r="E35" s="79" t="n">
        <v>28</v>
      </c>
      <c r="F35" s="79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88">
      <c r="A36" s="20" t="n">
        <v>29</v>
      </c>
      <c r="B36" s="74" t="inlineStr">
        <is>
          <t>23ETCCS029</t>
        </is>
      </c>
      <c r="C36" s="75" t="inlineStr">
        <is>
          <t>DEVIKA SAJEEV</t>
        </is>
      </c>
      <c r="D36" s="79" t="n">
        <v>47</v>
      </c>
      <c r="E36" s="79" t="n">
        <v>29</v>
      </c>
      <c r="F36" s="79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88">
      <c r="A37" s="20" t="n">
        <v>30</v>
      </c>
      <c r="B37" s="74" t="inlineStr">
        <is>
          <t>23ETCCS030</t>
        </is>
      </c>
      <c r="C37" s="75" t="inlineStr">
        <is>
          <t>DHRUV AMETA</t>
        </is>
      </c>
      <c r="D37" s="79" t="n">
        <v>37</v>
      </c>
      <c r="E37" s="79" t="n">
        <v>25</v>
      </c>
      <c r="F37" s="79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88">
      <c r="A38" s="20" t="n"/>
      <c r="B38" s="26" t="n"/>
      <c r="C38" s="27" t="n"/>
      <c r="D38" s="28" t="n">
        <v>30</v>
      </c>
      <c r="E38" s="28" t="n">
        <v>30</v>
      </c>
      <c r="F38" s="25" t="n"/>
      <c r="G38" s="15">
        <f>COUNTIF(G8:G37,1)</f>
        <v/>
      </c>
      <c r="H38" s="15">
        <f>COUNTIF(H8:H37,1)</f>
        <v/>
      </c>
    </row>
    <row r="39" ht="15.75" customHeight="1" s="88">
      <c r="A39" s="29" t="inlineStr">
        <is>
          <t>CO Attainment Calculation</t>
        </is>
      </c>
      <c r="B39" s="30" t="n"/>
      <c r="C39" s="31" t="n"/>
      <c r="D39" s="32" t="inlineStr">
        <is>
          <t>% of students get &gt;= Target %</t>
        </is>
      </c>
      <c r="E39" s="32" t="inlineStr">
        <is>
          <t>CO Attainment Level</t>
        </is>
      </c>
      <c r="F39" s="32" t="inlineStr">
        <is>
          <t>Signature Subject Teacher</t>
        </is>
      </c>
      <c r="G39" s="123" t="n"/>
      <c r="H39" s="124" t="n"/>
    </row>
    <row r="40" ht="19.5" customHeight="1" s="88">
      <c r="A40" s="29" t="inlineStr">
        <is>
          <t>Attainment of End Term Exam</t>
        </is>
      </c>
      <c r="B40" s="30" t="n"/>
      <c r="C40" s="31" t="n"/>
      <c r="D40" s="33">
        <f>ROUND((G38/D38*100),0)</f>
        <v/>
      </c>
      <c r="E40" s="32">
        <f>IF(D40&gt;100,"ERROR",IF(D40&gt;=61,3,IF(D40&gt;=46,2,IF(D40&gt;=16,1,IF(D40&gt;15,0,0)))))</f>
        <v/>
      </c>
      <c r="F40" s="34" t="n"/>
      <c r="G40" s="35" t="n"/>
      <c r="H40" s="36" t="n"/>
    </row>
    <row r="41" ht="19.5" customHeight="1" s="88">
      <c r="A41" s="29" t="inlineStr">
        <is>
          <t>Attainment of Sessional Exam</t>
        </is>
      </c>
      <c r="B41" s="30" t="n"/>
      <c r="C41" s="31" t="n"/>
      <c r="D41" s="33">
        <f>ROUND((H38/E38*100),0)</f>
        <v/>
      </c>
      <c r="E41" s="33">
        <f>IF(D41&gt;100,"ERROR",IF(D41&gt;=61,3,IF(D41&gt;=46,2,IF(D41&gt;=16,1,IF(D41&gt;15,0,0)))))</f>
        <v/>
      </c>
      <c r="F41" s="37" t="n"/>
      <c r="G41" s="38" t="n"/>
      <c r="H41" s="39" t="n"/>
    </row>
    <row r="42" ht="15.75" customHeight="1" s="88">
      <c r="D42" s="40" t="n"/>
      <c r="E42" s="40" t="n"/>
    </row>
    <row r="43" ht="15.75" customHeight="1" s="88">
      <c r="D43" s="40" t="n"/>
      <c r="E43" s="40" t="n"/>
    </row>
    <row r="44" ht="15.75" customHeight="1" s="88">
      <c r="D44" s="40" t="n"/>
      <c r="E44" s="40" t="n"/>
    </row>
    <row r="45" ht="15.75" customHeight="1" s="88">
      <c r="D45" s="40" t="n"/>
      <c r="E45" s="40" t="n"/>
    </row>
    <row r="46" ht="15.75" customHeight="1" s="88">
      <c r="D46" s="40" t="n"/>
      <c r="E46" s="40" t="n"/>
    </row>
    <row r="47" ht="15.75" customHeight="1" s="88">
      <c r="D47" s="40" t="n"/>
      <c r="E47" s="40" t="n"/>
    </row>
    <row r="48" ht="15.75" customHeight="1" s="88">
      <c r="D48" s="40" t="n"/>
      <c r="E48" s="40" t="n"/>
    </row>
    <row r="49" ht="15.75" customHeight="1" s="88">
      <c r="D49" s="40" t="n"/>
      <c r="E49" s="40" t="n"/>
    </row>
    <row r="50" ht="15.75" customHeight="1" s="88">
      <c r="D50" s="40" t="n"/>
      <c r="E50" s="40" t="n"/>
    </row>
    <row r="51" ht="15.75" customHeight="1" s="88">
      <c r="D51" s="40" t="n"/>
      <c r="E51" s="40" t="n"/>
    </row>
    <row r="52" ht="15.75" customHeight="1" s="88">
      <c r="D52" s="40" t="n"/>
      <c r="E52" s="40" t="n"/>
    </row>
    <row r="53" ht="15.75" customHeight="1" s="88">
      <c r="D53" s="40" t="n"/>
      <c r="E53" s="40" t="n"/>
    </row>
    <row r="54" ht="15.75" customHeight="1" s="88">
      <c r="D54" s="40" t="n"/>
      <c r="E54" s="40" t="n"/>
    </row>
    <row r="55" ht="15.75" customHeight="1" s="88">
      <c r="D55" s="40" t="n"/>
      <c r="E55" s="40" t="n"/>
    </row>
    <row r="56" ht="15.75" customHeight="1" s="88">
      <c r="D56" s="40" t="n"/>
      <c r="E56" s="40" t="n"/>
    </row>
    <row r="57" ht="15.75" customHeight="1" s="88">
      <c r="D57" s="40" t="n"/>
      <c r="E57" s="40" t="n"/>
    </row>
    <row r="58" ht="15.75" customHeight="1" s="88">
      <c r="D58" s="40" t="n"/>
      <c r="E58" s="40" t="n"/>
    </row>
    <row r="59" ht="15.75" customHeight="1" s="88">
      <c r="D59" s="40" t="n"/>
      <c r="E59" s="40" t="n"/>
    </row>
    <row r="60" ht="15.75" customHeight="1" s="88">
      <c r="D60" s="40" t="n"/>
      <c r="E60" s="40" t="n"/>
    </row>
    <row r="61" ht="15.75" customHeight="1" s="88">
      <c r="D61" s="40" t="n"/>
      <c r="E61" s="40" t="n"/>
    </row>
    <row r="62" ht="15.75" customHeight="1" s="88">
      <c r="D62" s="40" t="n"/>
      <c r="E62" s="40" t="n"/>
    </row>
    <row r="63" ht="15.75" customHeight="1" s="88">
      <c r="D63" s="40" t="n"/>
      <c r="E63" s="40" t="n"/>
    </row>
    <row r="64" ht="15.75" customHeight="1" s="88">
      <c r="D64" s="40" t="n"/>
      <c r="E64" s="40" t="n"/>
    </row>
    <row r="65" ht="15.75" customHeight="1" s="88">
      <c r="D65" s="40" t="n"/>
      <c r="E65" s="40" t="n"/>
    </row>
    <row r="66" ht="15.75" customHeight="1" s="88">
      <c r="D66" s="40" t="n"/>
      <c r="E66" s="40" t="n"/>
    </row>
    <row r="67" ht="15.75" customHeight="1" s="88">
      <c r="D67" s="40" t="n"/>
      <c r="E67" s="40" t="n"/>
    </row>
    <row r="68" ht="15.75" customHeight="1" s="88">
      <c r="D68" s="40" t="n"/>
      <c r="E68" s="40" t="n"/>
    </row>
    <row r="69" ht="15.75" customHeight="1" s="88">
      <c r="D69" s="40" t="n"/>
      <c r="E69" s="40" t="n"/>
    </row>
    <row r="70" ht="15.75" customHeight="1" s="88">
      <c r="D70" s="40" t="n"/>
      <c r="E70" s="40" t="n"/>
    </row>
    <row r="71" ht="15.75" customHeight="1" s="88">
      <c r="D71" s="40" t="n"/>
      <c r="E71" s="40" t="n"/>
    </row>
    <row r="72" ht="15.75" customHeight="1" s="88">
      <c r="D72" s="40" t="n"/>
      <c r="E72" s="40" t="n"/>
    </row>
    <row r="73" ht="15.75" customHeight="1" s="88">
      <c r="D73" s="40" t="n"/>
      <c r="E73" s="40" t="n"/>
    </row>
    <row r="74" ht="15.75" customHeight="1" s="88">
      <c r="D74" s="40" t="n"/>
      <c r="E74" s="40" t="n"/>
    </row>
    <row r="75" ht="15.75" customHeight="1" s="88">
      <c r="D75" s="40" t="n"/>
      <c r="E75" s="40" t="n"/>
    </row>
    <row r="76" ht="15.75" customHeight="1" s="88">
      <c r="D76" s="40" t="n"/>
      <c r="E76" s="40" t="n"/>
    </row>
    <row r="77" ht="15.75" customHeight="1" s="88">
      <c r="D77" s="40" t="n"/>
      <c r="E77" s="40" t="n"/>
    </row>
    <row r="78" ht="15.75" customHeight="1" s="88">
      <c r="D78" s="40" t="n"/>
      <c r="E78" s="40" t="n"/>
    </row>
    <row r="79" ht="15.75" customHeight="1" s="88">
      <c r="D79" s="40" t="n"/>
      <c r="E79" s="40" t="n"/>
    </row>
    <row r="80" ht="15.75" customHeight="1" s="88">
      <c r="D80" s="40" t="n"/>
      <c r="E80" s="40" t="n"/>
    </row>
    <row r="81" ht="15.75" customHeight="1" s="88">
      <c r="D81" s="40" t="n"/>
      <c r="E81" s="40" t="n"/>
    </row>
    <row r="82" ht="15.75" customHeight="1" s="88">
      <c r="D82" s="40" t="n"/>
      <c r="E82" s="40" t="n"/>
    </row>
    <row r="83" ht="15.75" customHeight="1" s="88">
      <c r="D83" s="40" t="n"/>
      <c r="E83" s="40" t="n"/>
    </row>
    <row r="84" ht="15.75" customHeight="1" s="88">
      <c r="D84" s="40" t="n"/>
      <c r="E84" s="40" t="n"/>
    </row>
    <row r="85" ht="15.75" customHeight="1" s="88">
      <c r="D85" s="40" t="n"/>
      <c r="E85" s="40" t="n"/>
    </row>
    <row r="86" ht="15.75" customHeight="1" s="88">
      <c r="D86" s="40" t="n"/>
      <c r="E86" s="40" t="n"/>
    </row>
    <row r="87" ht="15.75" customHeight="1" s="88">
      <c r="D87" s="40" t="n"/>
      <c r="E87" s="40" t="n"/>
    </row>
    <row r="88" ht="15.75" customHeight="1" s="88">
      <c r="D88" s="40" t="n"/>
      <c r="E88" s="40" t="n"/>
    </row>
    <row r="89" ht="15.75" customHeight="1" s="88">
      <c r="D89" s="40" t="n"/>
      <c r="E89" s="40" t="n"/>
    </row>
    <row r="90" ht="15.75" customHeight="1" s="88">
      <c r="D90" s="40" t="n"/>
      <c r="E90" s="40" t="n"/>
    </row>
    <row r="91" ht="15.75" customHeight="1" s="88">
      <c r="D91" s="40" t="n"/>
      <c r="E91" s="40" t="n"/>
    </row>
    <row r="92" ht="15.75" customHeight="1" s="88">
      <c r="D92" s="40" t="n"/>
      <c r="E92" s="40" t="n"/>
    </row>
    <row r="93" ht="15.75" customHeight="1" s="88">
      <c r="D93" s="40" t="n"/>
      <c r="E93" s="40" t="n"/>
    </row>
    <row r="94" ht="15.75" customHeight="1" s="88">
      <c r="D94" s="40" t="n"/>
      <c r="E94" s="40" t="n"/>
    </row>
    <row r="95" ht="15.75" customHeight="1" s="88">
      <c r="D95" s="40" t="n"/>
      <c r="E95" s="40" t="n"/>
    </row>
    <row r="96" ht="15.75" customHeight="1" s="88">
      <c r="D96" s="40" t="n"/>
      <c r="E96" s="40" t="n"/>
    </row>
    <row r="97" ht="15.75" customHeight="1" s="88">
      <c r="D97" s="40" t="n"/>
      <c r="E97" s="40" t="n"/>
    </row>
    <row r="98" ht="15.75" customHeight="1" s="88">
      <c r="D98" s="40" t="n"/>
      <c r="E98" s="40" t="n"/>
    </row>
    <row r="99" ht="15.75" customHeight="1" s="88">
      <c r="D99" s="40" t="n"/>
      <c r="E99" s="40" t="n"/>
    </row>
    <row r="100" ht="15.75" customHeight="1" s="88">
      <c r="D100" s="40" t="n"/>
      <c r="E100" s="40" t="n"/>
    </row>
    <row r="101" ht="15.75" customHeight="1" s="88">
      <c r="D101" s="40" t="n"/>
      <c r="E101" s="40" t="n"/>
    </row>
    <row r="102" ht="15.75" customHeight="1" s="88">
      <c r="D102" s="40" t="n"/>
      <c r="E102" s="40" t="n"/>
    </row>
    <row r="103" ht="15.75" customHeight="1" s="88">
      <c r="D103" s="40" t="n"/>
      <c r="E103" s="40" t="n"/>
    </row>
    <row r="104" ht="15.75" customHeight="1" s="88">
      <c r="D104" s="40" t="n"/>
      <c r="E104" s="40" t="n"/>
    </row>
    <row r="105" ht="15.75" customHeight="1" s="88">
      <c r="D105" s="40" t="n"/>
      <c r="E105" s="40" t="n"/>
    </row>
    <row r="106" ht="15.75" customHeight="1" s="88">
      <c r="D106" s="40" t="n"/>
      <c r="E106" s="40" t="n"/>
    </row>
    <row r="107" ht="15.75" customHeight="1" s="88">
      <c r="D107" s="40" t="n"/>
      <c r="E107" s="40" t="n"/>
    </row>
    <row r="108" ht="15.75" customHeight="1" s="88">
      <c r="D108" s="40" t="n"/>
      <c r="E108" s="40" t="n"/>
    </row>
    <row r="109" ht="15.75" customHeight="1" s="88">
      <c r="D109" s="40" t="n"/>
      <c r="E109" s="40" t="n"/>
    </row>
    <row r="110" ht="15.75" customHeight="1" s="88">
      <c r="D110" s="40" t="n"/>
      <c r="E110" s="40" t="n"/>
    </row>
    <row r="111" ht="15.75" customHeight="1" s="88">
      <c r="D111" s="40" t="n"/>
      <c r="E111" s="40" t="n"/>
    </row>
    <row r="112" ht="15.75" customHeight="1" s="88">
      <c r="D112" s="40" t="n"/>
      <c r="E112" s="40" t="n"/>
    </row>
    <row r="113" ht="15.75" customHeight="1" s="88">
      <c r="D113" s="40" t="n"/>
      <c r="E113" s="40" t="n"/>
    </row>
    <row r="114" ht="15.75" customHeight="1" s="88">
      <c r="D114" s="40" t="n"/>
      <c r="E114" s="40" t="n"/>
    </row>
    <row r="115" ht="15.75" customHeight="1" s="88">
      <c r="D115" s="40" t="n"/>
      <c r="E115" s="40" t="n"/>
    </row>
    <row r="116" ht="15.75" customHeight="1" s="88">
      <c r="D116" s="40" t="n"/>
      <c r="E116" s="40" t="n"/>
    </row>
    <row r="117" ht="15.75" customHeight="1" s="88">
      <c r="D117" s="40" t="n"/>
      <c r="E117" s="40" t="n"/>
    </row>
    <row r="118" ht="15.75" customHeight="1" s="88">
      <c r="D118" s="40" t="n"/>
      <c r="E118" s="40" t="n"/>
    </row>
    <row r="119" ht="15.75" customHeight="1" s="88">
      <c r="D119" s="40" t="n"/>
      <c r="E119" s="40" t="n"/>
    </row>
    <row r="120" ht="15.75" customHeight="1" s="88">
      <c r="D120" s="40" t="n"/>
      <c r="E120" s="40" t="n"/>
    </row>
    <row r="121" ht="15.75" customHeight="1" s="88">
      <c r="D121" s="40" t="n"/>
      <c r="E121" s="40" t="n"/>
    </row>
    <row r="122" ht="15.75" customHeight="1" s="88">
      <c r="D122" s="40" t="n"/>
      <c r="E122" s="40" t="n"/>
    </row>
    <row r="123" ht="15.75" customHeight="1" s="88">
      <c r="D123" s="40" t="n"/>
      <c r="E123" s="40" t="n"/>
    </row>
    <row r="124" ht="15.75" customHeight="1" s="88">
      <c r="D124" s="40" t="n"/>
      <c r="E124" s="40" t="n"/>
    </row>
    <row r="125" ht="15.75" customHeight="1" s="88">
      <c r="D125" s="40" t="n"/>
      <c r="E125" s="40" t="n"/>
    </row>
    <row r="126" ht="15.75" customHeight="1" s="88">
      <c r="D126" s="40" t="n"/>
      <c r="E126" s="40" t="n"/>
    </row>
    <row r="127" ht="15.75" customHeight="1" s="88">
      <c r="D127" s="40" t="n"/>
      <c r="E127" s="40" t="n"/>
    </row>
    <row r="128" ht="15.75" customHeight="1" s="88">
      <c r="D128" s="40" t="n"/>
      <c r="E128" s="40" t="n"/>
    </row>
    <row r="129" ht="15.75" customHeight="1" s="88">
      <c r="D129" s="40" t="n"/>
      <c r="E129" s="40" t="n"/>
    </row>
    <row r="130" ht="15.75" customHeight="1" s="88">
      <c r="D130" s="40" t="n"/>
      <c r="E130" s="40" t="n"/>
    </row>
    <row r="131" ht="15.75" customHeight="1" s="88">
      <c r="D131" s="40" t="n"/>
      <c r="E131" s="40" t="n"/>
    </row>
    <row r="132" ht="15.75" customHeight="1" s="88">
      <c r="D132" s="40" t="n"/>
      <c r="E132" s="40" t="n"/>
    </row>
    <row r="133" ht="15.75" customHeight="1" s="88">
      <c r="D133" s="40" t="n"/>
      <c r="E133" s="40" t="n"/>
    </row>
    <row r="134" ht="15.75" customHeight="1" s="88">
      <c r="D134" s="40" t="n"/>
      <c r="E134" s="40" t="n"/>
    </row>
    <row r="135" ht="15.75" customHeight="1" s="88">
      <c r="D135" s="40" t="n"/>
      <c r="E135" s="40" t="n"/>
    </row>
    <row r="136" ht="15.75" customHeight="1" s="88">
      <c r="D136" s="40" t="n"/>
      <c r="E136" s="40" t="n"/>
    </row>
    <row r="137" ht="15.75" customHeight="1" s="88">
      <c r="D137" s="40" t="n"/>
      <c r="E137" s="40" t="n"/>
    </row>
    <row r="138" ht="15.75" customHeight="1" s="88">
      <c r="D138" s="40" t="n"/>
      <c r="E138" s="40" t="n"/>
    </row>
    <row r="139" ht="15.75" customHeight="1" s="88">
      <c r="D139" s="40" t="n"/>
      <c r="E139" s="40" t="n"/>
    </row>
    <row r="140" ht="15.75" customHeight="1" s="88">
      <c r="D140" s="40" t="n"/>
      <c r="E140" s="40" t="n"/>
    </row>
    <row r="141" ht="15.75" customHeight="1" s="88">
      <c r="D141" s="40" t="n"/>
      <c r="E141" s="40" t="n"/>
    </row>
    <row r="142" ht="15.75" customHeight="1" s="88">
      <c r="D142" s="40" t="n"/>
      <c r="E142" s="40" t="n"/>
    </row>
    <row r="143" ht="15.75" customHeight="1" s="88">
      <c r="D143" s="40" t="n"/>
      <c r="E143" s="40" t="n"/>
    </row>
    <row r="144" ht="15.75" customHeight="1" s="88">
      <c r="D144" s="40" t="n"/>
      <c r="E144" s="40" t="n"/>
    </row>
    <row r="145" ht="15.75" customHeight="1" s="88">
      <c r="D145" s="40" t="n"/>
      <c r="E145" s="40" t="n"/>
    </row>
    <row r="146" ht="15.75" customHeight="1" s="88">
      <c r="D146" s="40" t="n"/>
      <c r="E146" s="40" t="n"/>
    </row>
    <row r="147" ht="15.75" customHeight="1" s="88">
      <c r="D147" s="40" t="n"/>
      <c r="E147" s="40" t="n"/>
    </row>
    <row r="148" ht="15.75" customHeight="1" s="88">
      <c r="D148" s="40" t="n"/>
      <c r="E148" s="40" t="n"/>
    </row>
    <row r="149" ht="15.75" customHeight="1" s="88">
      <c r="D149" s="40" t="n"/>
      <c r="E149" s="40" t="n"/>
    </row>
    <row r="150" ht="15.75" customHeight="1" s="88">
      <c r="D150" s="40" t="n"/>
      <c r="E150" s="40" t="n"/>
    </row>
    <row r="151" ht="15.75" customHeight="1" s="88">
      <c r="D151" s="40" t="n"/>
      <c r="E151" s="40" t="n"/>
    </row>
    <row r="152" ht="15.75" customHeight="1" s="88">
      <c r="D152" s="40" t="n"/>
      <c r="E152" s="40" t="n"/>
    </row>
    <row r="153" ht="15.75" customHeight="1" s="88">
      <c r="D153" s="40" t="n"/>
      <c r="E153" s="40" t="n"/>
    </row>
    <row r="154" ht="15.75" customHeight="1" s="88">
      <c r="D154" s="40" t="n"/>
      <c r="E154" s="40" t="n"/>
    </row>
    <row r="155" ht="15.75" customHeight="1" s="88">
      <c r="D155" s="40" t="n"/>
      <c r="E155" s="40" t="n"/>
    </row>
    <row r="156" ht="15.75" customHeight="1" s="88">
      <c r="D156" s="40" t="n"/>
      <c r="E156" s="40" t="n"/>
    </row>
    <row r="157" ht="15.75" customHeight="1" s="88">
      <c r="D157" s="40" t="n"/>
      <c r="E157" s="40" t="n"/>
    </row>
    <row r="158" ht="15.75" customHeight="1" s="88">
      <c r="D158" s="40" t="n"/>
      <c r="E158" s="40" t="n"/>
    </row>
    <row r="159" ht="15.75" customHeight="1" s="88">
      <c r="D159" s="40" t="n"/>
      <c r="E159" s="40" t="n"/>
    </row>
    <row r="160" ht="15.75" customHeight="1" s="88">
      <c r="D160" s="40" t="n"/>
      <c r="E160" s="40" t="n"/>
    </row>
    <row r="161" ht="15.75" customHeight="1" s="88">
      <c r="D161" s="40" t="n"/>
      <c r="E161" s="40" t="n"/>
    </row>
    <row r="162" ht="15.75" customHeight="1" s="88">
      <c r="D162" s="40" t="n"/>
      <c r="E162" s="40" t="n"/>
    </row>
    <row r="163" ht="15.75" customHeight="1" s="88">
      <c r="D163" s="40" t="n"/>
      <c r="E163" s="40" t="n"/>
    </row>
    <row r="164" ht="15.75" customHeight="1" s="88">
      <c r="D164" s="40" t="n"/>
      <c r="E164" s="40" t="n"/>
    </row>
    <row r="165" ht="15.75" customHeight="1" s="88">
      <c r="D165" s="40" t="n"/>
      <c r="E165" s="40" t="n"/>
    </row>
    <row r="166" ht="15.75" customHeight="1" s="88">
      <c r="D166" s="40" t="n"/>
      <c r="E166" s="40" t="n"/>
    </row>
    <row r="167" ht="15.75" customHeight="1" s="88">
      <c r="D167" s="40" t="n"/>
      <c r="E167" s="40" t="n"/>
    </row>
    <row r="168" ht="15.75" customHeight="1" s="88">
      <c r="D168" s="40" t="n"/>
      <c r="E168" s="40" t="n"/>
    </row>
    <row r="169" ht="15.75" customHeight="1" s="88">
      <c r="D169" s="40" t="n"/>
      <c r="E169" s="40" t="n"/>
    </row>
    <row r="170" ht="15.75" customHeight="1" s="88">
      <c r="D170" s="40" t="n"/>
      <c r="E170" s="40" t="n"/>
    </row>
    <row r="171" ht="15.75" customHeight="1" s="88">
      <c r="D171" s="40" t="n"/>
      <c r="E171" s="40" t="n"/>
    </row>
    <row r="172" ht="15.75" customHeight="1" s="88">
      <c r="D172" s="40" t="n"/>
      <c r="E172" s="40" t="n"/>
    </row>
    <row r="173" ht="15.75" customHeight="1" s="88">
      <c r="D173" s="40" t="n"/>
      <c r="E173" s="40" t="n"/>
    </row>
    <row r="174" ht="15.75" customHeight="1" s="88">
      <c r="D174" s="40" t="n"/>
      <c r="E174" s="40" t="n"/>
    </row>
    <row r="175" ht="15.75" customHeight="1" s="88">
      <c r="D175" s="40" t="n"/>
      <c r="E175" s="40" t="n"/>
    </row>
    <row r="176" ht="15.75" customHeight="1" s="88">
      <c r="D176" s="40" t="n"/>
      <c r="E176" s="40" t="n"/>
    </row>
    <row r="177" ht="15.75" customHeight="1" s="88">
      <c r="D177" s="40" t="n"/>
      <c r="E177" s="40" t="n"/>
    </row>
    <row r="178" ht="15.75" customHeight="1" s="88">
      <c r="D178" s="40" t="n"/>
      <c r="E178" s="40" t="n"/>
    </row>
    <row r="179" ht="15.75" customHeight="1" s="88">
      <c r="D179" s="40" t="n"/>
      <c r="E179" s="40" t="n"/>
    </row>
    <row r="180" ht="15.75" customHeight="1" s="88">
      <c r="D180" s="40" t="n"/>
      <c r="E180" s="40" t="n"/>
    </row>
    <row r="181" ht="15.75" customHeight="1" s="88">
      <c r="D181" s="40" t="n"/>
      <c r="E181" s="40" t="n"/>
    </row>
    <row r="182" ht="15.75" customHeight="1" s="88">
      <c r="D182" s="40" t="n"/>
      <c r="E182" s="40" t="n"/>
    </row>
    <row r="183" ht="15.75" customHeight="1" s="88">
      <c r="D183" s="40" t="n"/>
      <c r="E183" s="40" t="n"/>
    </row>
    <row r="184" ht="15.75" customHeight="1" s="88">
      <c r="D184" s="40" t="n"/>
      <c r="E184" s="40" t="n"/>
    </row>
    <row r="185" ht="15.75" customHeight="1" s="88">
      <c r="D185" s="40" t="n"/>
      <c r="E185" s="40" t="n"/>
    </row>
    <row r="186" ht="15.75" customHeight="1" s="88">
      <c r="D186" s="40" t="n"/>
      <c r="E186" s="40" t="n"/>
    </row>
    <row r="187" ht="15.75" customHeight="1" s="88">
      <c r="D187" s="40" t="n"/>
      <c r="E187" s="40" t="n"/>
    </row>
    <row r="188" ht="15.75" customHeight="1" s="88">
      <c r="D188" s="40" t="n"/>
      <c r="E188" s="40" t="n"/>
    </row>
    <row r="189" ht="15.75" customHeight="1" s="88">
      <c r="D189" s="40" t="n"/>
      <c r="E189" s="40" t="n"/>
    </row>
    <row r="190" ht="15.75" customHeight="1" s="88">
      <c r="D190" s="40" t="n"/>
      <c r="E190" s="40" t="n"/>
    </row>
    <row r="191" ht="15.75" customHeight="1" s="88">
      <c r="D191" s="40" t="n"/>
      <c r="E191" s="40" t="n"/>
    </row>
    <row r="192" ht="15.75" customHeight="1" s="88">
      <c r="D192" s="40" t="n"/>
      <c r="E192" s="40" t="n"/>
    </row>
    <row r="193" ht="15.75" customHeight="1" s="88">
      <c r="D193" s="40" t="n"/>
      <c r="E193" s="40" t="n"/>
    </row>
    <row r="194" ht="15.75" customHeight="1" s="88">
      <c r="D194" s="40" t="n"/>
      <c r="E194" s="40" t="n"/>
    </row>
    <row r="195" ht="15.75" customHeight="1" s="88">
      <c r="D195" s="40" t="n"/>
      <c r="E195" s="40" t="n"/>
    </row>
    <row r="196" ht="15.75" customHeight="1" s="88">
      <c r="D196" s="40" t="n"/>
      <c r="E196" s="40" t="n"/>
    </row>
    <row r="197" ht="15.75" customHeight="1" s="88">
      <c r="D197" s="40" t="n"/>
      <c r="E197" s="40" t="n"/>
    </row>
    <row r="198" ht="15.75" customHeight="1" s="88">
      <c r="D198" s="40" t="n"/>
      <c r="E198" s="40" t="n"/>
    </row>
    <row r="199" ht="15.75" customHeight="1" s="88">
      <c r="D199" s="40" t="n"/>
      <c r="E199" s="40" t="n"/>
    </row>
    <row r="200" ht="15.75" customHeight="1" s="88">
      <c r="D200" s="40" t="n"/>
      <c r="E200" s="40" t="n"/>
    </row>
    <row r="201" ht="15.75" customHeight="1" s="88">
      <c r="D201" s="40" t="n"/>
      <c r="E201" s="40" t="n"/>
    </row>
    <row r="202" ht="15.75" customHeight="1" s="88">
      <c r="D202" s="40" t="n"/>
      <c r="E202" s="40" t="n"/>
    </row>
    <row r="203" ht="15.75" customHeight="1" s="88">
      <c r="D203" s="40" t="n"/>
      <c r="E203" s="40" t="n"/>
    </row>
    <row r="204" ht="15.75" customHeight="1" s="88">
      <c r="D204" s="40" t="n"/>
      <c r="E204" s="40" t="n"/>
    </row>
    <row r="205" ht="15.75" customHeight="1" s="88">
      <c r="D205" s="40" t="n"/>
      <c r="E205" s="40" t="n"/>
    </row>
    <row r="206" ht="15.75" customHeight="1" s="88">
      <c r="D206" s="40" t="n"/>
      <c r="E206" s="40" t="n"/>
    </row>
    <row r="207" ht="15.75" customHeight="1" s="88">
      <c r="D207" s="40" t="n"/>
      <c r="E207" s="40" t="n"/>
    </row>
    <row r="208" ht="15.75" customHeight="1" s="88">
      <c r="D208" s="40" t="n"/>
      <c r="E208" s="40" t="n"/>
    </row>
    <row r="209" ht="15.75" customHeight="1" s="88">
      <c r="D209" s="40" t="n"/>
      <c r="E209" s="40" t="n"/>
    </row>
    <row r="210" ht="15.75" customHeight="1" s="88">
      <c r="D210" s="40" t="n"/>
      <c r="E210" s="40" t="n"/>
    </row>
    <row r="211" ht="15.75" customHeight="1" s="88">
      <c r="D211" s="40" t="n"/>
      <c r="E211" s="40" t="n"/>
    </row>
    <row r="212" ht="15.75" customHeight="1" s="88">
      <c r="D212" s="40" t="n"/>
      <c r="E212" s="40" t="n"/>
    </row>
    <row r="213" ht="15.75" customHeight="1" s="88">
      <c r="D213" s="40" t="n"/>
      <c r="E213" s="40" t="n"/>
    </row>
    <row r="214" ht="15.75" customHeight="1" s="88">
      <c r="D214" s="40" t="n"/>
      <c r="E214" s="40" t="n"/>
    </row>
    <row r="215" ht="15.75" customHeight="1" s="88">
      <c r="D215" s="40" t="n"/>
      <c r="E215" s="40" t="n"/>
    </row>
    <row r="216" ht="15.75" customHeight="1" s="88">
      <c r="D216" s="40" t="n"/>
      <c r="E216" s="40" t="n"/>
    </row>
    <row r="217" ht="15.75" customHeight="1" s="88">
      <c r="D217" s="40" t="n"/>
      <c r="E217" s="40" t="n"/>
    </row>
    <row r="218" ht="15.75" customHeight="1" s="88">
      <c r="D218" s="40" t="n"/>
      <c r="E218" s="40" t="n"/>
    </row>
    <row r="219" ht="15.75" customHeight="1" s="88">
      <c r="D219" s="40" t="n"/>
      <c r="E219" s="40" t="n"/>
    </row>
    <row r="220" ht="15.75" customHeight="1" s="88">
      <c r="D220" s="40" t="n"/>
      <c r="E220" s="40" t="n"/>
    </row>
    <row r="221" ht="15.75" customHeight="1" s="88">
      <c r="D221" s="40" t="n"/>
      <c r="E221" s="40" t="n"/>
    </row>
    <row r="222" ht="15.75" customHeight="1" s="88">
      <c r="D222" s="40" t="n"/>
      <c r="E222" s="40" t="n"/>
    </row>
    <row r="223" ht="15.75" customHeight="1" s="88">
      <c r="D223" s="40" t="n"/>
      <c r="E223" s="40" t="n"/>
    </row>
    <row r="224" ht="15.75" customHeight="1" s="88">
      <c r="D224" s="40" t="n"/>
      <c r="E224" s="40" t="n"/>
    </row>
    <row r="225" ht="15.75" customHeight="1" s="88">
      <c r="D225" s="40" t="n"/>
      <c r="E225" s="40" t="n"/>
    </row>
    <row r="226" ht="15.75" customHeight="1" s="88">
      <c r="D226" s="40" t="n"/>
      <c r="E226" s="40" t="n"/>
    </row>
    <row r="227" ht="15.75" customHeight="1" s="88">
      <c r="D227" s="40" t="n"/>
      <c r="E227" s="40" t="n"/>
    </row>
    <row r="228" ht="15.75" customHeight="1" s="88">
      <c r="D228" s="40" t="n"/>
      <c r="E228" s="40" t="n"/>
    </row>
    <row r="229" ht="15.75" customHeight="1" s="88">
      <c r="D229" s="40" t="n"/>
      <c r="E229" s="40" t="n"/>
    </row>
    <row r="230" ht="15.75" customHeight="1" s="88">
      <c r="D230" s="40" t="n"/>
      <c r="E230" s="40" t="n"/>
    </row>
    <row r="231" ht="15.75" customHeight="1" s="88">
      <c r="D231" s="40" t="n"/>
      <c r="E231" s="40" t="n"/>
    </row>
    <row r="232" ht="15.75" customHeight="1" s="88">
      <c r="D232" s="40" t="n"/>
      <c r="E232" s="40" t="n"/>
    </row>
    <row r="233" ht="15.75" customHeight="1" s="88">
      <c r="D233" s="40" t="n"/>
      <c r="E233" s="40" t="n"/>
    </row>
    <row r="234" ht="15.75" customHeight="1" s="88">
      <c r="D234" s="40" t="n"/>
      <c r="E234" s="40" t="n"/>
    </row>
    <row r="235" ht="15.75" customHeight="1" s="88">
      <c r="D235" s="40" t="n"/>
      <c r="E235" s="40" t="n"/>
    </row>
    <row r="236" ht="15.75" customHeight="1" s="88">
      <c r="D236" s="40" t="n"/>
      <c r="E236" s="40" t="n"/>
    </row>
    <row r="237" ht="15.75" customHeight="1" s="88">
      <c r="D237" s="40" t="n"/>
      <c r="E237" s="40" t="n"/>
    </row>
    <row r="238" ht="15.75" customHeight="1" s="88">
      <c r="D238" s="40" t="n"/>
      <c r="E238" s="40" t="n"/>
    </row>
    <row r="239" ht="15.75" customHeight="1" s="88">
      <c r="D239" s="40" t="n"/>
      <c r="E239" s="40" t="n"/>
    </row>
    <row r="240" ht="15.75" customHeight="1" s="88">
      <c r="D240" s="40" t="n"/>
      <c r="E240" s="40" t="n"/>
    </row>
    <row r="241" ht="15.75" customHeight="1" s="88">
      <c r="D241" s="40" t="n"/>
      <c r="E241" s="40" t="n"/>
    </row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</sheetData>
  <mergeCells count="9">
    <mergeCell ref="A5:A6"/>
    <mergeCell ref="A4:H4"/>
    <mergeCell ref="A3:H3"/>
    <mergeCell ref="A2:H2"/>
    <mergeCell ref="G5:H5"/>
    <mergeCell ref="A1:H1"/>
    <mergeCell ref="A7:C7"/>
    <mergeCell ref="F39:H39"/>
    <mergeCell ref="B5:B6"/>
  </mergeCells>
  <conditionalFormatting sqref="F8:F37">
    <cfRule type="containsText" priority="3" operator="containsText" dxfId="1" text="AB">
      <formula>NOT(ISERROR(SEARCH(("AB"),(F8))))</formula>
    </cfRule>
  </conditionalFormatting>
  <conditionalFormatting sqref="G8:H37">
    <cfRule type="cellIs" priority="8" operator="equal" dxfId="0">
      <formula>0</formula>
    </cfRule>
  </conditionalFormatting>
  <conditionalFormatting sqref="E8:E37">
    <cfRule type="cellIs" priority="19" operator="equal" dxfId="0">
      <formula>"F"</formula>
    </cfRule>
    <cfRule type="colorScale" priority="20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88" min="1" max="1"/>
    <col width="8.8984375" customWidth="1" style="88" min="2" max="2"/>
    <col width="12.8984375" customWidth="1" style="88" min="3" max="3"/>
    <col width="13.19921875" customWidth="1" style="88" min="4" max="4"/>
    <col width="11" customWidth="1" style="88" min="5" max="5"/>
    <col width="12.69921875" customWidth="1" style="88" min="6" max="7"/>
    <col width="17.69921875" customWidth="1" style="88" min="8" max="8"/>
    <col width="13.19921875" customWidth="1" style="88" min="9" max="9"/>
    <col width="12.69921875" customWidth="1" style="88" min="10" max="26"/>
  </cols>
  <sheetData>
    <row r="1" ht="19.5" customHeight="1" s="88">
      <c r="A1" s="15">
        <f>'CO-PO Mapping'!A1:P1</f>
        <v/>
      </c>
      <c r="B1" s="123" t="n"/>
      <c r="C1" s="123" t="n"/>
      <c r="D1" s="123" t="n"/>
      <c r="E1" s="123" t="n"/>
      <c r="F1" s="123" t="n"/>
      <c r="G1" s="123" t="n"/>
      <c r="H1" s="123" t="n"/>
      <c r="I1" s="124" t="n"/>
    </row>
    <row r="2" ht="19.5" customHeight="1" s="88">
      <c r="A2" s="15" t="inlineStr">
        <is>
          <t xml:space="preserve">Attainment of Subject </t>
        </is>
      </c>
      <c r="B2" s="123" t="n"/>
      <c r="C2" s="123" t="n"/>
      <c r="D2" s="123" t="n"/>
      <c r="E2" s="123" t="n"/>
      <c r="F2" s="123" t="n"/>
      <c r="G2" s="123" t="n"/>
      <c r="H2" s="123" t="n"/>
      <c r="I2" s="124" t="n"/>
    </row>
    <row r="3" ht="19.5" customHeight="1" s="88">
      <c r="A3" s="15">
        <f>'CO-PO Mapping'!A3:P3</f>
        <v/>
      </c>
      <c r="B3" s="123" t="n"/>
      <c r="C3" s="123" t="n"/>
      <c r="D3" s="123" t="n"/>
      <c r="E3" s="123" t="n"/>
      <c r="F3" s="123" t="n"/>
      <c r="G3" s="123" t="n"/>
      <c r="H3" s="123" t="n"/>
      <c r="I3" s="124" t="n"/>
    </row>
    <row r="4" ht="19.5" customHeight="1" s="88">
      <c r="A4" s="15">
        <f>'CO-PO Mapping'!A4:P4</f>
        <v/>
      </c>
      <c r="B4" s="123" t="n"/>
      <c r="C4" s="123" t="n"/>
      <c r="D4" s="123" t="n"/>
      <c r="E4" s="123" t="n"/>
      <c r="F4" s="123" t="n"/>
      <c r="G4" s="123" t="n"/>
      <c r="H4" s="123" t="n"/>
      <c r="I4" s="124" t="n"/>
    </row>
    <row r="5" ht="78" customHeight="1" s="8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88">
      <c r="A6" s="41">
        <f>'CO-PO Mapping'!A11</f>
        <v/>
      </c>
      <c r="B6" s="41" t="inlineStr">
        <is>
          <t>5CS2-03</t>
        </is>
      </c>
      <c r="C6" s="41">
        <f>'Sessional + End Term Assessment'!D40</f>
        <v/>
      </c>
      <c r="D6" s="41">
        <f>'Sessional + End Term Assessment'!E40</f>
        <v/>
      </c>
      <c r="E6" s="41">
        <f>D6*'Sessional + End Term Assessment'!D6/'Sessional + End Term Assessment'!F6</f>
        <v/>
      </c>
      <c r="F6" s="41">
        <f>'Sessional + End Term Assessment'!D41</f>
        <v/>
      </c>
      <c r="G6" s="41">
        <f>'Sessional + End Term Assessment'!E41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88">
      <c r="A7" s="33" t="inlineStr">
        <is>
          <t>Signature HOD</t>
        </is>
      </c>
      <c r="B7" s="126" t="n"/>
      <c r="C7" s="126" t="n"/>
      <c r="D7" s="126" t="n"/>
      <c r="E7" s="126" t="n"/>
      <c r="F7" s="127" t="n"/>
      <c r="G7" s="32" t="inlineStr">
        <is>
          <t>Signature Subject Teacher</t>
        </is>
      </c>
      <c r="H7" s="123" t="n"/>
      <c r="I7" s="124" t="n"/>
    </row>
    <row r="8" ht="13.8" customHeight="1" s="88">
      <c r="A8" s="128" t="n"/>
      <c r="F8" s="129" t="n"/>
      <c r="G8" s="33" t="n"/>
      <c r="H8" s="126" t="n"/>
      <c r="I8" s="127" t="n"/>
    </row>
    <row r="9" ht="13.8" customHeight="1" s="88">
      <c r="A9" s="130" t="n"/>
      <c r="B9" s="131" t="n"/>
      <c r="C9" s="131" t="n"/>
      <c r="D9" s="131" t="n"/>
      <c r="E9" s="131" t="n"/>
      <c r="F9" s="132" t="n"/>
      <c r="G9" s="130" t="n"/>
      <c r="H9" s="131" t="n"/>
      <c r="I9" s="132" t="n"/>
    </row>
    <row r="21" ht="15.75" customHeight="1" s="88"/>
    <row r="22" ht="15.75" customHeight="1" s="88"/>
    <row r="23" ht="15.75" customHeight="1" s="88"/>
    <row r="24" ht="15.75" customHeight="1" s="88"/>
    <row r="25" ht="15.75" customHeight="1" s="88"/>
    <row r="26" ht="15.75" customHeight="1" s="88"/>
    <row r="27" ht="15.75" customHeight="1" s="88"/>
    <row r="28" ht="15.75" customHeight="1" s="88"/>
    <row r="29" ht="15.75" customHeight="1" s="88"/>
    <row r="30" ht="15.75" customHeight="1" s="88"/>
    <row r="31" ht="15.75" customHeight="1" s="88"/>
    <row r="32" ht="15.75" customHeight="1" s="88"/>
    <row r="33" ht="15.75" customHeight="1" s="88"/>
    <row r="34" ht="15.75" customHeight="1" s="88"/>
    <row r="35" ht="15.75" customHeight="1" s="88"/>
    <row r="36" ht="15.75" customHeight="1" s="88"/>
    <row r="37" ht="15.75" customHeight="1" s="88"/>
    <row r="38" ht="15.75" customHeight="1" s="88"/>
    <row r="39" ht="15.75" customHeight="1" s="88"/>
    <row r="40" ht="15.75" customHeight="1" s="88"/>
    <row r="41" ht="15.75" customHeight="1" s="88"/>
    <row r="42" ht="15.75" customHeight="1" s="88"/>
    <row r="43" ht="15.75" customHeight="1" s="88"/>
    <row r="44" ht="15.75" customHeight="1" s="88"/>
    <row r="45" ht="15.75" customHeight="1" s="88"/>
    <row r="46" ht="15.75" customHeight="1" s="88"/>
    <row r="47" ht="15.75" customHeight="1" s="88"/>
    <row r="48" ht="15.75" customHeight="1" s="88"/>
    <row r="49" ht="15.75" customHeight="1" s="88"/>
    <row r="50" ht="15.75" customHeight="1" s="88"/>
    <row r="51" ht="15.75" customHeight="1" s="88"/>
    <row r="52" ht="15.75" customHeight="1" s="88"/>
    <row r="53" ht="15.75" customHeight="1" s="88"/>
    <row r="54" ht="15.75" customHeight="1" s="88"/>
    <row r="55" ht="15.75" customHeight="1" s="88"/>
    <row r="56" ht="15.75" customHeight="1" s="88"/>
    <row r="57" ht="15.75" customHeight="1" s="88"/>
    <row r="58" ht="15.75" customHeight="1" s="88"/>
    <row r="59" ht="15.75" customHeight="1" s="88"/>
    <row r="60" ht="15.75" customHeight="1" s="88"/>
    <row r="61" ht="15.75" customHeight="1" s="88"/>
    <row r="62" ht="15.75" customHeight="1" s="88"/>
    <row r="63" ht="15.75" customHeight="1" s="88"/>
    <row r="64" ht="15.75" customHeight="1" s="88"/>
    <row r="65" ht="15.75" customHeight="1" s="88"/>
    <row r="66" ht="15.75" customHeight="1" s="88"/>
    <row r="67" ht="15.75" customHeight="1" s="88"/>
    <row r="68" ht="15.75" customHeight="1" s="88"/>
    <row r="69" ht="15.75" customHeight="1" s="88"/>
    <row r="70" ht="15.75" customHeight="1" s="88"/>
    <row r="71" ht="15.75" customHeight="1" s="88"/>
    <row r="72" ht="15.75" customHeight="1" s="88"/>
    <row r="73" ht="15.75" customHeight="1" s="88"/>
    <row r="74" ht="15.75" customHeight="1" s="88"/>
    <row r="75" ht="15.75" customHeight="1" s="88"/>
    <row r="76" ht="15.75" customHeight="1" s="88"/>
    <row r="77" ht="15.75" customHeight="1" s="88"/>
    <row r="78" ht="15.75" customHeight="1" s="88"/>
    <row r="79" ht="15.75" customHeight="1" s="88"/>
    <row r="80" ht="15.75" customHeight="1" s="88"/>
    <row r="81" ht="15.75" customHeight="1" s="88"/>
    <row r="82" ht="15.75" customHeight="1" s="88"/>
    <row r="83" ht="15.75" customHeight="1" s="88"/>
    <row r="84" ht="15.75" customHeight="1" s="88"/>
    <row r="85" ht="15.75" customHeight="1" s="88"/>
    <row r="86" ht="15.75" customHeight="1" s="88"/>
    <row r="87" ht="15.75" customHeight="1" s="88"/>
    <row r="88" ht="15.75" customHeight="1" s="88"/>
    <row r="89" ht="15.75" customHeight="1" s="88"/>
    <row r="90" ht="15.75" customHeight="1" s="88"/>
    <row r="91" ht="15.75" customHeight="1" s="88"/>
    <row r="92" ht="15.75" customHeight="1" s="88"/>
    <row r="93" ht="15.75" customHeight="1" s="88"/>
    <row r="94" ht="15.75" customHeight="1" s="88"/>
    <row r="95" ht="15.75" customHeight="1" s="88"/>
    <row r="96" ht="15.75" customHeight="1" s="88"/>
    <row r="97" ht="15.75" customHeight="1" s="88"/>
    <row r="98" ht="15.75" customHeight="1" s="88"/>
    <row r="99" ht="15.75" customHeight="1" s="88"/>
    <row r="100" ht="15.75" customHeight="1" s="88"/>
    <row r="101" ht="15.75" customHeight="1" s="88"/>
    <row r="102" ht="15.75" customHeight="1" s="88"/>
    <row r="103" ht="15.75" customHeight="1" s="88"/>
    <row r="104" ht="15.75" customHeight="1" s="88"/>
    <row r="105" ht="15.75" customHeight="1" s="88"/>
    <row r="106" ht="15.75" customHeight="1" s="88"/>
    <row r="107" ht="15.75" customHeight="1" s="88"/>
    <row r="108" ht="15.75" customHeight="1" s="88"/>
    <row r="109" ht="15.75" customHeight="1" s="88"/>
    <row r="110" ht="15.75" customHeight="1" s="88"/>
    <row r="111" ht="15.75" customHeight="1" s="88"/>
    <row r="112" ht="15.75" customHeight="1" s="88"/>
    <row r="113" ht="15.75" customHeight="1" s="88"/>
    <row r="114" ht="15.75" customHeight="1" s="88"/>
    <row r="115" ht="15.75" customHeight="1" s="88"/>
    <row r="116" ht="15.75" customHeight="1" s="88"/>
    <row r="117" ht="15.75" customHeight="1" s="88"/>
    <row r="118" ht="15.75" customHeight="1" s="88"/>
    <row r="119" ht="15.75" customHeight="1" s="88"/>
    <row r="120" ht="15.75" customHeight="1" s="88"/>
    <row r="121" ht="15.75" customHeight="1" s="88"/>
    <row r="122" ht="15.75" customHeight="1" s="88"/>
    <row r="123" ht="15.75" customHeight="1" s="88"/>
    <row r="124" ht="15.75" customHeight="1" s="88"/>
    <row r="125" ht="15.75" customHeight="1" s="88"/>
    <row r="126" ht="15.75" customHeight="1" s="88"/>
    <row r="127" ht="15.75" customHeight="1" s="88"/>
    <row r="128" ht="15.75" customHeight="1" s="88"/>
    <row r="129" ht="15.75" customHeight="1" s="88"/>
    <row r="130" ht="15.75" customHeight="1" s="88"/>
    <row r="131" ht="15.75" customHeight="1" s="88"/>
    <row r="132" ht="15.75" customHeight="1" s="88"/>
    <row r="133" ht="15.75" customHeight="1" s="88"/>
    <row r="134" ht="15.75" customHeight="1" s="88"/>
    <row r="135" ht="15.75" customHeight="1" s="88"/>
    <row r="136" ht="15.75" customHeight="1" s="88"/>
    <row r="137" ht="15.75" customHeight="1" s="88"/>
    <row r="138" ht="15.75" customHeight="1" s="88"/>
    <row r="139" ht="15.75" customHeight="1" s="88"/>
    <row r="140" ht="15.75" customHeight="1" s="88"/>
    <row r="141" ht="15.75" customHeight="1" s="88"/>
    <row r="142" ht="15.75" customHeight="1" s="88"/>
    <row r="143" ht="15.75" customHeight="1" s="88"/>
    <row r="144" ht="15.75" customHeight="1" s="88"/>
    <row r="145" ht="15.75" customHeight="1" s="88"/>
    <row r="146" ht="15.75" customHeight="1" s="88"/>
    <row r="147" ht="15.75" customHeight="1" s="88"/>
    <row r="148" ht="15.75" customHeight="1" s="88"/>
    <row r="149" ht="15.75" customHeight="1" s="88"/>
    <row r="150" ht="15.75" customHeight="1" s="88"/>
    <row r="151" ht="15.75" customHeight="1" s="88"/>
    <row r="152" ht="15.75" customHeight="1" s="88"/>
    <row r="153" ht="15.75" customHeight="1" s="88"/>
    <row r="154" ht="15.75" customHeight="1" s="88"/>
    <row r="155" ht="15.75" customHeight="1" s="88"/>
    <row r="156" ht="15.75" customHeight="1" s="88"/>
    <row r="157" ht="15.75" customHeight="1" s="88"/>
    <row r="158" ht="15.75" customHeight="1" s="88"/>
    <row r="159" ht="15.75" customHeight="1" s="88"/>
    <row r="160" ht="15.75" customHeight="1" s="88"/>
    <row r="161" ht="15.75" customHeight="1" s="88"/>
    <row r="162" ht="15.75" customHeight="1" s="88"/>
    <row r="163" ht="15.75" customHeight="1" s="88"/>
    <row r="164" ht="15.75" customHeight="1" s="88"/>
    <row r="165" ht="15.75" customHeight="1" s="88"/>
    <row r="166" ht="15.75" customHeight="1" s="88"/>
    <row r="167" ht="15.75" customHeight="1" s="88"/>
    <row r="168" ht="15.75" customHeight="1" s="88"/>
    <row r="169" ht="15.75" customHeight="1" s="88"/>
    <row r="170" ht="15.75" customHeight="1" s="88"/>
    <row r="171" ht="15.75" customHeight="1" s="88"/>
    <row r="172" ht="15.75" customHeight="1" s="88"/>
    <row r="173" ht="15.75" customHeight="1" s="88"/>
    <row r="174" ht="15.75" customHeight="1" s="88"/>
    <row r="175" ht="15.75" customHeight="1" s="88"/>
    <row r="176" ht="15.75" customHeight="1" s="88"/>
    <row r="177" ht="15.75" customHeight="1" s="88"/>
    <row r="178" ht="15.75" customHeight="1" s="88"/>
    <row r="179" ht="15.75" customHeight="1" s="88"/>
    <row r="180" ht="15.75" customHeight="1" s="88"/>
    <row r="181" ht="15.75" customHeight="1" s="88"/>
    <row r="182" ht="15.75" customHeight="1" s="88"/>
    <row r="183" ht="15.75" customHeight="1" s="88"/>
    <row r="184" ht="15.75" customHeight="1" s="88"/>
    <row r="185" ht="15.75" customHeight="1" s="88"/>
    <row r="186" ht="15.75" customHeight="1" s="88"/>
    <row r="187" ht="15.75" customHeight="1" s="88"/>
    <row r="188" ht="15.75" customHeight="1" s="88"/>
    <row r="189" ht="15.75" customHeight="1" s="88"/>
    <row r="190" ht="15.75" customHeight="1" s="88"/>
    <row r="191" ht="15.75" customHeight="1" s="88"/>
    <row r="192" ht="15.75" customHeight="1" s="88"/>
    <row r="193" ht="15.75" customHeight="1" s="88"/>
    <row r="194" ht="15.75" customHeight="1" s="88"/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88" min="1" max="1"/>
    <col width="7.69921875" customWidth="1" style="88" min="2" max="26"/>
  </cols>
  <sheetData>
    <row r="1" ht="19.5" customHeight="1" s="88">
      <c r="A1" s="15">
        <f>'CO-PO Mapping'!A1:P1</f>
        <v/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4" t="n"/>
    </row>
    <row r="2" ht="19.5" customHeight="1" s="88">
      <c r="A2" s="15" t="inlineStr">
        <is>
          <t>CO to PO &amp; PSO Attainment Through End Term Assessment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4" t="n"/>
    </row>
    <row r="3" ht="19.5" customHeight="1" s="88">
      <c r="A3" s="15">
        <f>'CO-PO Mapping'!A4:P4</f>
        <v/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4" t="n"/>
    </row>
    <row r="4" ht="19.5" customHeight="1" s="88">
      <c r="A4" s="15" t="n"/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4" t="n"/>
    </row>
    <row r="5" ht="19.5" customHeight="1" s="8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8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88">
      <c r="A7" s="33" t="inlineStr">
        <is>
          <t>Signature Subject Teacher</t>
        </is>
      </c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4" t="n"/>
      <c r="N7" s="33" t="n"/>
      <c r="O7" s="123" t="n"/>
      <c r="P7" s="124" t="n"/>
    </row>
    <row r="21" ht="15.75" customHeight="1" s="88"/>
    <row r="22" ht="15.75" customHeight="1" s="88"/>
    <row r="23" ht="15.75" customHeight="1" s="88"/>
    <row r="24" ht="15.75" customHeight="1" s="88"/>
    <row r="25" ht="15.75" customHeight="1" s="88"/>
    <row r="26" ht="15.75" customHeight="1" s="88"/>
    <row r="27" ht="15.75" customHeight="1" s="88"/>
    <row r="28" ht="15.75" customHeight="1" s="88"/>
    <row r="29" ht="15.75" customHeight="1" s="88"/>
    <row r="30" ht="15.75" customHeight="1" s="88"/>
    <row r="31" ht="15.75" customHeight="1" s="88"/>
    <row r="32" ht="15.75" customHeight="1" s="88"/>
    <row r="33" ht="15.75" customHeight="1" s="88"/>
    <row r="34" ht="15.75" customHeight="1" s="88"/>
    <row r="35" ht="15.75" customHeight="1" s="88"/>
    <row r="36" ht="15.75" customHeight="1" s="88"/>
    <row r="37" ht="15.75" customHeight="1" s="88"/>
    <row r="38" ht="15.75" customHeight="1" s="88"/>
    <row r="39" ht="15.75" customHeight="1" s="88"/>
    <row r="40" ht="15.75" customHeight="1" s="88"/>
    <row r="41" ht="15.75" customHeight="1" s="88"/>
    <row r="42" ht="15.75" customHeight="1" s="88"/>
    <row r="43" ht="15.75" customHeight="1" s="88"/>
    <row r="44" ht="15.75" customHeight="1" s="88"/>
    <row r="45" ht="15.75" customHeight="1" s="88"/>
    <row r="46" ht="15.75" customHeight="1" s="88"/>
    <row r="47" ht="15.75" customHeight="1" s="88"/>
    <row r="48" ht="15.75" customHeight="1" s="88"/>
    <row r="49" ht="15.75" customHeight="1" s="88"/>
    <row r="50" ht="15.75" customHeight="1" s="88"/>
    <row r="51" ht="15.75" customHeight="1" s="88"/>
    <row r="52" ht="15.75" customHeight="1" s="88"/>
    <row r="53" ht="15.75" customHeight="1" s="88"/>
    <row r="54" ht="15.75" customHeight="1" s="88"/>
    <row r="55" ht="15.75" customHeight="1" s="88"/>
    <row r="56" ht="15.75" customHeight="1" s="88"/>
    <row r="57" ht="15.75" customHeight="1" s="88"/>
    <row r="58" ht="15.75" customHeight="1" s="88"/>
    <row r="59" ht="15.75" customHeight="1" s="88"/>
    <row r="60" ht="15.75" customHeight="1" s="88"/>
    <row r="61" ht="15.75" customHeight="1" s="88"/>
    <row r="62" ht="15.75" customHeight="1" s="88"/>
    <row r="63" ht="15.75" customHeight="1" s="88"/>
    <row r="64" ht="15.75" customHeight="1" s="88"/>
    <row r="65" ht="15.75" customHeight="1" s="88"/>
    <row r="66" ht="15.75" customHeight="1" s="88"/>
    <row r="67" ht="15.75" customHeight="1" s="88"/>
    <row r="68" ht="15.75" customHeight="1" s="88"/>
    <row r="69" ht="15.75" customHeight="1" s="88"/>
    <row r="70" ht="15.75" customHeight="1" s="88"/>
    <row r="71" ht="15.75" customHeight="1" s="88"/>
    <row r="72" ht="15.75" customHeight="1" s="88"/>
    <row r="73" ht="15.75" customHeight="1" s="88"/>
    <row r="74" ht="15.75" customHeight="1" s="88"/>
    <row r="75" ht="15.75" customHeight="1" s="88"/>
    <row r="76" ht="15.75" customHeight="1" s="88"/>
    <row r="77" ht="15.75" customHeight="1" s="88"/>
    <row r="78" ht="15.75" customHeight="1" s="88"/>
    <row r="79" ht="15.75" customHeight="1" s="88"/>
    <row r="80" ht="15.75" customHeight="1" s="88"/>
    <row r="81" ht="15.75" customHeight="1" s="88"/>
    <row r="82" ht="15.75" customHeight="1" s="88"/>
    <row r="83" ht="15.75" customHeight="1" s="88"/>
    <row r="84" ht="15.75" customHeight="1" s="88"/>
    <row r="85" ht="15.75" customHeight="1" s="88"/>
    <row r="86" ht="15.75" customHeight="1" s="88"/>
    <row r="87" ht="15.75" customHeight="1" s="88"/>
    <row r="88" ht="15.75" customHeight="1" s="88"/>
    <row r="89" ht="15.75" customHeight="1" s="88"/>
    <row r="90" ht="15.75" customHeight="1" s="88"/>
    <row r="91" ht="15.75" customHeight="1" s="88"/>
    <row r="92" ht="15.75" customHeight="1" s="88"/>
    <row r="93" ht="15.75" customHeight="1" s="88"/>
    <row r="94" ht="15.75" customHeight="1" s="88"/>
    <row r="95" ht="15.75" customHeight="1" s="88"/>
    <row r="96" ht="15.75" customHeight="1" s="88"/>
    <row r="97" ht="15.75" customHeight="1" s="88"/>
    <row r="98" ht="15.75" customHeight="1" s="88"/>
    <row r="99" ht="15.75" customHeight="1" s="88"/>
    <row r="100" ht="15.75" customHeight="1" s="88"/>
    <row r="101" ht="15.75" customHeight="1" s="88"/>
    <row r="102" ht="15.75" customHeight="1" s="88"/>
    <row r="103" ht="15.75" customHeight="1" s="88"/>
    <row r="104" ht="15.75" customHeight="1" s="88"/>
    <row r="105" ht="15.75" customHeight="1" s="88"/>
    <row r="106" ht="15.75" customHeight="1" s="88"/>
    <row r="107" ht="15.75" customHeight="1" s="88"/>
    <row r="108" ht="15.75" customHeight="1" s="88"/>
    <row r="109" ht="15.75" customHeight="1" s="88"/>
    <row r="110" ht="15.75" customHeight="1" s="88"/>
    <row r="111" ht="15.75" customHeight="1" s="88"/>
    <row r="112" ht="15.75" customHeight="1" s="88"/>
    <row r="113" ht="15.75" customHeight="1" s="88"/>
    <row r="114" ht="15.75" customHeight="1" s="88"/>
    <row r="115" ht="15.75" customHeight="1" s="88"/>
    <row r="116" ht="15.75" customHeight="1" s="88"/>
    <row r="117" ht="15.75" customHeight="1" s="88"/>
    <row r="118" ht="15.75" customHeight="1" s="88"/>
    <row r="119" ht="15.75" customHeight="1" s="88"/>
    <row r="120" ht="15.75" customHeight="1" s="88"/>
    <row r="121" ht="15.75" customHeight="1" s="88"/>
    <row r="122" ht="15.75" customHeight="1" s="88"/>
    <row r="123" ht="15.75" customHeight="1" s="88"/>
    <row r="124" ht="15.75" customHeight="1" s="88"/>
    <row r="125" ht="15.75" customHeight="1" s="88"/>
    <row r="126" ht="15.75" customHeight="1" s="88"/>
    <row r="127" ht="15.75" customHeight="1" s="88"/>
    <row r="128" ht="15.75" customHeight="1" s="88"/>
    <row r="129" ht="15.75" customHeight="1" s="88"/>
    <row r="130" ht="15.75" customHeight="1" s="88"/>
    <row r="131" ht="15.75" customHeight="1" s="88"/>
    <row r="132" ht="15.75" customHeight="1" s="88"/>
    <row r="133" ht="15.75" customHeight="1" s="88"/>
    <row r="134" ht="15.75" customHeight="1" s="88"/>
    <row r="135" ht="15.75" customHeight="1" s="88"/>
    <row r="136" ht="15.75" customHeight="1" s="88"/>
    <row r="137" ht="15.75" customHeight="1" s="88"/>
    <row r="138" ht="15.75" customHeight="1" s="88"/>
    <row r="139" ht="15.75" customHeight="1" s="88"/>
    <row r="140" ht="15.75" customHeight="1" s="88"/>
    <row r="141" ht="15.75" customHeight="1" s="88"/>
    <row r="142" ht="15.75" customHeight="1" s="88"/>
    <row r="143" ht="15.75" customHeight="1" s="88"/>
    <row r="144" ht="15.75" customHeight="1" s="88"/>
    <row r="145" ht="15.75" customHeight="1" s="88"/>
    <row r="146" ht="15.75" customHeight="1" s="88"/>
    <row r="147" ht="15.75" customHeight="1" s="88"/>
    <row r="148" ht="15.75" customHeight="1" s="88"/>
    <row r="149" ht="15.75" customHeight="1" s="88"/>
    <row r="150" ht="15.75" customHeight="1" s="88"/>
    <row r="151" ht="15.75" customHeight="1" s="88"/>
    <row r="152" ht="15.75" customHeight="1" s="88"/>
    <row r="153" ht="15.75" customHeight="1" s="88"/>
    <row r="154" ht="15.75" customHeight="1" s="88"/>
    <row r="155" ht="15.75" customHeight="1" s="88"/>
    <row r="156" ht="15.75" customHeight="1" s="88"/>
    <row r="157" ht="15.75" customHeight="1" s="88"/>
    <row r="158" ht="15.75" customHeight="1" s="88"/>
    <row r="159" ht="15.75" customHeight="1" s="88"/>
    <row r="160" ht="15.75" customHeight="1" s="88"/>
    <row r="161" ht="15.75" customHeight="1" s="88"/>
    <row r="162" ht="15.75" customHeight="1" s="88"/>
    <row r="163" ht="15.75" customHeight="1" s="88"/>
    <row r="164" ht="15.75" customHeight="1" s="88"/>
    <row r="165" ht="15.75" customHeight="1" s="88"/>
    <row r="166" ht="15.75" customHeight="1" s="88"/>
    <row r="167" ht="15.75" customHeight="1" s="88"/>
    <row r="168" ht="15.75" customHeight="1" s="88"/>
    <row r="169" ht="15.75" customHeight="1" s="88"/>
    <row r="170" ht="15.75" customHeight="1" s="88"/>
    <row r="171" ht="15.75" customHeight="1" s="88"/>
    <row r="172" ht="15.75" customHeight="1" s="88"/>
    <row r="173" ht="15.75" customHeight="1" s="88"/>
    <row r="174" ht="15.75" customHeight="1" s="88"/>
    <row r="175" ht="15.75" customHeight="1" s="88"/>
    <row r="176" ht="15.75" customHeight="1" s="88"/>
    <row r="177" ht="15.75" customHeight="1" s="88"/>
    <row r="178" ht="15.75" customHeight="1" s="88"/>
    <row r="179" ht="15.75" customHeight="1" s="88"/>
    <row r="180" ht="15.75" customHeight="1" s="88"/>
    <row r="181" ht="15.75" customHeight="1" s="88"/>
    <row r="182" ht="15.75" customHeight="1" s="88"/>
    <row r="183" ht="15.75" customHeight="1" s="88"/>
    <row r="184" ht="15.75" customHeight="1" s="88"/>
    <row r="185" ht="15.75" customHeight="1" s="88"/>
    <row r="186" ht="15.75" customHeight="1" s="88"/>
    <row r="187" ht="15.75" customHeight="1" s="88"/>
    <row r="188" ht="15.75" customHeight="1" s="88"/>
    <row r="189" ht="15.75" customHeight="1" s="88"/>
    <row r="190" ht="15.75" customHeight="1" s="88"/>
    <row r="191" ht="15.75" customHeight="1" s="88"/>
    <row r="192" ht="15.75" customHeight="1" s="88"/>
    <row r="193" ht="15.75" customHeight="1" s="88"/>
    <row r="194" ht="15.75" customHeight="1" s="88"/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4"/>
  <sheetViews>
    <sheetView topLeftCell="A27" workbookViewId="0">
      <selection activeCell="D43" sqref="D43"/>
    </sheetView>
  </sheetViews>
  <sheetFormatPr baseColWidth="8" defaultColWidth="12.59765625" defaultRowHeight="15" customHeight="1"/>
  <cols>
    <col width="5.69921875" customWidth="1" style="88" min="1" max="1"/>
    <col width="14.19921875" customWidth="1" style="88" min="2" max="2"/>
    <col width="35.3984375" customWidth="1" style="88" min="3" max="3"/>
    <col width="15.19921875" customWidth="1" style="88" min="4" max="11"/>
    <col width="14.69921875" customWidth="1" style="88" min="12" max="15"/>
    <col width="15.19921875" customWidth="1" style="88" min="16" max="17"/>
    <col width="9.8984375" customWidth="1" style="88" min="18" max="18"/>
    <col width="8" customWidth="1" style="88" min="19" max="20"/>
    <col width="10.8984375" customWidth="1" style="88" min="21" max="21"/>
    <col width="4.69921875" customWidth="1" style="88" min="22" max="22"/>
    <col width="8" customWidth="1" style="88" min="23" max="24"/>
    <col width="12.69921875" customWidth="1" style="88" min="25" max="25"/>
    <col width="15.5" customWidth="1" style="88" min="26" max="26"/>
    <col width="12.69921875" customWidth="1" style="88" min="27" max="29"/>
  </cols>
  <sheetData>
    <row r="1" ht="19.5" customHeight="1" s="88">
      <c r="A1" s="65">
        <f>'CO-PO Mapping'!A1:R1</f>
        <v/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4" t="n"/>
      <c r="S1" s="44" t="n"/>
      <c r="T1" s="44" t="n"/>
      <c r="U1" s="44" t="n"/>
      <c r="V1" s="44" t="n"/>
      <c r="W1" s="44" t="n"/>
      <c r="X1" s="44" t="n"/>
    </row>
    <row r="2" ht="19.5" customHeight="1" s="88">
      <c r="A2" s="65" t="inlineStr">
        <is>
          <t>MID TERM I EXAM MARK RECORD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4" t="n"/>
      <c r="S2" s="44" t="n"/>
      <c r="T2" s="44" t="n"/>
      <c r="U2" s="44" t="n"/>
      <c r="V2" s="44" t="n"/>
      <c r="W2" s="44" t="n"/>
      <c r="X2" s="44" t="n"/>
    </row>
    <row r="3" ht="19.5" customHeight="1" s="88">
      <c r="A3" s="65">
        <f>'CO-PO Mapping'!A3:R3</f>
        <v/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4" t="n"/>
      <c r="S3" s="44" t="n"/>
      <c r="T3" s="44" t="n"/>
      <c r="U3" s="44" t="n"/>
      <c r="V3" s="44" t="n"/>
      <c r="W3" s="44" t="n"/>
      <c r="X3" s="44" t="n"/>
    </row>
    <row r="4" ht="19.5" customHeight="1" s="88">
      <c r="A4" s="65" t="inlineStr">
        <is>
          <t>S.NO.</t>
        </is>
      </c>
      <c r="B4" s="133" t="inlineStr">
        <is>
          <t>RollNo</t>
        </is>
      </c>
      <c r="C4" s="65" t="inlineStr">
        <is>
          <t>NAME OF STUDENT</t>
        </is>
      </c>
      <c r="D4" s="65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4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88">
      <c r="A5" s="134" t="n"/>
      <c r="B5" s="134" t="n"/>
      <c r="C5" s="65" t="inlineStr">
        <is>
          <t>CO MAPPED</t>
        </is>
      </c>
      <c r="D5" s="65" t="inlineStr">
        <is>
          <t>CO1</t>
        </is>
      </c>
      <c r="E5" s="133" t="inlineStr">
        <is>
          <t xml:space="preserve">Target 70% students attain 70% marks (1) </t>
        </is>
      </c>
      <c r="F5" s="133" t="inlineStr">
        <is>
          <t>Target 70% students attain 80% marks (2)</t>
        </is>
      </c>
      <c r="G5" s="133" t="inlineStr">
        <is>
          <t>Target 70% students attain 90% marks (3)</t>
        </is>
      </c>
      <c r="H5" s="65" t="inlineStr">
        <is>
          <t>CO2</t>
        </is>
      </c>
      <c r="I5" s="133" t="inlineStr">
        <is>
          <t xml:space="preserve">Target 70% students attain 70% marks (1) </t>
        </is>
      </c>
      <c r="J5" s="133" t="inlineStr">
        <is>
          <t>Target 70% students attain 80% marks (2)</t>
        </is>
      </c>
      <c r="K5" s="133" t="inlineStr">
        <is>
          <t>Target 70% students attain 90% marks (3)</t>
        </is>
      </c>
      <c r="L5" s="65" t="inlineStr">
        <is>
          <t>CO3</t>
        </is>
      </c>
      <c r="M5" s="111" t="inlineStr">
        <is>
          <t xml:space="preserve">Target 50% students attain 70% marks (1) </t>
        </is>
      </c>
      <c r="N5" s="111" t="inlineStr">
        <is>
          <t>Target 50% students attain 80% marks (2)</t>
        </is>
      </c>
      <c r="O5" s="111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5" t="n"/>
      <c r="S5" s="44" t="n"/>
      <c r="T5" s="44" t="n"/>
      <c r="U5" s="44" t="n"/>
      <c r="V5" s="44" t="n"/>
      <c r="W5" s="44" t="n"/>
      <c r="X5" s="44" t="n"/>
    </row>
    <row r="6" ht="54.75" customHeight="1" s="88">
      <c r="A6" s="125" t="n"/>
      <c r="B6" s="125" t="n"/>
      <c r="C6" s="65" t="inlineStr">
        <is>
          <t>MAX MARKS</t>
        </is>
      </c>
      <c r="D6" s="66" t="n">
        <v>28</v>
      </c>
      <c r="E6" s="125" t="n"/>
      <c r="F6" s="125" t="n"/>
      <c r="G6" s="125" t="n"/>
      <c r="H6" s="66" t="n">
        <v>28</v>
      </c>
      <c r="I6" s="125" t="n"/>
      <c r="J6" s="125" t="n"/>
      <c r="K6" s="125" t="n"/>
      <c r="L6" s="66" t="n">
        <v>14</v>
      </c>
      <c r="M6" s="134" t="n"/>
      <c r="N6" s="134" t="n"/>
      <c r="O6" s="134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88">
      <c r="A7" s="69">
        <f>'Sessional + End Term Assessment'!A8</f>
        <v/>
      </c>
      <c r="B7" s="79">
        <f>'Sessional + End Term Assessment'!B8</f>
        <v/>
      </c>
      <c r="C7" s="79">
        <f>'Sessional + End Term Assessment'!C8</f>
        <v/>
      </c>
      <c r="D7" s="78" t="n">
        <v>24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78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78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78" t="n">
        <v>61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88">
      <c r="A8" s="69">
        <f>'Sessional + End Term Assessment'!A9</f>
        <v/>
      </c>
      <c r="B8" s="79">
        <f>'Sessional + End Term Assessment'!B9</f>
        <v/>
      </c>
      <c r="C8" s="79">
        <f>'Sessional + End Term Assessment'!C9</f>
        <v/>
      </c>
      <c r="D8" s="78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78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78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88">
      <c r="A9" s="69">
        <f>'Sessional + End Term Assessment'!A10</f>
        <v/>
      </c>
      <c r="B9" s="79">
        <f>'Sessional + End Term Assessment'!B10</f>
        <v/>
      </c>
      <c r="C9" s="79">
        <f>'Sessional + End Term Assessment'!C10</f>
        <v/>
      </c>
      <c r="D9" s="78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78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78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78" t="n">
        <v>57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88">
      <c r="A10" s="69">
        <f>'Sessional + End Term Assessment'!A11</f>
        <v/>
      </c>
      <c r="B10" s="79">
        <f>'Sessional + End Term Assessment'!B11</f>
        <v/>
      </c>
      <c r="C10" s="79">
        <f>'Sessional + End Term Assessment'!C11</f>
        <v/>
      </c>
      <c r="D10" s="78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78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78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78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88">
      <c r="A11" s="69">
        <f>'Sessional + End Term Assessment'!A12</f>
        <v/>
      </c>
      <c r="B11" s="79">
        <f>'Sessional + End Term Assessment'!B12</f>
        <v/>
      </c>
      <c r="C11" s="79">
        <f>'Sessional + End Term Assessment'!C12</f>
        <v/>
      </c>
      <c r="D11" s="78" t="n">
        <v>24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78" t="n">
        <v>21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78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78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88">
      <c r="A12" s="69">
        <f>'Sessional + End Term Assessment'!A13</f>
        <v/>
      </c>
      <c r="B12" s="79">
        <f>'Sessional + End Term Assessment'!B13</f>
        <v/>
      </c>
      <c r="C12" s="79">
        <f>'Sessional + End Term Assessment'!C13</f>
        <v/>
      </c>
      <c r="D12" s="78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78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78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88">
      <c r="A13" s="69">
        <f>'Sessional + End Term Assessment'!A14</f>
        <v/>
      </c>
      <c r="B13" s="79">
        <f>'Sessional + End Term Assessment'!B14</f>
        <v/>
      </c>
      <c r="C13" s="79">
        <f>'Sessional + End Term Assessment'!C14</f>
        <v/>
      </c>
      <c r="D13" s="78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78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78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78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88">
      <c r="A14" s="69">
        <f>'Sessional + End Term Assessment'!A15</f>
        <v/>
      </c>
      <c r="B14" s="79">
        <f>'Sessional + End Term Assessment'!B15</f>
        <v/>
      </c>
      <c r="C14" s="79">
        <f>'Sessional + End Term Assessment'!C15</f>
        <v/>
      </c>
      <c r="D14" s="78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78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78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78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88">
      <c r="A15" s="69">
        <f>'Sessional + End Term Assessment'!A16</f>
        <v/>
      </c>
      <c r="B15" s="79">
        <f>'Sessional + End Term Assessment'!B16</f>
        <v/>
      </c>
      <c r="C15" s="79">
        <f>'Sessional + End Term Assessment'!C16</f>
        <v/>
      </c>
      <c r="D15" s="78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78" t="n">
        <v>26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78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66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88">
      <c r="A16" s="69">
        <f>'Sessional + End Term Assessment'!A17</f>
        <v/>
      </c>
      <c r="B16" s="79">
        <f>'Sessional + End Term Assessment'!B17</f>
        <v/>
      </c>
      <c r="C16" s="79">
        <f>'Sessional + End Term Assessment'!C17</f>
        <v/>
      </c>
      <c r="D16" s="78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78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78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78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88">
      <c r="A17" s="69">
        <f>'Sessional + End Term Assessment'!A18</f>
        <v/>
      </c>
      <c r="B17" s="79">
        <f>'Sessional + End Term Assessment'!B18</f>
        <v/>
      </c>
      <c r="C17" s="79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88">
      <c r="A18" s="69">
        <f>'Sessional + End Term Assessment'!A19</f>
        <v/>
      </c>
      <c r="B18" s="79">
        <f>'Sessional + End Term Assessment'!B19</f>
        <v/>
      </c>
      <c r="C18" s="79">
        <f>'Sessional + End Term Assessment'!C19</f>
        <v/>
      </c>
      <c r="D18" s="78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78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78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63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88">
      <c r="A19" s="69">
        <f>'Sessional + End Term Assessment'!A20</f>
        <v/>
      </c>
      <c r="B19" s="79">
        <f>'Sessional + End Term Assessment'!B20</f>
        <v/>
      </c>
      <c r="C19" s="79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88">
      <c r="A20" s="69">
        <f>'Sessional + End Term Assessment'!A21</f>
        <v/>
      </c>
      <c r="B20" s="79">
        <f>'Sessional + End Term Assessment'!B21</f>
        <v/>
      </c>
      <c r="C20" s="79">
        <f>'Sessional + End Term Assessment'!C21</f>
        <v/>
      </c>
      <c r="D20" s="78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78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78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78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88">
      <c r="A21" s="69">
        <f>'Sessional + End Term Assessment'!A22</f>
        <v/>
      </c>
      <c r="B21" s="79">
        <f>'Sessional + End Term Assessment'!B22</f>
        <v/>
      </c>
      <c r="C21" s="79">
        <f>'Sessional + End Term Assessment'!C22</f>
        <v/>
      </c>
      <c r="D21" s="78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78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78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78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88">
      <c r="A22" s="69">
        <f>'Sessional + End Term Assessment'!A23</f>
        <v/>
      </c>
      <c r="B22" s="79">
        <f>'Sessional + End Term Assessment'!B23</f>
        <v/>
      </c>
      <c r="C22" s="79">
        <f>'Sessional + End Term Assessment'!C23</f>
        <v/>
      </c>
      <c r="D22" s="78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78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78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88">
      <c r="A23" s="69">
        <f>'Sessional + End Term Assessment'!A24</f>
        <v/>
      </c>
      <c r="B23" s="79">
        <f>'Sessional + End Term Assessment'!B24</f>
        <v/>
      </c>
      <c r="C23" s="79">
        <f>'Sessional + End Term Assessment'!C24</f>
        <v/>
      </c>
      <c r="D23" s="78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78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78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78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88">
      <c r="A24" s="69">
        <f>'Sessional + End Term Assessment'!A25</f>
        <v/>
      </c>
      <c r="B24" s="79">
        <f>'Sessional + End Term Assessment'!B25</f>
        <v/>
      </c>
      <c r="C24" s="79">
        <f>'Sessional + End Term Assessment'!C25</f>
        <v/>
      </c>
      <c r="D24" s="78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78" t="n">
        <v>26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78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78" t="n">
        <v>68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88">
      <c r="A25" s="69">
        <f>'Sessional + End Term Assessment'!A26</f>
        <v/>
      </c>
      <c r="B25" s="79">
        <f>'Sessional + End Term Assessment'!B26</f>
        <v/>
      </c>
      <c r="C25" s="79">
        <f>'Sessional + End Term Assessment'!C26</f>
        <v/>
      </c>
      <c r="D25" s="78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78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78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78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88">
      <c r="A26" s="69">
        <f>'Sessional + End Term Assessment'!A27</f>
        <v/>
      </c>
      <c r="B26" s="79">
        <f>'Sessional + End Term Assessment'!B27</f>
        <v/>
      </c>
      <c r="C26" s="79">
        <f>'Sessional + End Term Assessment'!C27</f>
        <v/>
      </c>
      <c r="D26" s="78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78" t="n">
        <v>28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78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78" t="n">
        <v>70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88">
      <c r="A27" s="69">
        <f>'Sessional + End Term Assessment'!A28</f>
        <v/>
      </c>
      <c r="B27" s="79">
        <f>'Sessional + End Term Assessment'!B28</f>
        <v/>
      </c>
      <c r="C27" s="79">
        <f>'Sessional + End Term Assessment'!C28</f>
        <v/>
      </c>
      <c r="D27" s="78" t="n">
        <v>27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78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78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88">
      <c r="A28" s="69">
        <f>'Sessional + End Term Assessment'!A29</f>
        <v/>
      </c>
      <c r="B28" s="79">
        <f>'Sessional + End Term Assessment'!B29</f>
        <v/>
      </c>
      <c r="C28" s="79">
        <f>'Sessional + End Term Assessment'!C29</f>
        <v/>
      </c>
      <c r="D28" t="n">
        <v>24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26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63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88">
      <c r="A29" s="69">
        <f>'Sessional + End Term Assessment'!A30</f>
        <v/>
      </c>
      <c r="B29" s="79">
        <f>'Sessional + End Term Assessment'!B30</f>
        <v/>
      </c>
      <c r="C29" s="79">
        <f>'Sessional + End Term Assessment'!C30</f>
        <v/>
      </c>
      <c r="D29" s="78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78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78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88">
      <c r="A30" s="69">
        <f>'Sessional + End Term Assessment'!A31</f>
        <v/>
      </c>
      <c r="B30" s="79">
        <f>'Sessional + End Term Assessment'!B31</f>
        <v/>
      </c>
      <c r="C30" s="79">
        <f>'Sessional + End Term Assessment'!C31</f>
        <v/>
      </c>
      <c r="D30" s="78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78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78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78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88">
      <c r="A31" s="69">
        <f>'Sessional + End Term Assessment'!A32</f>
        <v/>
      </c>
      <c r="B31" s="79">
        <f>'Sessional + End Term Assessment'!B32</f>
        <v/>
      </c>
      <c r="C31" s="79">
        <f>'Sessional + End Term Assessment'!C32</f>
        <v/>
      </c>
      <c r="D31" s="78" t="n">
        <v>23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78" t="n">
        <v>20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78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78" t="n">
        <v>56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88">
      <c r="A32" s="69">
        <f>'Sessional + End Term Assessment'!A33</f>
        <v/>
      </c>
      <c r="B32" s="79">
        <f>'Sessional + End Term Assessment'!B33</f>
        <v/>
      </c>
      <c r="C32" s="79">
        <f>'Sessional + End Term Assessment'!C33</f>
        <v/>
      </c>
      <c r="D32" t="n">
        <v>22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22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57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88">
      <c r="A33" s="69">
        <f>'Sessional + End Term Assessment'!A34</f>
        <v/>
      </c>
      <c r="B33" s="79">
        <f>'Sessional + End Term Assessment'!B34</f>
        <v/>
      </c>
      <c r="C33" s="79">
        <f>'Sessional + End Term Assessment'!C34</f>
        <v/>
      </c>
      <c r="D33" s="78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78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78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78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88">
      <c r="A34" s="69">
        <f>'Sessional + End Term Assessment'!A35</f>
        <v/>
      </c>
      <c r="B34" s="79">
        <f>'Sessional + End Term Assessment'!B35</f>
        <v/>
      </c>
      <c r="C34" s="79">
        <f>'Sessional + End Term Assessment'!C35</f>
        <v/>
      </c>
      <c r="D34" s="78" t="n">
        <v>26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78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78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63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88">
      <c r="A35" s="69">
        <f>'Sessional + End Term Assessment'!A36</f>
        <v/>
      </c>
      <c r="B35" s="79">
        <f>'Sessional + End Term Assessment'!B36</f>
        <v/>
      </c>
      <c r="C35" s="79">
        <f>'Sessional + End Term Assessment'!C36</f>
        <v/>
      </c>
      <c r="D35" s="78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78" t="n">
        <v>28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78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78" t="n">
        <v>70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88">
      <c r="A36" s="69">
        <f>'Sessional + End Term Assessment'!A37</f>
        <v/>
      </c>
      <c r="B36" s="79">
        <f>'Sessional + End Term Assessment'!B37</f>
        <v/>
      </c>
      <c r="C36" s="79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21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58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5.75" customHeight="1" s="88">
      <c r="A37" s="72" t="n"/>
      <c r="B37" s="71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</row>
    <row r="38" ht="15.75" customHeight="1" s="88">
      <c r="A38" s="72" t="n"/>
      <c r="B38" s="71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</row>
    <row r="39" ht="15.75" customHeight="1" s="88">
      <c r="A39" s="72" t="n"/>
      <c r="B39" s="71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</row>
    <row r="40" ht="15.75" customHeight="1" s="88">
      <c r="A40" s="72" t="n"/>
      <c r="B40" s="71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</row>
    <row r="41" ht="15.75" customHeight="1" s="88">
      <c r="A41" s="72" t="n"/>
      <c r="B41" s="71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</row>
    <row r="42" ht="15.75" customHeight="1" s="88">
      <c r="A42" s="72" t="n"/>
      <c r="B42" s="71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</row>
    <row r="43" ht="15.75" customHeight="1" s="88">
      <c r="A43" s="72" t="n"/>
      <c r="B43" s="71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</row>
    <row r="44" ht="15.75" customHeight="1" s="88">
      <c r="A44" s="72" t="n"/>
      <c r="B44" s="71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</row>
    <row r="45" ht="15.75" customHeight="1" s="88">
      <c r="A45" s="72" t="n"/>
      <c r="B45" s="71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</row>
    <row r="46" ht="15.75" customHeight="1" s="88">
      <c r="A46" s="72" t="n"/>
      <c r="B46" s="71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</row>
    <row r="47" ht="15.75" customHeight="1" s="88">
      <c r="A47" s="72" t="n"/>
      <c r="B47" s="71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</row>
    <row r="48" ht="15.75" customHeight="1" s="88">
      <c r="A48" s="72" t="n"/>
      <c r="B48" s="71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</row>
    <row r="49" ht="15.75" customHeight="1" s="88">
      <c r="A49" s="72" t="n"/>
      <c r="B49" s="71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</row>
    <row r="50" ht="15.75" customHeight="1" s="88">
      <c r="A50" s="72" t="n"/>
      <c r="B50" s="71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</row>
    <row r="51" ht="15.75" customHeight="1" s="88">
      <c r="A51" s="72" t="n"/>
      <c r="B51" s="71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</row>
    <row r="52" ht="15.75" customHeight="1" s="88">
      <c r="A52" s="72" t="n"/>
      <c r="B52" s="71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</row>
    <row r="53" ht="15.75" customHeight="1" s="88">
      <c r="A53" s="72" t="n"/>
      <c r="B53" s="71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</row>
    <row r="54" ht="15.75" customHeight="1" s="88">
      <c r="A54" s="72" t="n"/>
      <c r="B54" s="71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</row>
    <row r="55" ht="15.75" customHeight="1" s="88">
      <c r="A55" s="72" t="n"/>
      <c r="B55" s="71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</row>
    <row r="56" ht="15.75" customHeight="1" s="88">
      <c r="A56" s="71" t="n"/>
      <c r="B56" s="71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</row>
    <row r="57" ht="15.75" customHeight="1" s="88">
      <c r="A57" s="71" t="n"/>
      <c r="B57" s="71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</row>
    <row r="58" ht="15.75" customHeight="1" s="88">
      <c r="A58" s="71" t="n"/>
      <c r="B58" s="71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</row>
    <row r="59" ht="15.75" customHeight="1" s="88">
      <c r="A59" s="71" t="n"/>
      <c r="B59" s="71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</row>
    <row r="60" ht="15.75" customHeight="1" s="88">
      <c r="A60" s="71" t="n"/>
      <c r="B60" s="71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</row>
    <row r="61" ht="15.75" customHeight="1" s="88">
      <c r="A61" s="71" t="n"/>
      <c r="B61" s="71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</row>
    <row r="62" ht="15.75" customHeight="1" s="88">
      <c r="A62" s="71" t="n"/>
      <c r="B62" s="71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</row>
    <row r="63" ht="15.75" customHeight="1" s="88">
      <c r="A63" s="71" t="n"/>
      <c r="B63" s="71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</row>
    <row r="64" ht="15.75" customHeight="1" s="88">
      <c r="A64" s="71" t="n"/>
      <c r="B64" s="71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</row>
    <row r="65" ht="15.75" customHeight="1" s="88">
      <c r="A65" s="71" t="n"/>
      <c r="B65" s="71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</row>
    <row r="66" ht="15.75" customHeight="1" s="88">
      <c r="A66" s="71" t="n"/>
      <c r="B66" s="71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</row>
    <row r="67" ht="15.75" customHeight="1" s="88">
      <c r="A67" s="71" t="n"/>
      <c r="B67" s="71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</row>
    <row r="68" ht="15.75" customHeight="1" s="88">
      <c r="A68" s="71" t="n"/>
      <c r="B68" s="71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</row>
    <row r="69" ht="15.75" customHeight="1" s="88">
      <c r="A69" s="71" t="n"/>
      <c r="B69" s="71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</row>
    <row r="70" ht="15.75" customHeight="1" s="88">
      <c r="A70" s="71" t="n"/>
      <c r="B70" s="71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</row>
    <row r="71" ht="15.75" customHeight="1" s="88">
      <c r="A71" s="71" t="n"/>
      <c r="B71" s="71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</row>
    <row r="72" ht="15.75" customHeight="1" s="88">
      <c r="A72" s="71" t="n"/>
      <c r="B72" s="71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</row>
    <row r="73" ht="15.75" customHeight="1" s="88">
      <c r="A73" s="71" t="n"/>
      <c r="B73" s="71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</row>
    <row r="74" ht="15.75" customHeight="1" s="88">
      <c r="A74" s="71" t="n"/>
      <c r="B74" s="71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</row>
    <row r="75" ht="15.75" customHeight="1" s="88">
      <c r="A75" s="71" t="n"/>
      <c r="B75" s="71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</row>
    <row r="76" ht="15.75" customHeight="1" s="88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</row>
    <row r="77" ht="15.75" customHeight="1" s="88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</row>
    <row r="78" ht="15.75" customHeight="1" s="8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</row>
    <row r="79" ht="15.75" customHeight="1" s="88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</row>
    <row r="80" ht="15.75" customHeight="1" s="88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</row>
    <row r="81" ht="15.75" customHeight="1" s="88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</row>
    <row r="82" ht="15.75" customHeight="1" s="88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</row>
    <row r="83" ht="15.75" customHeight="1" s="88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</row>
    <row r="84" ht="15.75" customHeight="1" s="88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</row>
    <row r="85" ht="15.75" customHeight="1" s="88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</row>
    <row r="86" ht="15.75" customHeight="1" s="88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</row>
    <row r="87" ht="15.75" customHeight="1" s="88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</row>
    <row r="88" ht="15.75" customHeight="1" s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</row>
    <row r="89" ht="15.75" customHeight="1" s="88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</row>
    <row r="90" ht="15.75" customHeight="1" s="88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</row>
    <row r="91" ht="15.75" customHeight="1" s="88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</row>
    <row r="92" ht="15.75" customHeight="1" s="88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</row>
    <row r="93" ht="15.75" customHeight="1" s="88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</row>
    <row r="94" ht="15.75" customHeight="1" s="88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</row>
    <row r="95" ht="15.75" customHeight="1" s="88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</row>
    <row r="96" ht="15.75" customHeight="1" s="88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</row>
    <row r="97" ht="15.75" customHeight="1" s="88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</row>
    <row r="98" ht="15.75" customHeight="1" s="8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</row>
    <row r="99" ht="15.75" customHeight="1" s="88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</row>
    <row r="100" ht="15.75" customHeight="1" s="88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</row>
    <row r="101" ht="15.75" customHeight="1" s="88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</row>
    <row r="102" ht="15.75" customHeight="1" s="88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</row>
    <row r="103" ht="15.75" customHeight="1" s="88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</row>
    <row r="104" ht="15.75" customHeight="1" s="88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</row>
    <row r="105" ht="15.75" customHeight="1" s="88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</row>
    <row r="106" ht="15.75" customHeight="1" s="88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</row>
    <row r="107" ht="15.75" customHeight="1" s="88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</row>
    <row r="108" ht="15.75" customHeight="1" s="8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</row>
    <row r="109" ht="15.75" customHeight="1" s="88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</row>
    <row r="110" ht="15.75" customHeight="1" s="88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</row>
    <row r="111" ht="15.75" customHeight="1" s="88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</row>
    <row r="112" ht="15.75" customHeight="1" s="88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</row>
    <row r="113" ht="15.75" customHeight="1" s="88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</row>
    <row r="114" ht="15.75" customHeight="1" s="88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</row>
    <row r="115" ht="15.75" customHeight="1" s="88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</row>
    <row r="116" ht="15.75" customHeight="1" s="88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</row>
    <row r="117" ht="15.75" customHeight="1" s="88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</row>
    <row r="118" ht="15.75" customHeight="1" s="8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</row>
    <row r="119" ht="15.75" customHeight="1" s="88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</row>
    <row r="120" ht="15.75" customHeight="1" s="88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</row>
    <row r="121" ht="15.75" customHeight="1" s="88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</row>
    <row r="122" ht="15.75" customHeight="1" s="88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</row>
    <row r="123" ht="15.75" customHeight="1" s="88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</row>
    <row r="124" ht="15.75" customHeight="1" s="88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</row>
    <row r="125" ht="15.75" customHeight="1" s="88"/>
    <row r="126" ht="15.75" customHeight="1" s="88"/>
    <row r="127" ht="15.75" customHeight="1" s="88"/>
    <row r="128" ht="15.75" customHeight="1" s="88"/>
    <row r="129" ht="15.75" customHeight="1" s="88"/>
    <row r="130" ht="15.75" customHeight="1" s="88"/>
    <row r="131" ht="15.75" customHeight="1" s="88"/>
    <row r="132" ht="15.75" customHeight="1" s="88"/>
    <row r="133" ht="15.75" customHeight="1" s="88"/>
    <row r="134" ht="15.75" customHeight="1" s="88"/>
    <row r="135" ht="15.75" customHeight="1" s="88"/>
    <row r="136" ht="15.75" customHeight="1" s="88"/>
    <row r="137" ht="15.75" customHeight="1" s="88"/>
    <row r="138" ht="15.75" customHeight="1" s="88"/>
    <row r="139" ht="15.75" customHeight="1" s="88"/>
    <row r="140" ht="15.75" customHeight="1" s="88"/>
    <row r="141" ht="15.75" customHeight="1" s="88"/>
    <row r="142" ht="15.75" customHeight="1" s="88"/>
    <row r="143" ht="15.75" customHeight="1" s="88"/>
    <row r="144" ht="15.75" customHeight="1" s="88"/>
    <row r="145" ht="15.75" customHeight="1" s="88"/>
    <row r="146" ht="15.75" customHeight="1" s="88"/>
    <row r="147" ht="15.75" customHeight="1" s="88"/>
    <row r="148" ht="15.75" customHeight="1" s="88"/>
    <row r="149" ht="15.75" customHeight="1" s="88"/>
    <row r="150" ht="15.75" customHeight="1" s="88"/>
    <row r="151" ht="15.75" customHeight="1" s="88"/>
    <row r="152" ht="15.75" customHeight="1" s="88"/>
    <row r="153" ht="15.75" customHeight="1" s="88"/>
    <row r="154" ht="15.75" customHeight="1" s="88"/>
    <row r="155" ht="15.75" customHeight="1" s="88"/>
    <row r="156" ht="15.75" customHeight="1" s="88"/>
    <row r="157" ht="15.75" customHeight="1" s="88"/>
    <row r="158" ht="15.75" customHeight="1" s="88"/>
    <row r="159" ht="15.75" customHeight="1" s="88"/>
    <row r="160" ht="15.75" customHeight="1" s="88"/>
    <row r="161" ht="15.75" customHeight="1" s="88"/>
    <row r="162" ht="15.75" customHeight="1" s="88"/>
    <row r="163" ht="15.75" customHeight="1" s="88"/>
    <row r="164" ht="15.75" customHeight="1" s="88"/>
    <row r="165" ht="15.75" customHeight="1" s="88"/>
    <row r="166" ht="15.75" customHeight="1" s="88"/>
    <row r="167" ht="15.75" customHeight="1" s="88"/>
    <row r="168" ht="15.75" customHeight="1" s="88"/>
    <row r="169" ht="15.75" customHeight="1" s="88"/>
    <row r="170" ht="15.75" customHeight="1" s="88"/>
    <row r="171" ht="15.75" customHeight="1" s="88"/>
    <row r="172" ht="15.75" customHeight="1" s="88"/>
    <row r="173" ht="15.75" customHeight="1" s="88"/>
    <row r="174" ht="15.75" customHeight="1" s="88"/>
    <row r="175" ht="15.75" customHeight="1" s="88"/>
    <row r="176" ht="15.75" customHeight="1" s="88"/>
    <row r="177" ht="15.75" customHeight="1" s="88"/>
    <row r="178" ht="15.75" customHeight="1" s="88"/>
    <row r="179" ht="15.75" customHeight="1" s="88"/>
    <row r="180" ht="15.75" customHeight="1" s="88"/>
    <row r="181" ht="15.75" customHeight="1" s="88"/>
    <row r="182" ht="15.75" customHeight="1" s="88"/>
    <row r="183" ht="15.75" customHeight="1" s="88"/>
    <row r="184" ht="15.75" customHeight="1" s="88"/>
    <row r="185" ht="15.75" customHeight="1" s="88"/>
    <row r="186" ht="15.75" customHeight="1" s="88"/>
    <row r="187" ht="15.75" customHeight="1" s="88"/>
    <row r="188" ht="15.75" customHeight="1" s="88"/>
    <row r="189" ht="15.75" customHeight="1" s="88"/>
    <row r="190" ht="15.75" customHeight="1" s="88"/>
    <row r="191" ht="15.75" customHeight="1" s="88"/>
    <row r="192" ht="15.75" customHeight="1" s="88"/>
    <row r="193" ht="15.75" customHeight="1" s="88"/>
    <row r="194" ht="15.75" customHeight="1" s="88"/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36 M7:O36">
    <cfRule type="cellIs" priority="1" operator="equal" dxfId="2">
      <formula>0</formula>
    </cfRule>
  </conditionalFormatting>
  <conditionalFormatting sqref="I7:K36">
    <cfRule type="cellIs" priority="5" operator="equal" dxfId="2">
      <formula>0</formula>
    </cfRule>
  </conditionalFormatting>
  <conditionalFormatting sqref="U7:U36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1" manualBreakCount="1">
    <brk id="3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4"/>
  <sheetViews>
    <sheetView topLeftCell="A21" workbookViewId="0">
      <selection activeCell="C30" sqref="C30"/>
    </sheetView>
  </sheetViews>
  <sheetFormatPr baseColWidth="8" defaultColWidth="12.59765625" defaultRowHeight="15" customHeight="1"/>
  <cols>
    <col width="8.8984375" customWidth="1" style="88" min="1" max="1"/>
    <col width="12.69921875" customWidth="1" style="88" min="2" max="2"/>
    <col width="27.8984375" customWidth="1" style="88" min="3" max="3"/>
    <col width="9.19921875" customWidth="1" style="88" min="4" max="4"/>
    <col width="10.8984375" customWidth="1" style="88" min="5" max="5"/>
    <col width="8.8984375" customWidth="1" style="88" min="6" max="25"/>
    <col width="12.69921875" customWidth="1" style="88" min="26" max="26"/>
  </cols>
  <sheetData>
    <row r="1" ht="21" customHeight="1" s="88">
      <c r="A1" s="119" t="inlineStr">
        <is>
          <t>Marks and Gap Analysis of Mid-Term 1</t>
        </is>
      </c>
      <c r="B1" s="131" t="n"/>
      <c r="C1" s="131" t="n"/>
      <c r="D1" s="131" t="n"/>
      <c r="E1" s="131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8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88" thickBot="1">
      <c r="A3" s="64">
        <f>'Sessional + End Term Assessment'!A8</f>
        <v/>
      </c>
      <c r="B3" s="79">
        <f>'Sessional + End Term Assessment'!B8</f>
        <v/>
      </c>
      <c r="C3" s="79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88" thickBot="1">
      <c r="A4" s="64">
        <f>'Sessional + End Term Assessment'!A9</f>
        <v/>
      </c>
      <c r="B4" s="79">
        <f>'Sessional + End Term Assessment'!B9</f>
        <v/>
      </c>
      <c r="C4" s="79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88" thickBot="1">
      <c r="A5" s="64">
        <f>'Sessional + End Term Assessment'!A10</f>
        <v/>
      </c>
      <c r="B5" s="79">
        <f>'Sessional + End Term Assessment'!B10</f>
        <v/>
      </c>
      <c r="C5" s="79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88" thickBot="1">
      <c r="A6" s="64">
        <f>'Sessional + End Term Assessment'!A11</f>
        <v/>
      </c>
      <c r="B6" s="79">
        <f>'Sessional + End Term Assessment'!B11</f>
        <v/>
      </c>
      <c r="C6" s="79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88" thickBot="1">
      <c r="A7" s="64">
        <f>'Sessional + End Term Assessment'!A12</f>
        <v/>
      </c>
      <c r="B7" s="79">
        <f>'Sessional + End Term Assessment'!B12</f>
        <v/>
      </c>
      <c r="C7" s="79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88" thickBot="1">
      <c r="A8" s="64">
        <f>'Sessional + End Term Assessment'!A13</f>
        <v/>
      </c>
      <c r="B8" s="79">
        <f>'Sessional + End Term Assessment'!B13</f>
        <v/>
      </c>
      <c r="C8" s="79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88" thickBot="1">
      <c r="A9" s="64">
        <f>'Sessional + End Term Assessment'!A14</f>
        <v/>
      </c>
      <c r="B9" s="79">
        <f>'Sessional + End Term Assessment'!B14</f>
        <v/>
      </c>
      <c r="C9" s="79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88" thickBot="1">
      <c r="A10" s="64">
        <f>'Sessional + End Term Assessment'!A15</f>
        <v/>
      </c>
      <c r="B10" s="79">
        <f>'Sessional + End Term Assessment'!B15</f>
        <v/>
      </c>
      <c r="C10" s="79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88" thickBot="1">
      <c r="A11" s="64">
        <f>'Sessional + End Term Assessment'!A16</f>
        <v/>
      </c>
      <c r="B11" s="79">
        <f>'Sessional + End Term Assessment'!B16</f>
        <v/>
      </c>
      <c r="C11" s="79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88" thickBot="1">
      <c r="A12" s="64">
        <f>'Sessional + End Term Assessment'!A17</f>
        <v/>
      </c>
      <c r="B12" s="79">
        <f>'Sessional + End Term Assessment'!B17</f>
        <v/>
      </c>
      <c r="C12" s="79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88" thickBot="1">
      <c r="A13" s="64">
        <f>'Sessional + End Term Assessment'!A18</f>
        <v/>
      </c>
      <c r="B13" s="79">
        <f>'Sessional + End Term Assessment'!B18</f>
        <v/>
      </c>
      <c r="C13" s="79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88" thickBot="1">
      <c r="A14" s="64">
        <f>'Sessional + End Term Assessment'!A19</f>
        <v/>
      </c>
      <c r="B14" s="79">
        <f>'Sessional + End Term Assessment'!B19</f>
        <v/>
      </c>
      <c r="C14" s="79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88" thickBot="1">
      <c r="A15" s="64">
        <f>'Sessional + End Term Assessment'!A20</f>
        <v/>
      </c>
      <c r="B15" s="79">
        <f>'Sessional + End Term Assessment'!B20</f>
        <v/>
      </c>
      <c r="C15" s="79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88" thickBot="1">
      <c r="A16" s="64">
        <f>'Sessional + End Term Assessment'!A21</f>
        <v/>
      </c>
      <c r="B16" s="79">
        <f>'Sessional + End Term Assessment'!B21</f>
        <v/>
      </c>
      <c r="C16" s="79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88" thickBot="1">
      <c r="A17" s="64">
        <f>'Sessional + End Term Assessment'!A22</f>
        <v/>
      </c>
      <c r="B17" s="79">
        <f>'Sessional + End Term Assessment'!B22</f>
        <v/>
      </c>
      <c r="C17" s="79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88" thickBot="1">
      <c r="A18" s="64">
        <f>'Sessional + End Term Assessment'!A23</f>
        <v/>
      </c>
      <c r="B18" s="79">
        <f>'Sessional + End Term Assessment'!B23</f>
        <v/>
      </c>
      <c r="C18" s="79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88" thickBot="1">
      <c r="A19" s="64">
        <f>'Sessional + End Term Assessment'!A24</f>
        <v/>
      </c>
      <c r="B19" s="79">
        <f>'Sessional + End Term Assessment'!B24</f>
        <v/>
      </c>
      <c r="C19" s="79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88" thickBot="1">
      <c r="A20" s="64">
        <f>'Sessional + End Term Assessment'!A25</f>
        <v/>
      </c>
      <c r="B20" s="79">
        <f>'Sessional + End Term Assessment'!B25</f>
        <v/>
      </c>
      <c r="C20" s="79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88" thickBot="1">
      <c r="A21" s="64">
        <f>'Sessional + End Term Assessment'!A26</f>
        <v/>
      </c>
      <c r="B21" s="79">
        <f>'Sessional + End Term Assessment'!B26</f>
        <v/>
      </c>
      <c r="C21" s="79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88" thickBot="1">
      <c r="A22" s="64">
        <f>'Sessional + End Term Assessment'!A27</f>
        <v/>
      </c>
      <c r="B22" s="79">
        <f>'Sessional + End Term Assessment'!B27</f>
        <v/>
      </c>
      <c r="C22" s="79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88" thickBot="1">
      <c r="A23" s="64">
        <f>'Sessional + End Term Assessment'!A28</f>
        <v/>
      </c>
      <c r="B23" s="79">
        <f>'Sessional + End Term Assessment'!B28</f>
        <v/>
      </c>
      <c r="C23" s="79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88" thickBot="1">
      <c r="A24" s="64">
        <f>'Sessional + End Term Assessment'!A29</f>
        <v/>
      </c>
      <c r="B24" s="79">
        <f>'Sessional + End Term Assessment'!B29</f>
        <v/>
      </c>
      <c r="C24" s="79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88" thickBot="1">
      <c r="A25" s="64">
        <f>'Sessional + End Term Assessment'!A30</f>
        <v/>
      </c>
      <c r="B25" s="79">
        <f>'Sessional + End Term Assessment'!B30</f>
        <v/>
      </c>
      <c r="C25" s="79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88" thickBot="1">
      <c r="A26" s="64">
        <f>'Sessional + End Term Assessment'!A31</f>
        <v/>
      </c>
      <c r="B26" s="79">
        <f>'Sessional + End Term Assessment'!B31</f>
        <v/>
      </c>
      <c r="C26" s="79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88" thickBot="1">
      <c r="A27" s="64">
        <f>'Sessional + End Term Assessment'!A32</f>
        <v/>
      </c>
      <c r="B27" s="79">
        <f>'Sessional + End Term Assessment'!B32</f>
        <v/>
      </c>
      <c r="C27" s="79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88" thickBot="1">
      <c r="A28" s="64">
        <f>'Sessional + End Term Assessment'!A33</f>
        <v/>
      </c>
      <c r="B28" s="79">
        <f>'Sessional + End Term Assessment'!B33</f>
        <v/>
      </c>
      <c r="C28" s="79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88" thickBot="1">
      <c r="A29" s="64">
        <f>'Sessional + End Term Assessment'!A34</f>
        <v/>
      </c>
      <c r="B29" s="79">
        <f>'Sessional + End Term Assessment'!B34</f>
        <v/>
      </c>
      <c r="C29" s="79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88" thickBot="1">
      <c r="A30" s="64">
        <f>'Sessional + End Term Assessment'!A35</f>
        <v/>
      </c>
      <c r="B30" s="79">
        <f>'Sessional + End Term Assessment'!B35</f>
        <v/>
      </c>
      <c r="C30" s="79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88" thickBot="1">
      <c r="A31" s="64">
        <f>'Sessional + End Term Assessment'!A36</f>
        <v/>
      </c>
      <c r="B31" s="79">
        <f>'Sessional + End Term Assessment'!B36</f>
        <v/>
      </c>
      <c r="C31" s="79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88" thickBot="1">
      <c r="A32" s="64">
        <f>'Sessional + End Term Assessment'!A37</f>
        <v/>
      </c>
      <c r="B32" s="79">
        <f>'Sessional + End Term Assessment'!B37</f>
        <v/>
      </c>
      <c r="C32" s="79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4.25" customHeight="1" s="88">
      <c r="A33" s="50" t="n"/>
      <c r="B33" s="50" t="n"/>
      <c r="C33" s="50" t="n"/>
      <c r="D33" s="44" t="n"/>
      <c r="E33" s="44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4.25" customHeight="1" s="88">
      <c r="A34" s="50" t="n"/>
      <c r="B34" s="50" t="n"/>
      <c r="C34" s="50" t="n"/>
      <c r="D34" s="44" t="n"/>
      <c r="E34" s="44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4.25" customHeight="1" s="88">
      <c r="A35" s="50" t="n"/>
      <c r="B35" s="50" t="n"/>
      <c r="C35" s="50" t="n"/>
      <c r="D35" s="44" t="n"/>
      <c r="E35" s="44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4.25" customHeight="1" s="88">
      <c r="A36" s="50" t="n"/>
      <c r="B36" s="50" t="n"/>
      <c r="C36" s="50" t="n"/>
      <c r="D36" s="44" t="n"/>
      <c r="E36" s="44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4.25" customHeight="1" s="88">
      <c r="A37" s="50" t="n"/>
      <c r="B37" s="50" t="n"/>
      <c r="C37" s="50" t="n"/>
      <c r="D37" s="44" t="n"/>
      <c r="E37" s="44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4.25" customHeight="1" s="88">
      <c r="A38" s="50" t="n"/>
      <c r="B38" s="50" t="n"/>
      <c r="C38" s="50" t="n"/>
      <c r="D38" s="44" t="n"/>
      <c r="E38" s="44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4.25" customHeight="1" s="88">
      <c r="A39" s="50" t="n"/>
      <c r="B39" s="50" t="n"/>
      <c r="C39" s="50" t="n"/>
      <c r="D39" s="44" t="n"/>
      <c r="E39" s="44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4.25" customHeight="1" s="88">
      <c r="A40" s="50" t="n"/>
      <c r="B40" s="50" t="n"/>
      <c r="C40" s="50" t="n"/>
      <c r="D40" s="44" t="n"/>
      <c r="E40" s="44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4.25" customHeight="1" s="88">
      <c r="A41" s="50" t="n"/>
      <c r="B41" s="50" t="n"/>
      <c r="C41" s="50" t="n"/>
      <c r="D41" s="44" t="n"/>
      <c r="E41" s="44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4.25" customHeight="1" s="88">
      <c r="A42" s="50" t="n"/>
      <c r="B42" s="50" t="n"/>
      <c r="C42" s="50" t="n"/>
      <c r="D42" s="44" t="n"/>
      <c r="E42" s="44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4.25" customHeight="1" s="88">
      <c r="A43" s="50" t="n"/>
      <c r="B43" s="50" t="n"/>
      <c r="C43" s="50" t="n"/>
      <c r="D43" s="44" t="n"/>
      <c r="E43" s="44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4.25" customHeight="1" s="88">
      <c r="A44" s="50" t="n"/>
      <c r="B44" s="50" t="n"/>
      <c r="C44" s="50" t="n"/>
      <c r="D44" s="44" t="n"/>
      <c r="E44" s="44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4.25" customHeight="1" s="88">
      <c r="A45" s="50" t="n"/>
      <c r="B45" s="50" t="n"/>
      <c r="C45" s="50" t="n"/>
      <c r="D45" s="44" t="n"/>
      <c r="E45" s="44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4.25" customHeight="1" s="88">
      <c r="A46" s="50" t="n"/>
      <c r="B46" s="50" t="n"/>
      <c r="C46" s="50" t="n"/>
      <c r="D46" s="44" t="n"/>
      <c r="E46" s="44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4.25" customHeight="1" s="88">
      <c r="A47" s="50" t="n"/>
      <c r="B47" s="50" t="n"/>
      <c r="C47" s="50" t="n"/>
      <c r="D47" s="44" t="n"/>
      <c r="E47" s="44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4.25" customHeight="1" s="88">
      <c r="A48" s="50" t="n"/>
      <c r="B48" s="50" t="n"/>
      <c r="C48" s="50" t="n"/>
      <c r="D48" s="44" t="n"/>
      <c r="E48" s="44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4.25" customHeight="1" s="88">
      <c r="A49" s="50" t="n"/>
      <c r="B49" s="50" t="n"/>
      <c r="C49" s="50" t="n"/>
      <c r="D49" s="44" t="n"/>
      <c r="E49" s="44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4.25" customHeight="1" s="88">
      <c r="A50" s="50" t="n"/>
      <c r="B50" s="50" t="n"/>
      <c r="C50" s="50" t="n"/>
      <c r="D50" s="44" t="n"/>
      <c r="E50" s="44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4.25" customHeight="1" s="88">
      <c r="A51" s="50" t="n"/>
      <c r="B51" s="50" t="n"/>
      <c r="C51" s="50" t="n"/>
      <c r="D51" s="44" t="n"/>
      <c r="E51" s="44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4.25" customHeight="1" s="88">
      <c r="A52" s="50" t="n"/>
      <c r="B52" s="50" t="n"/>
      <c r="C52" s="50" t="n"/>
      <c r="D52" s="44" t="n"/>
      <c r="E52" s="44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4.25" customHeight="1" s="88">
      <c r="A53" s="50" t="n"/>
      <c r="B53" s="50" t="n"/>
      <c r="C53" s="50" t="n"/>
      <c r="D53" s="44" t="n"/>
      <c r="E53" s="44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4.25" customHeight="1" s="88">
      <c r="A54" s="50" t="n"/>
      <c r="B54" s="50" t="n"/>
      <c r="C54" s="50" t="n"/>
      <c r="D54" s="44" t="n"/>
      <c r="E54" s="44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4.25" customHeight="1" s="88">
      <c r="A55" s="50" t="n"/>
      <c r="B55" s="50" t="n"/>
      <c r="C55" s="50" t="n"/>
      <c r="D55" s="44" t="n"/>
      <c r="E55" s="44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4.25" customHeight="1" s="88">
      <c r="A56" s="50" t="n"/>
      <c r="B56" s="50" t="n"/>
      <c r="C56" s="50" t="n"/>
      <c r="D56" s="44" t="n"/>
      <c r="E56" s="44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4.25" customHeight="1" s="88">
      <c r="A57" s="50" t="n"/>
      <c r="B57" s="50" t="n"/>
      <c r="C57" s="50" t="n"/>
      <c r="D57" s="44" t="n"/>
      <c r="E57" s="44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4.25" customHeight="1" s="88">
      <c r="A58" s="50" t="n"/>
      <c r="B58" s="50" t="n"/>
      <c r="C58" s="50" t="n"/>
      <c r="D58" s="44" t="n"/>
      <c r="E58" s="44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4.25" customHeight="1" s="88">
      <c r="A59" s="50" t="n"/>
      <c r="B59" s="50" t="n"/>
      <c r="C59" s="50" t="n"/>
      <c r="D59" s="44" t="n"/>
      <c r="E59" s="44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4.25" customHeight="1" s="88">
      <c r="A60" s="50" t="n"/>
      <c r="B60" s="50" t="n"/>
      <c r="C60" s="50" t="n"/>
      <c r="D60" s="44" t="n"/>
      <c r="E60" s="44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4.25" customHeight="1" s="88">
      <c r="A61" s="50" t="n"/>
      <c r="B61" s="50" t="n"/>
      <c r="C61" s="50" t="n"/>
      <c r="D61" s="44" t="n"/>
      <c r="E61" s="44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4.25" customHeight="1" s="88">
      <c r="A62" s="50" t="n"/>
      <c r="B62" s="50" t="n"/>
      <c r="C62" s="50" t="n"/>
      <c r="D62" s="44" t="n"/>
      <c r="E62" s="44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4.25" customHeight="1" s="88">
      <c r="A63" s="50" t="n"/>
      <c r="B63" s="50" t="n"/>
      <c r="C63" s="50" t="n"/>
      <c r="D63" s="44" t="n"/>
      <c r="E63" s="44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4.25" customHeight="1" s="88">
      <c r="A64" s="50" t="n"/>
      <c r="B64" s="50" t="n"/>
      <c r="C64" s="50" t="n"/>
      <c r="D64" s="44" t="n"/>
      <c r="E64" s="44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4.25" customHeight="1" s="88">
      <c r="A65" s="50" t="n"/>
      <c r="B65" s="50" t="n"/>
      <c r="C65" s="50" t="n"/>
      <c r="D65" s="44" t="n"/>
      <c r="E65" s="44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4.25" customHeight="1" s="88">
      <c r="A66" s="50" t="n"/>
      <c r="B66" s="50" t="n"/>
      <c r="C66" s="50" t="n"/>
      <c r="D66" s="44" t="n"/>
      <c r="E66" s="44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4.25" customHeight="1" s="88">
      <c r="A67" s="50" t="n"/>
      <c r="B67" s="50" t="n"/>
      <c r="C67" s="50" t="n"/>
      <c r="D67" s="44" t="n"/>
      <c r="E67" s="44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4.25" customHeight="1" s="88">
      <c r="A68" s="50" t="n"/>
      <c r="B68" s="50" t="n"/>
      <c r="C68" s="50" t="n"/>
      <c r="D68" s="44" t="n"/>
      <c r="E68" s="44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4.25" customHeight="1" s="88">
      <c r="A69" s="50" t="n"/>
      <c r="B69" s="50" t="n"/>
      <c r="C69" s="50" t="n"/>
      <c r="D69" s="44" t="n"/>
      <c r="E69" s="44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4.25" customHeight="1" s="88">
      <c r="A70" s="50" t="n"/>
      <c r="B70" s="50" t="n"/>
      <c r="C70" s="50" t="n"/>
      <c r="D70" s="44" t="n"/>
      <c r="E70" s="44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4.25" customHeight="1" s="88">
      <c r="A71" s="50" t="n"/>
      <c r="B71" s="50" t="n"/>
      <c r="C71" s="50" t="n"/>
      <c r="D71" s="44" t="n"/>
      <c r="E71" s="44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4.25" customHeight="1" s="88">
      <c r="A72" s="50" t="n"/>
      <c r="B72" s="50" t="n"/>
      <c r="C72" s="50" t="n"/>
      <c r="D72" s="44" t="n"/>
      <c r="E72" s="44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4.25" customHeight="1" s="88">
      <c r="A73" s="50" t="n"/>
      <c r="B73" s="50" t="n"/>
      <c r="C73" s="50" t="n"/>
      <c r="D73" s="44" t="n"/>
      <c r="E73" s="44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4.25" customHeight="1" s="88">
      <c r="A74" s="50" t="n"/>
      <c r="B74" s="50" t="n"/>
      <c r="C74" s="50" t="n"/>
      <c r="D74" s="44" t="n"/>
      <c r="E74" s="44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4.25" customHeight="1" s="88">
      <c r="A75" s="50" t="n"/>
      <c r="B75" s="50" t="n"/>
      <c r="C75" s="50" t="n"/>
      <c r="D75" s="44" t="n"/>
      <c r="E75" s="44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4.25" customHeight="1" s="88">
      <c r="A76" s="50" t="n"/>
      <c r="B76" s="50" t="n"/>
      <c r="C76" s="50" t="n"/>
      <c r="D76" s="44" t="n"/>
      <c r="E76" s="44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4.25" customHeight="1" s="88">
      <c r="A77" s="50" t="n"/>
      <c r="B77" s="50" t="n"/>
      <c r="C77" s="50" t="n"/>
      <c r="D77" s="44" t="n"/>
      <c r="E77" s="44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4.25" customHeight="1" s="88">
      <c r="A78" s="50" t="n"/>
      <c r="B78" s="50" t="n"/>
      <c r="C78" s="50" t="n"/>
      <c r="D78" s="44" t="n"/>
      <c r="E78" s="44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4.25" customHeight="1" s="88">
      <c r="A79" s="50" t="n"/>
      <c r="B79" s="50" t="n"/>
      <c r="C79" s="50" t="n"/>
      <c r="D79" s="44" t="n"/>
      <c r="E79" s="44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4.25" customHeight="1" s="88">
      <c r="A80" s="50" t="n"/>
      <c r="B80" s="50" t="n"/>
      <c r="C80" s="50" t="n"/>
      <c r="D80" s="44" t="n"/>
      <c r="E80" s="44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4.25" customHeight="1" s="88">
      <c r="A81" s="50" t="n"/>
      <c r="B81" s="50" t="n"/>
      <c r="C81" s="50" t="n"/>
      <c r="D81" s="44" t="n"/>
      <c r="E81" s="44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4.25" customHeight="1" s="88">
      <c r="A82" s="50" t="n"/>
      <c r="B82" s="50" t="n"/>
      <c r="C82" s="50" t="n"/>
      <c r="D82" s="44" t="n"/>
      <c r="E82" s="44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4.25" customHeight="1" s="88">
      <c r="A83" s="50" t="n"/>
      <c r="B83" s="50" t="n"/>
      <c r="C83" s="50" t="n"/>
      <c r="D83" s="44" t="n"/>
      <c r="E83" s="44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4.25" customHeight="1" s="88">
      <c r="A84" s="50" t="n"/>
      <c r="B84" s="50" t="n"/>
      <c r="C84" s="50" t="n"/>
      <c r="D84" s="44" t="n"/>
      <c r="E84" s="44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4.25" customHeight="1" s="88">
      <c r="A85" s="50" t="n"/>
      <c r="B85" s="50" t="n"/>
      <c r="C85" s="50" t="n"/>
      <c r="D85" s="44" t="n"/>
      <c r="E85" s="44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4.25" customHeight="1" s="88">
      <c r="A86" s="50" t="n"/>
      <c r="B86" s="50" t="n"/>
      <c r="C86" s="50" t="n"/>
      <c r="D86" s="44" t="n"/>
      <c r="E86" s="44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4.25" customHeight="1" s="88">
      <c r="A87" s="50" t="n"/>
      <c r="B87" s="50" t="n"/>
      <c r="C87" s="50" t="n"/>
      <c r="D87" s="44" t="n"/>
      <c r="E87" s="44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4.25" customHeight="1" s="88">
      <c r="A88" s="50" t="n"/>
      <c r="B88" s="50" t="n"/>
      <c r="C88" s="50" t="n"/>
      <c r="D88" s="44" t="n"/>
      <c r="E88" s="44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4.25" customHeight="1" s="88">
      <c r="A89" s="50" t="n"/>
      <c r="B89" s="50" t="n"/>
      <c r="C89" s="50" t="n"/>
      <c r="D89" s="44" t="n"/>
      <c r="E89" s="44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4.25" customHeight="1" s="88">
      <c r="A90" s="50" t="n"/>
      <c r="B90" s="50" t="n"/>
      <c r="C90" s="50" t="n"/>
      <c r="D90" s="44" t="n"/>
      <c r="E90" s="44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4.25" customHeight="1" s="88">
      <c r="A91" s="50" t="n"/>
      <c r="B91" s="50" t="n"/>
      <c r="C91" s="50" t="n"/>
      <c r="D91" s="44" t="n"/>
      <c r="E91" s="44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4.25" customHeight="1" s="88">
      <c r="A92" s="50" t="n"/>
      <c r="B92" s="50" t="n"/>
      <c r="C92" s="50" t="n"/>
      <c r="D92" s="44" t="n"/>
      <c r="E92" s="44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4.25" customHeight="1" s="88">
      <c r="A93" s="50" t="n"/>
      <c r="B93" s="50" t="n"/>
      <c r="C93" s="50" t="n"/>
      <c r="D93" s="44" t="n"/>
      <c r="E93" s="44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4.25" customHeight="1" s="88">
      <c r="A94" s="50" t="n"/>
      <c r="B94" s="50" t="n"/>
      <c r="C94" s="50" t="n"/>
      <c r="D94" s="44" t="n"/>
      <c r="E94" s="44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4.25" customHeight="1" s="88">
      <c r="A95" s="50" t="n"/>
      <c r="B95" s="50" t="n"/>
      <c r="C95" s="50" t="n"/>
      <c r="D95" s="44" t="n"/>
      <c r="E95" s="44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4.25" customHeight="1" s="88">
      <c r="A96" s="50" t="n"/>
      <c r="B96" s="50" t="n"/>
      <c r="C96" s="50" t="n"/>
      <c r="D96" s="44" t="n"/>
      <c r="E96" s="44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4.25" customHeight="1" s="88">
      <c r="A97" s="50" t="n"/>
      <c r="B97" s="50" t="n"/>
      <c r="C97" s="50" t="n"/>
      <c r="D97" s="44" t="n"/>
      <c r="E97" s="44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4.25" customHeight="1" s="88">
      <c r="A98" s="50" t="n"/>
      <c r="B98" s="50" t="n"/>
      <c r="C98" s="50" t="n"/>
      <c r="D98" s="44" t="n"/>
      <c r="E98" s="44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4.25" customHeight="1" s="88">
      <c r="A99" s="50" t="n"/>
      <c r="B99" s="50" t="n"/>
      <c r="C99" s="50" t="n"/>
      <c r="D99" s="44" t="n"/>
      <c r="E99" s="44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4.25" customHeight="1" s="88">
      <c r="A100" s="50" t="n"/>
      <c r="B100" s="50" t="n"/>
      <c r="C100" s="50" t="n"/>
      <c r="D100" s="44" t="n"/>
      <c r="E100" s="44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4.25" customHeight="1" s="88">
      <c r="A101" s="50" t="n"/>
      <c r="B101" s="50" t="n"/>
      <c r="C101" s="50" t="n"/>
      <c r="D101" s="44" t="n"/>
      <c r="E101" s="44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4.25" customHeight="1" s="88">
      <c r="A102" s="50" t="n"/>
      <c r="B102" s="50" t="n"/>
      <c r="C102" s="50" t="n"/>
      <c r="D102" s="44" t="n"/>
      <c r="E102" s="44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4.25" customHeight="1" s="88">
      <c r="A103" s="50" t="n"/>
      <c r="B103" s="50" t="n"/>
      <c r="C103" s="50" t="n"/>
      <c r="D103" s="44" t="n"/>
      <c r="E103" s="44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4.25" customHeight="1" s="88">
      <c r="A104" s="50" t="n"/>
      <c r="B104" s="50" t="n"/>
      <c r="C104" s="50" t="n"/>
      <c r="D104" s="44" t="n"/>
      <c r="E104" s="44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4.25" customHeight="1" s="88">
      <c r="A105" s="50" t="n"/>
      <c r="B105" s="50" t="n"/>
      <c r="C105" s="50" t="n"/>
      <c r="D105" s="44" t="n"/>
      <c r="E105" s="44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4.25" customHeight="1" s="88">
      <c r="A106" s="50" t="n"/>
      <c r="B106" s="50" t="n"/>
      <c r="C106" s="50" t="n"/>
      <c r="D106" s="44" t="n"/>
      <c r="E106" s="44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4.25" customHeight="1" s="88">
      <c r="A107" s="50" t="n"/>
      <c r="B107" s="50" t="n"/>
      <c r="C107" s="50" t="n"/>
      <c r="D107" s="44" t="n"/>
      <c r="E107" s="44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4.25" customHeight="1" s="88">
      <c r="A108" s="50" t="n"/>
      <c r="B108" s="50" t="n"/>
      <c r="C108" s="50" t="n"/>
      <c r="D108" s="44" t="n"/>
      <c r="E108" s="44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4.25" customHeight="1" s="88">
      <c r="A109" s="50" t="n"/>
      <c r="B109" s="50" t="n"/>
      <c r="C109" s="50" t="n"/>
      <c r="D109" s="44" t="n"/>
      <c r="E109" s="44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4.25" customHeight="1" s="88">
      <c r="A110" s="50" t="n"/>
      <c r="B110" s="50" t="n"/>
      <c r="C110" s="50" t="n"/>
      <c r="D110" s="44" t="n"/>
      <c r="E110" s="44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4.25" customHeight="1" s="88">
      <c r="A111" s="50" t="n"/>
      <c r="B111" s="50" t="n"/>
      <c r="C111" s="50" t="n"/>
      <c r="D111" s="44" t="n"/>
      <c r="E111" s="44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4.25" customHeight="1" s="88">
      <c r="A112" s="50" t="n"/>
      <c r="B112" s="50" t="n"/>
      <c r="C112" s="50" t="n"/>
      <c r="D112" s="44" t="n"/>
      <c r="E112" s="44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4.25" customHeight="1" s="88">
      <c r="A113" s="50" t="n"/>
      <c r="B113" s="50" t="n"/>
      <c r="C113" s="50" t="n"/>
      <c r="D113" s="44" t="n"/>
      <c r="E113" s="44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4.25" customHeight="1" s="88">
      <c r="A114" s="50" t="n"/>
      <c r="B114" s="50" t="n"/>
      <c r="C114" s="50" t="n"/>
      <c r="D114" s="44" t="n"/>
      <c r="E114" s="44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4.25" customHeight="1" s="88">
      <c r="A115" s="50" t="n"/>
      <c r="B115" s="50" t="n"/>
      <c r="C115" s="50" t="n"/>
      <c r="D115" s="44" t="n"/>
      <c r="E115" s="44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4.25" customHeight="1" s="88">
      <c r="A116" s="50" t="n"/>
      <c r="B116" s="50" t="n"/>
      <c r="C116" s="50" t="n"/>
      <c r="D116" s="44" t="n"/>
      <c r="E116" s="44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4.25" customHeight="1" s="88">
      <c r="A117" s="50" t="n"/>
      <c r="B117" s="50" t="n"/>
      <c r="C117" s="50" t="n"/>
      <c r="D117" s="44" t="n"/>
      <c r="E117" s="44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4.25" customHeight="1" s="88">
      <c r="A118" s="50" t="n"/>
      <c r="B118" s="50" t="n"/>
      <c r="C118" s="50" t="n"/>
      <c r="D118" s="44" t="n"/>
      <c r="E118" s="44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4.25" customHeight="1" s="88">
      <c r="A119" s="50" t="n"/>
      <c r="B119" s="50" t="n"/>
      <c r="C119" s="50" t="n"/>
      <c r="D119" s="44" t="n"/>
      <c r="E119" s="44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4.25" customHeight="1" s="88">
      <c r="A120" s="50" t="n"/>
      <c r="B120" s="50" t="n"/>
      <c r="C120" s="50" t="n"/>
      <c r="D120" s="44" t="n"/>
      <c r="E120" s="44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4.25" customHeight="1" s="88">
      <c r="A121" s="50" t="n"/>
      <c r="B121" s="50" t="n"/>
      <c r="C121" s="50" t="n"/>
      <c r="D121" s="44" t="n"/>
      <c r="E121" s="44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88">
      <c r="A122" s="50" t="n"/>
      <c r="B122" s="50" t="n"/>
      <c r="C122" s="50" t="n"/>
      <c r="D122" s="44" t="n"/>
      <c r="E122" s="44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88">
      <c r="A123" s="50" t="n"/>
      <c r="B123" s="50" t="n"/>
      <c r="C123" s="50" t="n"/>
      <c r="D123" s="44" t="n"/>
      <c r="E123" s="44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88">
      <c r="A124" s="50" t="n"/>
      <c r="B124" s="50" t="n"/>
      <c r="C124" s="50" t="n"/>
      <c r="D124" s="44" t="n"/>
      <c r="E124" s="44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88">
      <c r="A125" s="50" t="n"/>
      <c r="B125" s="50" t="n"/>
      <c r="C125" s="50" t="n"/>
      <c r="D125" s="44" t="n"/>
      <c r="E125" s="44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88">
      <c r="A126" s="50" t="n"/>
      <c r="B126" s="50" t="n"/>
      <c r="C126" s="50" t="n"/>
      <c r="D126" s="44" t="n"/>
      <c r="E126" s="44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88">
      <c r="A127" s="50" t="n"/>
      <c r="B127" s="50" t="n"/>
      <c r="C127" s="50" t="n"/>
      <c r="D127" s="44" t="n"/>
      <c r="E127" s="44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88">
      <c r="A128" s="50" t="n"/>
      <c r="B128" s="50" t="n"/>
      <c r="C128" s="50" t="n"/>
      <c r="D128" s="44" t="n"/>
      <c r="E128" s="44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88">
      <c r="A129" s="50" t="n"/>
      <c r="B129" s="50" t="n"/>
      <c r="C129" s="50" t="n"/>
      <c r="D129" s="44" t="n"/>
      <c r="E129" s="44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88">
      <c r="A130" s="50" t="n"/>
      <c r="B130" s="50" t="n"/>
      <c r="C130" s="50" t="n"/>
      <c r="D130" s="44" t="n"/>
      <c r="E130" s="44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88">
      <c r="A131" s="50" t="n"/>
      <c r="B131" s="50" t="n"/>
      <c r="C131" s="50" t="n"/>
      <c r="D131" s="44" t="n"/>
      <c r="E131" s="44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88">
      <c r="A132" s="50" t="n"/>
      <c r="B132" s="50" t="n"/>
      <c r="C132" s="50" t="n"/>
      <c r="D132" s="44" t="n"/>
      <c r="E132" s="44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88">
      <c r="A133" s="50" t="n"/>
      <c r="B133" s="50" t="n"/>
      <c r="C133" s="50" t="n"/>
      <c r="D133" s="44" t="n"/>
      <c r="E133" s="44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88">
      <c r="A134" s="50" t="n"/>
      <c r="B134" s="50" t="n"/>
      <c r="C134" s="50" t="n"/>
      <c r="D134" s="44" t="n"/>
      <c r="E134" s="44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88">
      <c r="A135" s="50" t="n"/>
      <c r="B135" s="50" t="n"/>
      <c r="C135" s="50" t="n"/>
      <c r="D135" s="44" t="n"/>
      <c r="E135" s="44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88">
      <c r="A136" s="50" t="n"/>
      <c r="B136" s="50" t="n"/>
      <c r="C136" s="50" t="n"/>
      <c r="D136" s="44" t="n"/>
      <c r="E136" s="44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88">
      <c r="A137" s="50" t="n"/>
      <c r="B137" s="50" t="n"/>
      <c r="C137" s="50" t="n"/>
      <c r="D137" s="44" t="n"/>
      <c r="E137" s="44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88">
      <c r="A138" s="50" t="n"/>
      <c r="B138" s="50" t="n"/>
      <c r="C138" s="50" t="n"/>
      <c r="D138" s="44" t="n"/>
      <c r="E138" s="44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88">
      <c r="A139" s="50" t="n"/>
      <c r="B139" s="50" t="n"/>
      <c r="C139" s="50" t="n"/>
      <c r="D139" s="44" t="n"/>
      <c r="E139" s="44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88">
      <c r="A140" s="50" t="n"/>
      <c r="B140" s="50" t="n"/>
      <c r="C140" s="50" t="n"/>
      <c r="D140" s="44" t="n"/>
      <c r="E140" s="44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88">
      <c r="A141" s="50" t="n"/>
      <c r="B141" s="50" t="n"/>
      <c r="C141" s="50" t="n"/>
      <c r="D141" s="44" t="n"/>
      <c r="E141" s="44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88">
      <c r="A142" s="50" t="n"/>
      <c r="B142" s="50" t="n"/>
      <c r="C142" s="50" t="n"/>
      <c r="D142" s="44" t="n"/>
      <c r="E142" s="44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88">
      <c r="A143" s="50" t="n"/>
      <c r="B143" s="50" t="n"/>
      <c r="C143" s="50" t="n"/>
      <c r="D143" s="44" t="n"/>
      <c r="E143" s="44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88">
      <c r="A144" s="50" t="n"/>
      <c r="B144" s="50" t="n"/>
      <c r="C144" s="50" t="n"/>
      <c r="D144" s="44" t="n"/>
      <c r="E144" s="44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88">
      <c r="A145" s="50" t="n"/>
      <c r="B145" s="50" t="n"/>
      <c r="C145" s="50" t="n"/>
      <c r="D145" s="44" t="n"/>
      <c r="E145" s="44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88">
      <c r="A146" s="50" t="n"/>
      <c r="B146" s="50" t="n"/>
      <c r="C146" s="50" t="n"/>
      <c r="D146" s="44" t="n"/>
      <c r="E146" s="44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88">
      <c r="A147" s="50" t="n"/>
      <c r="B147" s="50" t="n"/>
      <c r="C147" s="50" t="n"/>
      <c r="D147" s="44" t="n"/>
      <c r="E147" s="44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88">
      <c r="A148" s="50" t="n"/>
      <c r="B148" s="50" t="n"/>
      <c r="C148" s="50" t="n"/>
      <c r="D148" s="44" t="n"/>
      <c r="E148" s="44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88">
      <c r="A149" s="50" t="n"/>
      <c r="B149" s="50" t="n"/>
      <c r="C149" s="50" t="n"/>
      <c r="D149" s="44" t="n"/>
      <c r="E149" s="44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88">
      <c r="A150" s="50" t="n"/>
      <c r="B150" s="50" t="n"/>
      <c r="C150" s="50" t="n"/>
      <c r="D150" s="44" t="n"/>
      <c r="E150" s="44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88">
      <c r="A151" s="50" t="n"/>
      <c r="B151" s="50" t="n"/>
      <c r="C151" s="50" t="n"/>
      <c r="D151" s="44" t="n"/>
      <c r="E151" s="44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88">
      <c r="A152" s="50" t="n"/>
      <c r="B152" s="50" t="n"/>
      <c r="C152" s="50" t="n"/>
      <c r="D152" s="44" t="n"/>
      <c r="E152" s="44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88">
      <c r="A153" s="50" t="n"/>
      <c r="B153" s="50" t="n"/>
      <c r="C153" s="50" t="n"/>
      <c r="D153" s="44" t="n"/>
      <c r="E153" s="44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88">
      <c r="A154" s="50" t="n"/>
      <c r="B154" s="50" t="n"/>
      <c r="C154" s="50" t="n"/>
      <c r="D154" s="44" t="n"/>
      <c r="E154" s="44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88">
      <c r="A155" s="50" t="n"/>
      <c r="B155" s="50" t="n"/>
      <c r="C155" s="50" t="n"/>
      <c r="D155" s="44" t="n"/>
      <c r="E155" s="44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88">
      <c r="A156" s="50" t="n"/>
      <c r="B156" s="50" t="n"/>
      <c r="C156" s="50" t="n"/>
      <c r="D156" s="44" t="n"/>
      <c r="E156" s="44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88">
      <c r="A157" s="50" t="n"/>
      <c r="B157" s="50" t="n"/>
      <c r="C157" s="50" t="n"/>
      <c r="D157" s="44" t="n"/>
      <c r="E157" s="44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88">
      <c r="A158" s="50" t="n"/>
      <c r="B158" s="50" t="n"/>
      <c r="C158" s="50" t="n"/>
      <c r="D158" s="44" t="n"/>
      <c r="E158" s="44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88">
      <c r="A159" s="50" t="n"/>
      <c r="B159" s="50" t="n"/>
      <c r="C159" s="50" t="n"/>
      <c r="D159" s="44" t="n"/>
      <c r="E159" s="44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88">
      <c r="A160" s="50" t="n"/>
      <c r="B160" s="50" t="n"/>
      <c r="C160" s="50" t="n"/>
      <c r="D160" s="44" t="n"/>
      <c r="E160" s="44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88">
      <c r="A161" s="50" t="n"/>
      <c r="B161" s="50" t="n"/>
      <c r="C161" s="50" t="n"/>
      <c r="D161" s="44" t="n"/>
      <c r="E161" s="44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88">
      <c r="A162" s="50" t="n"/>
      <c r="B162" s="50" t="n"/>
      <c r="C162" s="50" t="n"/>
      <c r="D162" s="44" t="n"/>
      <c r="E162" s="44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88">
      <c r="A163" s="50" t="n"/>
      <c r="B163" s="50" t="n"/>
      <c r="C163" s="50" t="n"/>
      <c r="D163" s="44" t="n"/>
      <c r="E163" s="44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88">
      <c r="A164" s="50" t="n"/>
      <c r="B164" s="50" t="n"/>
      <c r="C164" s="50" t="n"/>
      <c r="D164" s="44" t="n"/>
      <c r="E164" s="44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88">
      <c r="A165" s="50" t="n"/>
      <c r="B165" s="50" t="n"/>
      <c r="C165" s="50" t="n"/>
      <c r="D165" s="44" t="n"/>
      <c r="E165" s="44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88">
      <c r="A166" s="50" t="n"/>
      <c r="B166" s="50" t="n"/>
      <c r="C166" s="50" t="n"/>
      <c r="D166" s="44" t="n"/>
      <c r="E166" s="44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88">
      <c r="A167" s="50" t="n"/>
      <c r="B167" s="50" t="n"/>
      <c r="C167" s="50" t="n"/>
      <c r="D167" s="44" t="n"/>
      <c r="E167" s="44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88">
      <c r="A168" s="50" t="n"/>
      <c r="B168" s="50" t="n"/>
      <c r="C168" s="50" t="n"/>
      <c r="D168" s="44" t="n"/>
      <c r="E168" s="44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88">
      <c r="A169" s="50" t="n"/>
      <c r="B169" s="50" t="n"/>
      <c r="C169" s="50" t="n"/>
      <c r="D169" s="44" t="n"/>
      <c r="E169" s="44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88">
      <c r="A170" s="50" t="n"/>
      <c r="B170" s="50" t="n"/>
      <c r="C170" s="50" t="n"/>
      <c r="D170" s="44" t="n"/>
      <c r="E170" s="44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88">
      <c r="A171" s="50" t="n"/>
      <c r="B171" s="50" t="n"/>
      <c r="C171" s="50" t="n"/>
      <c r="D171" s="44" t="n"/>
      <c r="E171" s="44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88">
      <c r="A172" s="50" t="n"/>
      <c r="B172" s="50" t="n"/>
      <c r="C172" s="50" t="n"/>
      <c r="D172" s="44" t="n"/>
      <c r="E172" s="44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88">
      <c r="A173" s="50" t="n"/>
      <c r="B173" s="50" t="n"/>
      <c r="C173" s="50" t="n"/>
      <c r="D173" s="44" t="n"/>
      <c r="E173" s="44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88">
      <c r="A174" s="50" t="n"/>
      <c r="B174" s="50" t="n"/>
      <c r="C174" s="50" t="n"/>
      <c r="D174" s="44" t="n"/>
      <c r="E174" s="44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88">
      <c r="A175" s="50" t="n"/>
      <c r="B175" s="50" t="n"/>
      <c r="C175" s="50" t="n"/>
      <c r="D175" s="44" t="n"/>
      <c r="E175" s="44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88">
      <c r="A176" s="50" t="n"/>
      <c r="B176" s="50" t="n"/>
      <c r="C176" s="50" t="n"/>
      <c r="D176" s="44" t="n"/>
      <c r="E176" s="44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88">
      <c r="A177" s="50" t="n"/>
      <c r="B177" s="50" t="n"/>
      <c r="C177" s="50" t="n"/>
      <c r="D177" s="44" t="n"/>
      <c r="E177" s="44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88">
      <c r="A178" s="50" t="n"/>
      <c r="B178" s="50" t="n"/>
      <c r="C178" s="50" t="n"/>
      <c r="D178" s="44" t="n"/>
      <c r="E178" s="44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88">
      <c r="A179" s="50" t="n"/>
      <c r="B179" s="50" t="n"/>
      <c r="C179" s="50" t="n"/>
      <c r="D179" s="44" t="n"/>
      <c r="E179" s="44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88">
      <c r="A180" s="50" t="n"/>
      <c r="B180" s="50" t="n"/>
      <c r="C180" s="50" t="n"/>
      <c r="D180" s="44" t="n"/>
      <c r="E180" s="44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88">
      <c r="A181" s="50" t="n"/>
      <c r="B181" s="50" t="n"/>
      <c r="C181" s="50" t="n"/>
      <c r="D181" s="44" t="n"/>
      <c r="E181" s="44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88">
      <c r="A182" s="50" t="n"/>
      <c r="B182" s="50" t="n"/>
      <c r="C182" s="50" t="n"/>
      <c r="D182" s="44" t="n"/>
      <c r="E182" s="44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88">
      <c r="A183" s="50" t="n"/>
      <c r="B183" s="50" t="n"/>
      <c r="C183" s="50" t="n"/>
      <c r="D183" s="44" t="n"/>
      <c r="E183" s="44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88">
      <c r="A184" s="50" t="n"/>
      <c r="B184" s="50" t="n"/>
      <c r="C184" s="50" t="n"/>
      <c r="D184" s="44" t="n"/>
      <c r="E184" s="44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88">
      <c r="A185" s="50" t="n"/>
      <c r="B185" s="50" t="n"/>
      <c r="C185" s="50" t="n"/>
      <c r="D185" s="44" t="n"/>
      <c r="E185" s="44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88">
      <c r="A186" s="50" t="n"/>
      <c r="B186" s="50" t="n"/>
      <c r="C186" s="50" t="n"/>
      <c r="D186" s="44" t="n"/>
      <c r="E186" s="44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88">
      <c r="A187" s="50" t="n"/>
      <c r="B187" s="50" t="n"/>
      <c r="C187" s="50" t="n"/>
      <c r="D187" s="44" t="n"/>
      <c r="E187" s="44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88">
      <c r="A188" s="50" t="n"/>
      <c r="B188" s="50" t="n"/>
      <c r="C188" s="50" t="n"/>
      <c r="D188" s="44" t="n"/>
      <c r="E188" s="44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88">
      <c r="A189" s="50" t="n"/>
      <c r="B189" s="50" t="n"/>
      <c r="C189" s="50" t="n"/>
      <c r="D189" s="44" t="n"/>
      <c r="E189" s="44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88">
      <c r="A190" s="50" t="n"/>
      <c r="B190" s="50" t="n"/>
      <c r="C190" s="50" t="n"/>
      <c r="D190" s="44" t="n"/>
      <c r="E190" s="44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88">
      <c r="A191" s="50" t="n"/>
      <c r="B191" s="50" t="n"/>
      <c r="C191" s="50" t="n"/>
      <c r="D191" s="44" t="n"/>
      <c r="E191" s="44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88">
      <c r="A192" s="50" t="n"/>
      <c r="B192" s="50" t="n"/>
      <c r="C192" s="50" t="n"/>
      <c r="D192" s="44" t="n"/>
      <c r="E192" s="44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88">
      <c r="A193" s="50" t="n"/>
      <c r="B193" s="50" t="n"/>
      <c r="C193" s="50" t="n"/>
      <c r="D193" s="44" t="n"/>
      <c r="E193" s="44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88">
      <c r="A194" s="50" t="n"/>
      <c r="B194" s="50" t="n"/>
      <c r="C194" s="50" t="n"/>
      <c r="D194" s="44" t="n"/>
      <c r="E194" s="44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</sheetData>
  <autoFilter ref="E1:E32"/>
  <mergeCells count="1">
    <mergeCell ref="A1:E1"/>
  </mergeCells>
  <conditionalFormatting sqref="E3:E32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3"/>
  <sheetViews>
    <sheetView topLeftCell="A27" workbookViewId="0">
      <selection activeCell="B39" sqref="B39"/>
    </sheetView>
  </sheetViews>
  <sheetFormatPr baseColWidth="8" defaultColWidth="12.59765625" defaultRowHeight="15" customHeight="1"/>
  <cols>
    <col width="5.69921875" customWidth="1" style="88" min="1" max="1"/>
    <col width="14.19921875" customWidth="1" style="88" min="2" max="2"/>
    <col width="27.8984375" customWidth="1" style="88" min="3" max="3"/>
    <col width="13.3984375" customWidth="1" style="88" min="4" max="4"/>
    <col width="13.19921875" customWidth="1" style="88" min="5" max="17"/>
    <col width="6.3984375" customWidth="1" style="88" min="18" max="18"/>
    <col width="8" customWidth="1" style="88" min="19" max="30"/>
  </cols>
  <sheetData>
    <row r="1" ht="19.5" customHeight="1" s="88">
      <c r="A1" s="15">
        <f>'CO-PO Mapping'!A1:P1</f>
        <v/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88">
      <c r="A2" s="15" t="inlineStr">
        <is>
          <t>MID TERM II EXAM MARK RECORD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88">
      <c r="A3" s="15">
        <f>'CO-PO Mapping'!A3:P3</f>
        <v/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88">
      <c r="A4" s="103" t="inlineStr">
        <is>
          <t>S.NO.</t>
        </is>
      </c>
      <c r="B4" s="98" t="inlineStr">
        <is>
          <t>RTU ROLL
NUMBER</t>
        </is>
      </c>
      <c r="C4" s="15" t="inlineStr">
        <is>
          <t>NAME OF STUDENT</t>
        </is>
      </c>
      <c r="D4" s="15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4" t="n"/>
      <c r="O4" s="101" t="n"/>
      <c r="P4" s="123" t="n"/>
      <c r="Q4" s="123" t="n"/>
      <c r="R4" s="103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88">
      <c r="A5" s="134" t="n"/>
      <c r="B5" s="134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98" t="inlineStr">
        <is>
          <t xml:space="preserve">Target 50% students attain 70% marks (1) </t>
        </is>
      </c>
      <c r="H5" s="98" t="inlineStr">
        <is>
          <t>Target 50% students attain 80% marks (2)</t>
        </is>
      </c>
      <c r="I5" s="98" t="inlineStr">
        <is>
          <t>Target 50% students attain 90% marks (3)</t>
        </is>
      </c>
      <c r="J5" s="18" t="inlineStr">
        <is>
          <t>CO4</t>
        </is>
      </c>
      <c r="K5" s="98" t="inlineStr">
        <is>
          <t xml:space="preserve">Target 50% students attain 70% marks (1) </t>
        </is>
      </c>
      <c r="L5" s="98" t="inlineStr">
        <is>
          <t>Target 50% students attain 80% marks (2)</t>
        </is>
      </c>
      <c r="M5" s="98" t="inlineStr">
        <is>
          <t>Target 50% students attain 90% marks (3)</t>
        </is>
      </c>
      <c r="N5" s="18" t="inlineStr">
        <is>
          <t>CO5</t>
        </is>
      </c>
      <c r="O5" s="98" t="inlineStr">
        <is>
          <t xml:space="preserve">Target 50% students attain 70% marks (1) </t>
        </is>
      </c>
      <c r="P5" s="98" t="inlineStr">
        <is>
          <t>Target 50% students attain 80% marks (2)</t>
        </is>
      </c>
      <c r="Q5" s="98" t="inlineStr">
        <is>
          <t>Target 50% students attain 90% marks (3)</t>
        </is>
      </c>
      <c r="R5" s="13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88">
      <c r="A6" s="134" t="n"/>
      <c r="B6" s="134" t="n"/>
      <c r="C6" s="52" t="inlineStr">
        <is>
          <t>MAX MARKS</t>
        </is>
      </c>
      <c r="D6" s="45" t="n"/>
      <c r="E6" s="45" t="n"/>
      <c r="F6" s="45" t="n">
        <v>14</v>
      </c>
      <c r="G6" s="134" t="n"/>
      <c r="H6" s="134" t="n"/>
      <c r="I6" s="134" t="n"/>
      <c r="J6" s="45" t="n">
        <v>28</v>
      </c>
      <c r="K6" s="134" t="n"/>
      <c r="L6" s="134" t="n"/>
      <c r="M6" s="134" t="n"/>
      <c r="N6" s="45" t="n">
        <v>28</v>
      </c>
      <c r="O6" s="134" t="n"/>
      <c r="P6" s="134" t="n"/>
      <c r="Q6" s="134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88">
      <c r="A7" s="47">
        <f>'Sessional + End Term Assessment'!A8</f>
        <v/>
      </c>
      <c r="B7" s="79">
        <f>'Sessional + End Term Assessment'!B8</f>
        <v/>
      </c>
      <c r="C7" s="79">
        <f>'Sessional + End Term Assessment'!C8</f>
        <v/>
      </c>
      <c r="D7" s="53" t="n"/>
      <c r="E7" s="53" t="n"/>
      <c r="F7" s="78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78" t="n">
        <v>24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78" t="n">
        <v>24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78" t="n">
        <v>61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88">
      <c r="A8" s="47">
        <f>'Sessional + End Term Assessment'!A9</f>
        <v/>
      </c>
      <c r="B8" s="79">
        <f>'Sessional + End Term Assessment'!B9</f>
        <v/>
      </c>
      <c r="C8" s="79">
        <f>'Sessional + End Term Assessment'!C9</f>
        <v/>
      </c>
      <c r="D8" s="53" t="n"/>
      <c r="E8" s="53" t="n"/>
      <c r="F8" s="78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78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78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88">
      <c r="A9" s="47">
        <f>'Sessional + End Term Assessment'!A10</f>
        <v/>
      </c>
      <c r="B9" s="79">
        <f>'Sessional + End Term Assessment'!B10</f>
        <v/>
      </c>
      <c r="C9" s="79">
        <f>'Sessional + End Term Assessment'!C10</f>
        <v/>
      </c>
      <c r="D9" s="53" t="n"/>
      <c r="E9" s="53" t="n"/>
      <c r="F9" s="78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78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78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78" t="n">
        <v>55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88">
      <c r="A10" s="47">
        <f>'Sessional + End Term Assessment'!A11</f>
        <v/>
      </c>
      <c r="B10" s="79">
        <f>'Sessional + End Term Assessment'!B11</f>
        <v/>
      </c>
      <c r="C10" s="79">
        <f>'Sessional + End Term Assessment'!C11</f>
        <v/>
      </c>
      <c r="D10" s="53" t="n"/>
      <c r="E10" s="53" t="n"/>
      <c r="F10" s="78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78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78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78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88">
      <c r="A11" s="47">
        <f>'Sessional + End Term Assessment'!A12</f>
        <v/>
      </c>
      <c r="B11" s="79">
        <f>'Sessional + End Term Assessment'!B12</f>
        <v/>
      </c>
      <c r="C11" s="79">
        <f>'Sessional + End Term Assessment'!C12</f>
        <v/>
      </c>
      <c r="D11" s="53" t="n"/>
      <c r="E11" s="53" t="n"/>
      <c r="F11" s="78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78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78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78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88">
      <c r="A12" s="47">
        <f>'Sessional + End Term Assessment'!A13</f>
        <v/>
      </c>
      <c r="B12" s="79">
        <f>'Sessional + End Term Assessment'!B13</f>
        <v/>
      </c>
      <c r="C12" s="79">
        <f>'Sessional + End Term Assessment'!C13</f>
        <v/>
      </c>
      <c r="D12" s="53" t="n"/>
      <c r="E12" s="53" t="n"/>
      <c r="F12" s="78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78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78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88">
      <c r="A13" s="47">
        <f>'Sessional + End Term Assessment'!A14</f>
        <v/>
      </c>
      <c r="B13" s="79">
        <f>'Sessional + End Term Assessment'!B14</f>
        <v/>
      </c>
      <c r="C13" s="79">
        <f>'Sessional + End Term Assessment'!C14</f>
        <v/>
      </c>
      <c r="D13" s="53" t="n"/>
      <c r="E13" s="53" t="n"/>
      <c r="F13" s="78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78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78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78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88">
      <c r="A14" s="47">
        <f>'Sessional + End Term Assessment'!A15</f>
        <v/>
      </c>
      <c r="B14" s="79">
        <f>'Sessional + End Term Assessment'!B15</f>
        <v/>
      </c>
      <c r="C14" s="79">
        <f>'Sessional + End Term Assessment'!C15</f>
        <v/>
      </c>
      <c r="D14" s="53" t="n"/>
      <c r="E14" s="53" t="n"/>
      <c r="F14" s="78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78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78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78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88">
      <c r="A15" s="47">
        <f>'Sessional + End Term Assessment'!A16</f>
        <v/>
      </c>
      <c r="B15" s="79">
        <f>'Sessional + End Term Assessment'!B16</f>
        <v/>
      </c>
      <c r="C15" s="79">
        <f>'Sessional + End Term Assessment'!C16</f>
        <v/>
      </c>
      <c r="D15" s="53" t="n"/>
      <c r="E15" s="53" t="n"/>
      <c r="F15" s="78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78" t="n">
        <v>27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78" t="n">
        <v>24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64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88">
      <c r="A16" s="47">
        <f>'Sessional + End Term Assessment'!A17</f>
        <v/>
      </c>
      <c r="B16" s="79">
        <f>'Sessional + End Term Assessment'!B17</f>
        <v/>
      </c>
      <c r="C16" s="79">
        <f>'Sessional + End Term Assessment'!C17</f>
        <v/>
      </c>
      <c r="D16" s="53" t="n"/>
      <c r="E16" s="53" t="n"/>
      <c r="F16" s="78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78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78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78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88">
      <c r="A17" s="47">
        <f>'Sessional + End Term Assessment'!A18</f>
        <v/>
      </c>
      <c r="B17" s="79">
        <f>'Sessional + End Term Assessment'!B18</f>
        <v/>
      </c>
      <c r="C17" s="79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88">
      <c r="A18" s="47">
        <f>'Sessional + End Term Assessment'!A19</f>
        <v/>
      </c>
      <c r="B18" s="79">
        <f>'Sessional + End Term Assessment'!B19</f>
        <v/>
      </c>
      <c r="C18" s="79">
        <f>'Sessional + End Term Assessment'!C19</f>
        <v/>
      </c>
      <c r="D18" s="53" t="n"/>
      <c r="E18" s="53" t="n"/>
      <c r="F18" s="78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78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78" t="n">
        <v>26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63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88">
      <c r="A19" s="47">
        <f>'Sessional + End Term Assessment'!A20</f>
        <v/>
      </c>
      <c r="B19" s="79">
        <f>'Sessional + End Term Assessment'!B20</f>
        <v/>
      </c>
      <c r="C19" s="79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24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88">
      <c r="A20" s="47">
        <f>'Sessional + End Term Assessment'!A21</f>
        <v/>
      </c>
      <c r="B20" s="79">
        <f>'Sessional + End Term Assessment'!B21</f>
        <v/>
      </c>
      <c r="C20" s="79">
        <f>'Sessional + End Term Assessment'!C21</f>
        <v/>
      </c>
      <c r="D20" s="53" t="n"/>
      <c r="E20" s="53" t="n"/>
      <c r="F20" s="78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78" t="n">
        <v>23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78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78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88">
      <c r="A21" s="47">
        <f>'Sessional + End Term Assessment'!A22</f>
        <v/>
      </c>
      <c r="B21" s="79">
        <f>'Sessional + End Term Assessment'!B22</f>
        <v/>
      </c>
      <c r="C21" s="79">
        <f>'Sessional + End Term Assessment'!C22</f>
        <v/>
      </c>
      <c r="D21" s="53" t="n"/>
      <c r="E21" s="53" t="n"/>
      <c r="F21" s="78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78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78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78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88">
      <c r="A22" s="47">
        <f>'Sessional + End Term Assessment'!A23</f>
        <v/>
      </c>
      <c r="B22" s="79">
        <f>'Sessional + End Term Assessment'!B23</f>
        <v/>
      </c>
      <c r="C22" s="79">
        <f>'Sessional + End Term Assessment'!C23</f>
        <v/>
      </c>
      <c r="D22" s="53" t="n"/>
      <c r="E22" s="53" t="n"/>
      <c r="F22" s="78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78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78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88">
      <c r="A23" s="47">
        <f>'Sessional + End Term Assessment'!A24</f>
        <v/>
      </c>
      <c r="B23" s="79">
        <f>'Sessional + End Term Assessment'!B24</f>
        <v/>
      </c>
      <c r="C23" s="79">
        <f>'Sessional + End Term Assessment'!C24</f>
        <v/>
      </c>
      <c r="D23" s="53" t="n"/>
      <c r="E23" s="53" t="n"/>
      <c r="F23" s="78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78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78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78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88">
      <c r="A24" s="47">
        <f>'Sessional + End Term Assessment'!A25</f>
        <v/>
      </c>
      <c r="B24" s="79">
        <f>'Sessional + End Term Assessment'!B25</f>
        <v/>
      </c>
      <c r="C24" s="79">
        <f>'Sessional + End Term Assessment'!C25</f>
        <v/>
      </c>
      <c r="D24" s="53" t="n"/>
      <c r="E24" s="53" t="n"/>
      <c r="F24" s="78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78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78" t="n">
        <v>26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78" t="n">
        <v>68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88">
      <c r="A25" s="47">
        <f>'Sessional + End Term Assessment'!A26</f>
        <v/>
      </c>
      <c r="B25" s="79">
        <f>'Sessional + End Term Assessment'!B26</f>
        <v/>
      </c>
      <c r="C25" s="79">
        <f>'Sessional + End Term Assessment'!C26</f>
        <v/>
      </c>
      <c r="D25" s="53" t="n"/>
      <c r="E25" s="53" t="n"/>
      <c r="F25" s="78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78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78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78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88">
      <c r="A26" s="47">
        <f>'Sessional + End Term Assessment'!A27</f>
        <v/>
      </c>
      <c r="B26" s="79">
        <f>'Sessional + End Term Assessment'!B27</f>
        <v/>
      </c>
      <c r="C26" s="79">
        <f>'Sessional + End Term Assessment'!C27</f>
        <v/>
      </c>
      <c r="D26" s="53" t="n"/>
      <c r="E26" s="53" t="n"/>
      <c r="F26" s="78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78" t="n">
        <v>28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78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78" t="n">
        <v>70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88">
      <c r="A27" s="47">
        <f>'Sessional + End Term Assessment'!A28</f>
        <v/>
      </c>
      <c r="B27" s="79">
        <f>'Sessional + End Term Assessment'!B28</f>
        <v/>
      </c>
      <c r="C27" s="79">
        <f>'Sessional + End Term Assessment'!C28</f>
        <v/>
      </c>
      <c r="D27" s="53" t="n"/>
      <c r="E27" s="53" t="n"/>
      <c r="F27" s="78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78" t="n">
        <v>26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78" t="n">
        <v>27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88">
      <c r="A28" s="47">
        <f>'Sessional + End Term Assessment'!A29</f>
        <v/>
      </c>
      <c r="B28" s="79">
        <f>'Sessional + End Term Assessment'!B29</f>
        <v/>
      </c>
      <c r="C28" s="79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25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67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88">
      <c r="A29" s="47">
        <f>'Sessional + End Term Assessment'!A30</f>
        <v/>
      </c>
      <c r="B29" s="79">
        <f>'Sessional + End Term Assessment'!B30</f>
        <v/>
      </c>
      <c r="C29" s="79">
        <f>'Sessional + End Term Assessment'!C30</f>
        <v/>
      </c>
      <c r="D29" s="53" t="n"/>
      <c r="E29" s="53" t="n"/>
      <c r="F29" s="78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78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78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88">
      <c r="A30" s="47">
        <f>'Sessional + End Term Assessment'!A31</f>
        <v/>
      </c>
      <c r="B30" s="79">
        <f>'Sessional + End Term Assessment'!B31</f>
        <v/>
      </c>
      <c r="C30" s="79">
        <f>'Sessional + End Term Assessment'!C31</f>
        <v/>
      </c>
      <c r="D30" s="53" t="n"/>
      <c r="E30" s="53" t="n"/>
      <c r="F30" s="78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78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78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78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88">
      <c r="A31" s="47">
        <f>'Sessional + End Term Assessment'!A32</f>
        <v/>
      </c>
      <c r="B31" s="79">
        <f>'Sessional + End Term Assessment'!B32</f>
        <v/>
      </c>
      <c r="C31" s="79">
        <f>'Sessional + End Term Assessment'!C32</f>
        <v/>
      </c>
      <c r="D31" s="53" t="n"/>
      <c r="E31" s="53" t="n"/>
      <c r="F31" s="78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78" t="n">
        <v>23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78" t="n">
        <v>20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78" t="n">
        <v>56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88">
      <c r="A32" s="47">
        <f>'Sessional + End Term Assessment'!A33</f>
        <v/>
      </c>
      <c r="B32" s="79">
        <f>'Sessional + End Term Assessment'!B33</f>
        <v/>
      </c>
      <c r="C32" s="79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23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23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59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88">
      <c r="A33" s="47">
        <f>'Sessional + End Term Assessment'!A34</f>
        <v/>
      </c>
      <c r="B33" s="79">
        <f>'Sessional + End Term Assessment'!B34</f>
        <v/>
      </c>
      <c r="C33" s="79">
        <f>'Sessional + End Term Assessment'!C34</f>
        <v/>
      </c>
      <c r="D33" s="53" t="n"/>
      <c r="E33" s="53" t="n"/>
      <c r="F33" s="78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78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78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78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88">
      <c r="A34" s="47">
        <f>'Sessional + End Term Assessment'!A35</f>
        <v/>
      </c>
      <c r="B34" s="79">
        <f>'Sessional + End Term Assessment'!B35</f>
        <v/>
      </c>
      <c r="C34" s="79">
        <f>'Sessional + End Term Assessment'!C35</f>
        <v/>
      </c>
      <c r="D34" s="53" t="n"/>
      <c r="E34" s="53" t="n"/>
      <c r="F34" s="78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78" t="n">
        <v>27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78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67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88">
      <c r="A35" s="47">
        <f>'Sessional + End Term Assessment'!A36</f>
        <v/>
      </c>
      <c r="B35" s="79">
        <f>'Sessional + End Term Assessment'!B36</f>
        <v/>
      </c>
      <c r="C35" s="79">
        <f>'Sessional + End Term Assessment'!C36</f>
        <v/>
      </c>
      <c r="D35" s="53" t="n"/>
      <c r="E35" s="53" t="n"/>
      <c r="F35" s="78" t="n">
        <v>14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78" t="n">
        <v>26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78" t="n">
        <v>26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78" t="n">
        <v>66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88">
      <c r="A36" s="47">
        <f>'Sessional + End Term Assessment'!A37</f>
        <v/>
      </c>
      <c r="B36" s="79">
        <f>'Sessional + End Term Assessment'!B37</f>
        <v/>
      </c>
      <c r="C36" s="79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21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58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5.75" customHeight="1" s="88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5.75" customHeight="1" s="8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5.75" customHeight="1" s="88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5.75" customHeight="1" s="88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5.75" customHeight="1" s="88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5.75" customHeight="1" s="88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5.75" customHeight="1" s="88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5.75" customHeight="1" s="88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5.75" customHeight="1" s="88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5.75" customHeight="1" s="88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5.75" customHeight="1" s="88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5.75" customHeight="1" s="8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5.75" customHeight="1" s="88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5.75" customHeight="1" s="88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5.75" customHeight="1" s="88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5.75" customHeight="1" s="88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5.75" customHeight="1" s="88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5.75" customHeight="1" s="88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5.75" customHeight="1" s="88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5.75" customHeight="1" s="88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5.75" customHeight="1" s="88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5.75" customHeight="1" s="8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5.75" customHeight="1" s="88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5.75" customHeight="1" s="88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5.75" customHeight="1" s="88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5.75" customHeight="1" s="88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5.75" customHeight="1" s="88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5.75" customHeight="1" s="88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5.75" customHeight="1" s="88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5.75" customHeight="1" s="88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5.75" customHeight="1" s="88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5.75" customHeight="1" s="8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5.75" customHeight="1" s="88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5.75" customHeight="1" s="88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5.75" customHeight="1" s="88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5.75" customHeight="1" s="88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5.75" customHeight="1" s="88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5.75" customHeight="1" s="88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5.75" customHeight="1" s="88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5.75" customHeight="1" s="88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5.75" customHeight="1" s="88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5.75" customHeight="1" s="8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5.75" customHeight="1" s="88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5.75" customHeight="1" s="88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5.75" customHeight="1" s="88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5.75" customHeight="1" s="88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5.75" customHeight="1" s="88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5.75" customHeight="1" s="88"/>
    <row r="85" ht="15.75" customHeight="1" s="88"/>
    <row r="86" ht="15.75" customHeight="1" s="88"/>
    <row r="87" ht="15.75" customHeight="1" s="88"/>
    <row r="88" ht="15.75" customHeight="1" s="88"/>
    <row r="89" ht="15.75" customHeight="1" s="88"/>
    <row r="90" ht="15.75" customHeight="1" s="88"/>
    <row r="91" ht="15.75" customHeight="1" s="88"/>
    <row r="92" ht="15.75" customHeight="1" s="88"/>
    <row r="93" ht="15.75" customHeight="1" s="88"/>
    <row r="94" ht="15.75" customHeight="1" s="88"/>
    <row r="95" ht="15.75" customHeight="1" s="88"/>
    <row r="96" ht="15.75" customHeight="1" s="88"/>
    <row r="97" ht="15.75" customHeight="1" s="88"/>
    <row r="98" ht="15.75" customHeight="1" s="88"/>
    <row r="99" ht="15.75" customHeight="1" s="88"/>
    <row r="100" ht="15.75" customHeight="1" s="88"/>
    <row r="101" ht="15.75" customHeight="1" s="88"/>
    <row r="102" ht="15.75" customHeight="1" s="88"/>
    <row r="103" ht="15.75" customHeight="1" s="88"/>
    <row r="104" ht="15.75" customHeight="1" s="88"/>
    <row r="105" ht="15.75" customHeight="1" s="88"/>
    <row r="106" ht="15.75" customHeight="1" s="88"/>
    <row r="107" ht="15.75" customHeight="1" s="88"/>
    <row r="108" ht="15.75" customHeight="1" s="88"/>
    <row r="109" ht="15.75" customHeight="1" s="88"/>
    <row r="110" ht="15.75" customHeight="1" s="88"/>
    <row r="111" ht="15.75" customHeight="1" s="88"/>
    <row r="112" ht="15.75" customHeight="1" s="88"/>
    <row r="113" ht="15.75" customHeight="1" s="88"/>
    <row r="114" ht="15.75" customHeight="1" s="88"/>
    <row r="115" ht="15.75" customHeight="1" s="88"/>
    <row r="116" ht="15.75" customHeight="1" s="88"/>
    <row r="117" ht="15.75" customHeight="1" s="88"/>
    <row r="118" ht="15.75" customHeight="1" s="88"/>
    <row r="119" ht="15.75" customHeight="1" s="88"/>
    <row r="120" ht="15.75" customHeight="1" s="88"/>
    <row r="121" ht="15.75" customHeight="1" s="88"/>
    <row r="122" ht="15.75" customHeight="1" s="88"/>
    <row r="123" ht="15.75" customHeight="1" s="88"/>
    <row r="124" ht="15.75" customHeight="1" s="88"/>
    <row r="125" ht="15.75" customHeight="1" s="88"/>
    <row r="126" ht="15.75" customHeight="1" s="88"/>
    <row r="127" ht="15.75" customHeight="1" s="88"/>
    <row r="128" ht="15.75" customHeight="1" s="88"/>
    <row r="129" ht="15.75" customHeight="1" s="88"/>
    <row r="130" ht="15.75" customHeight="1" s="88"/>
    <row r="131" ht="15.75" customHeight="1" s="88"/>
    <row r="132" ht="15.75" customHeight="1" s="88"/>
    <row r="133" ht="15.75" customHeight="1" s="88"/>
    <row r="134" ht="15.75" customHeight="1" s="88"/>
    <row r="135" ht="15.75" customHeight="1" s="88"/>
    <row r="136" ht="15.75" customHeight="1" s="88"/>
    <row r="137" ht="15.75" customHeight="1" s="88"/>
    <row r="138" ht="15.75" customHeight="1" s="88"/>
    <row r="139" ht="15.75" customHeight="1" s="88"/>
    <row r="140" ht="15.75" customHeight="1" s="88"/>
    <row r="141" ht="15.75" customHeight="1" s="88"/>
    <row r="142" ht="15.75" customHeight="1" s="88"/>
    <row r="143" ht="15.75" customHeight="1" s="88"/>
    <row r="144" ht="15.75" customHeight="1" s="88"/>
    <row r="145" ht="15.75" customHeight="1" s="88"/>
    <row r="146" ht="15.75" customHeight="1" s="88"/>
    <row r="147" ht="15.75" customHeight="1" s="88"/>
    <row r="148" ht="15.75" customHeight="1" s="88"/>
    <row r="149" ht="15.75" customHeight="1" s="88"/>
    <row r="150" ht="15.75" customHeight="1" s="88"/>
    <row r="151" ht="15.75" customHeight="1" s="88"/>
    <row r="152" ht="15.75" customHeight="1" s="88"/>
    <row r="153" ht="15.75" customHeight="1" s="88"/>
    <row r="154" ht="15.75" customHeight="1" s="88"/>
    <row r="155" ht="15.75" customHeight="1" s="88"/>
    <row r="156" ht="15.75" customHeight="1" s="88"/>
    <row r="157" ht="15.75" customHeight="1" s="88"/>
    <row r="158" ht="15.75" customHeight="1" s="88"/>
    <row r="159" ht="15.75" customHeight="1" s="88"/>
    <row r="160" ht="15.75" customHeight="1" s="88"/>
    <row r="161" ht="15.75" customHeight="1" s="88"/>
    <row r="162" ht="15.75" customHeight="1" s="88"/>
    <row r="163" ht="15.75" customHeight="1" s="88"/>
    <row r="164" ht="15.75" customHeight="1" s="88"/>
    <row r="165" ht="15.75" customHeight="1" s="88"/>
    <row r="166" ht="15.75" customHeight="1" s="88"/>
    <row r="167" ht="15.75" customHeight="1" s="88"/>
    <row r="168" ht="15.75" customHeight="1" s="88"/>
    <row r="169" ht="15.75" customHeight="1" s="88"/>
    <row r="170" ht="15.75" customHeight="1" s="88"/>
    <row r="171" ht="15.75" customHeight="1" s="88"/>
    <row r="172" ht="15.75" customHeight="1" s="88"/>
    <row r="173" ht="15.75" customHeight="1" s="88"/>
    <row r="174" ht="15.75" customHeight="1" s="88"/>
    <row r="175" ht="15.75" customHeight="1" s="88"/>
    <row r="176" ht="15.75" customHeight="1" s="88"/>
    <row r="177" ht="15.75" customHeight="1" s="88"/>
    <row r="178" ht="15.75" customHeight="1" s="88"/>
    <row r="179" ht="15.75" customHeight="1" s="88"/>
    <row r="180" ht="15.75" customHeight="1" s="88"/>
    <row r="181" ht="15.75" customHeight="1" s="88"/>
    <row r="182" ht="15.75" customHeight="1" s="88"/>
    <row r="183" ht="15.75" customHeight="1" s="88"/>
    <row r="184" ht="15.75" customHeight="1" s="88"/>
    <row r="185" ht="15.75" customHeight="1" s="88"/>
    <row r="186" ht="15.75" customHeight="1" s="88"/>
    <row r="187" ht="15.75" customHeight="1" s="88"/>
    <row r="188" ht="15.75" customHeight="1" s="88"/>
    <row r="189" ht="15.75" customHeight="1" s="88"/>
    <row r="190" ht="15.75" customHeight="1" s="88"/>
    <row r="191" ht="15.75" customHeight="1" s="88"/>
    <row r="192" ht="15.75" customHeight="1" s="88"/>
    <row r="193" ht="15.75" customHeight="1" s="88"/>
    <row r="194" ht="15.75" customHeight="1" s="88"/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</sheetData>
  <mergeCells count="17">
    <mergeCell ref="A3:R3"/>
    <mergeCell ref="O5:O6"/>
    <mergeCell ref="P5:P6"/>
    <mergeCell ref="Q5:Q6"/>
    <mergeCell ref="A4:A6"/>
    <mergeCell ref="R4:R5"/>
    <mergeCell ref="G5:G6"/>
    <mergeCell ref="B4:B6"/>
    <mergeCell ref="H5:H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36 K7:M36 O7:Q36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1" manualBreakCount="1">
    <brk id="35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95"/>
  <sheetViews>
    <sheetView topLeftCell="A21" workbookViewId="0">
      <selection activeCell="C32" sqref="C32"/>
    </sheetView>
  </sheetViews>
  <sheetFormatPr baseColWidth="8" defaultColWidth="12.59765625" defaultRowHeight="15" customHeight="1"/>
  <cols>
    <col width="8.69921875" customWidth="1" style="88" min="1" max="1"/>
    <col width="14" customWidth="1" style="88" min="2" max="2"/>
    <col width="26.19921875" customWidth="1" style="88" min="3" max="3"/>
    <col width="10.8984375" customWidth="1" style="88" min="4" max="4"/>
    <col width="11.5" customWidth="1" style="88" min="5" max="5"/>
    <col width="8.69921875" customWidth="1" style="88" min="6" max="25"/>
    <col width="12.69921875" customWidth="1" style="88" min="26" max="26"/>
  </cols>
  <sheetData>
    <row r="1" ht="13.5" customHeight="1" s="88">
      <c r="A1" s="119" t="inlineStr">
        <is>
          <t>Marks and Gap Analysis of Mid-Term 2</t>
        </is>
      </c>
      <c r="B1" s="131" t="n"/>
      <c r="C1" s="131" t="n"/>
      <c r="D1" s="131" t="n"/>
      <c r="E1" s="131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8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88" thickBot="1">
      <c r="A3" s="61">
        <f>'Sessional + End Term Assessment'!A8</f>
        <v/>
      </c>
      <c r="B3" s="79">
        <f>'Sessional + End Term Assessment'!B8</f>
        <v/>
      </c>
      <c r="C3" s="79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88" thickBot="1">
      <c r="A4" s="61">
        <f>'Sessional + End Term Assessment'!A9</f>
        <v/>
      </c>
      <c r="B4" s="79">
        <f>'Sessional + End Term Assessment'!B9</f>
        <v/>
      </c>
      <c r="C4" s="79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88" thickBot="1">
      <c r="A5" s="61">
        <f>'Sessional + End Term Assessment'!A10</f>
        <v/>
      </c>
      <c r="B5" s="79">
        <f>'Sessional + End Term Assessment'!B10</f>
        <v/>
      </c>
      <c r="C5" s="79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88" thickBot="1">
      <c r="A6" s="61">
        <f>'Sessional + End Term Assessment'!A11</f>
        <v/>
      </c>
      <c r="B6" s="79">
        <f>'Sessional + End Term Assessment'!B11</f>
        <v/>
      </c>
      <c r="C6" s="79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88" thickBot="1">
      <c r="A7" s="61">
        <f>'Sessional + End Term Assessment'!A12</f>
        <v/>
      </c>
      <c r="B7" s="79">
        <f>'Sessional + End Term Assessment'!B12</f>
        <v/>
      </c>
      <c r="C7" s="79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88" thickBot="1">
      <c r="A8" s="61">
        <f>'Sessional + End Term Assessment'!A13</f>
        <v/>
      </c>
      <c r="B8" s="79">
        <f>'Sessional + End Term Assessment'!B13</f>
        <v/>
      </c>
      <c r="C8" s="79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88" thickBot="1">
      <c r="A9" s="61">
        <f>'Sessional + End Term Assessment'!A14</f>
        <v/>
      </c>
      <c r="B9" s="79">
        <f>'Sessional + End Term Assessment'!B14</f>
        <v/>
      </c>
      <c r="C9" s="79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88" thickBot="1">
      <c r="A10" s="61">
        <f>'Sessional + End Term Assessment'!A15</f>
        <v/>
      </c>
      <c r="B10" s="79">
        <f>'Sessional + End Term Assessment'!B15</f>
        <v/>
      </c>
      <c r="C10" s="79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88" thickBot="1">
      <c r="A11" s="61">
        <f>'Sessional + End Term Assessment'!A16</f>
        <v/>
      </c>
      <c r="B11" s="79">
        <f>'Sessional + End Term Assessment'!B16</f>
        <v/>
      </c>
      <c r="C11" s="79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88" thickBot="1">
      <c r="A12" s="61">
        <f>'Sessional + End Term Assessment'!A17</f>
        <v/>
      </c>
      <c r="B12" s="79">
        <f>'Sessional + End Term Assessment'!B17</f>
        <v/>
      </c>
      <c r="C12" s="79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88" thickBot="1">
      <c r="A13" s="61">
        <f>'Sessional + End Term Assessment'!A18</f>
        <v/>
      </c>
      <c r="B13" s="79">
        <f>'Sessional + End Term Assessment'!B18</f>
        <v/>
      </c>
      <c r="C13" s="79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88" thickBot="1">
      <c r="A14" s="61">
        <f>'Sessional + End Term Assessment'!A19</f>
        <v/>
      </c>
      <c r="B14" s="79">
        <f>'Sessional + End Term Assessment'!B19</f>
        <v/>
      </c>
      <c r="C14" s="79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88" thickBot="1">
      <c r="A15" s="61">
        <f>'Sessional + End Term Assessment'!A20</f>
        <v/>
      </c>
      <c r="B15" s="79">
        <f>'Sessional + End Term Assessment'!B20</f>
        <v/>
      </c>
      <c r="C15" s="79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88" thickBot="1">
      <c r="A16" s="61">
        <f>'Sessional + End Term Assessment'!A21</f>
        <v/>
      </c>
      <c r="B16" s="79">
        <f>'Sessional + End Term Assessment'!B21</f>
        <v/>
      </c>
      <c r="C16" s="79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88" thickBot="1">
      <c r="A17" s="61">
        <f>'Sessional + End Term Assessment'!A22</f>
        <v/>
      </c>
      <c r="B17" s="79">
        <f>'Sessional + End Term Assessment'!B22</f>
        <v/>
      </c>
      <c r="C17" s="79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88" thickBot="1">
      <c r="A18" s="61">
        <f>'Sessional + End Term Assessment'!A23</f>
        <v/>
      </c>
      <c r="B18" s="79">
        <f>'Sessional + End Term Assessment'!B23</f>
        <v/>
      </c>
      <c r="C18" s="79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88" thickBot="1">
      <c r="A19" s="61">
        <f>'Sessional + End Term Assessment'!A24</f>
        <v/>
      </c>
      <c r="B19" s="79">
        <f>'Sessional + End Term Assessment'!B24</f>
        <v/>
      </c>
      <c r="C19" s="79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88" thickBot="1">
      <c r="A20" s="61">
        <f>'Sessional + End Term Assessment'!A25</f>
        <v/>
      </c>
      <c r="B20" s="79">
        <f>'Sessional + End Term Assessment'!B25</f>
        <v/>
      </c>
      <c r="C20" s="79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88" thickBot="1">
      <c r="A21" s="61">
        <f>'Sessional + End Term Assessment'!A26</f>
        <v/>
      </c>
      <c r="B21" s="79">
        <f>'Sessional + End Term Assessment'!B26</f>
        <v/>
      </c>
      <c r="C21" s="79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88" thickBot="1">
      <c r="A22" s="61">
        <f>'Sessional + End Term Assessment'!A27</f>
        <v/>
      </c>
      <c r="B22" s="79">
        <f>'Sessional + End Term Assessment'!B27</f>
        <v/>
      </c>
      <c r="C22" s="79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88" thickBot="1">
      <c r="A23" s="61">
        <f>'Sessional + End Term Assessment'!A28</f>
        <v/>
      </c>
      <c r="B23" s="79">
        <f>'Sessional + End Term Assessment'!B28</f>
        <v/>
      </c>
      <c r="C23" s="79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88" thickBot="1">
      <c r="A24" s="61">
        <f>'Sessional + End Term Assessment'!A29</f>
        <v/>
      </c>
      <c r="B24" s="79">
        <f>'Sessional + End Term Assessment'!B29</f>
        <v/>
      </c>
      <c r="C24" s="79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88" thickBot="1">
      <c r="A25" s="61">
        <f>'Sessional + End Term Assessment'!A30</f>
        <v/>
      </c>
      <c r="B25" s="79">
        <f>'Sessional + End Term Assessment'!B30</f>
        <v/>
      </c>
      <c r="C25" s="79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88" thickBot="1">
      <c r="A26" s="61">
        <f>'Sessional + End Term Assessment'!A31</f>
        <v/>
      </c>
      <c r="B26" s="79">
        <f>'Sessional + End Term Assessment'!B31</f>
        <v/>
      </c>
      <c r="C26" s="79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88" thickBot="1">
      <c r="A27" s="61">
        <f>'Sessional + End Term Assessment'!A32</f>
        <v/>
      </c>
      <c r="B27" s="79">
        <f>'Sessional + End Term Assessment'!B32</f>
        <v/>
      </c>
      <c r="C27" s="79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88" thickBot="1">
      <c r="A28" s="61">
        <f>'Sessional + End Term Assessment'!A33</f>
        <v/>
      </c>
      <c r="B28" s="79">
        <f>'Sessional + End Term Assessment'!B33</f>
        <v/>
      </c>
      <c r="C28" s="79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88" thickBot="1">
      <c r="A29" s="61">
        <f>'Sessional + End Term Assessment'!A34</f>
        <v/>
      </c>
      <c r="B29" s="79">
        <f>'Sessional + End Term Assessment'!B34</f>
        <v/>
      </c>
      <c r="C29" s="79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88" thickBot="1">
      <c r="A30" s="61">
        <f>'Sessional + End Term Assessment'!A35</f>
        <v/>
      </c>
      <c r="B30" s="79">
        <f>'Sessional + End Term Assessment'!B35</f>
        <v/>
      </c>
      <c r="C30" s="79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88" thickBot="1">
      <c r="A31" s="61">
        <f>'Sessional + End Term Assessment'!A36</f>
        <v/>
      </c>
      <c r="B31" s="79">
        <f>'Sessional + End Term Assessment'!B36</f>
        <v/>
      </c>
      <c r="C31" s="79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88" thickBot="1">
      <c r="A32" s="61">
        <f>'Sessional + End Term Assessment'!A37</f>
        <v/>
      </c>
      <c r="B32" s="79">
        <f>'Sessional + End Term Assessment'!B37</f>
        <v/>
      </c>
      <c r="C32" s="79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88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88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88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88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88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8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88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88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88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88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88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88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88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88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88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8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88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88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88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88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88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88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88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88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88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8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88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88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88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88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88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88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88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88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88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8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88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88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88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88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88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88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88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88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88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8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88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88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88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88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88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88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88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88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88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88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88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88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88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88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88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88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88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88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8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88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88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88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88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88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88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88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88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88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8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88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88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88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88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88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88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88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88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88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8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88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88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88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88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88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88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88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88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88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8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88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88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88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88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88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88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88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88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88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8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88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88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88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88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88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88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88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88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88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8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88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88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88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88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88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88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88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88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88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8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88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88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88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88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88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88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88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88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88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8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88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88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88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88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88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88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88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88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88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8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88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88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88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88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88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88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88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88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88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88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88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88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88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88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88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88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</sheetData>
  <autoFilter ref="A2:E32"/>
  <mergeCells count="1">
    <mergeCell ref="A1:E1"/>
  </mergeCells>
  <conditionalFormatting sqref="E3:E32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5"/>
  <sheetViews>
    <sheetView tabSelected="1" topLeftCell="A31" workbookViewId="0">
      <selection activeCell="A41" sqref="A41:O44"/>
    </sheetView>
  </sheetViews>
  <sheetFormatPr baseColWidth="8" defaultColWidth="12.59765625" defaultRowHeight="15" customHeight="1"/>
  <cols>
    <col width="5.69921875" customWidth="1" style="88" min="1" max="1"/>
    <col width="13.5" customWidth="1" style="88" min="2" max="2"/>
    <col width="27.8984375" customWidth="1" style="88" min="3" max="3"/>
    <col width="14.3984375" customWidth="1" style="88" min="4" max="4"/>
    <col width="12.19921875" customWidth="1" style="88" min="5" max="13"/>
    <col width="8" customWidth="1" style="88" min="14" max="15"/>
    <col width="7.69921875" customWidth="1" style="88" min="16" max="25"/>
    <col width="12.69921875" customWidth="1" style="88" min="26" max="26"/>
  </cols>
  <sheetData>
    <row r="1" ht="19.5" customHeight="1" s="88">
      <c r="A1" s="101">
        <f>'CO-PO Mapping'!A1:P1</f>
        <v/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</row>
    <row r="2" ht="19.5" customHeight="1" s="88">
      <c r="A2" s="101" t="inlineStr">
        <is>
          <t>Course Outcome Attainment Sheet (Sessional)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</row>
    <row r="3" ht="19.5" customHeight="1" s="88">
      <c r="A3" s="101">
        <f>'CO-PO Mapping'!A3:P3</f>
        <v/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</row>
    <row r="4" ht="19.5" customHeight="1" s="88">
      <c r="A4" s="101">
        <f>'CO-PO Mapping'!A4:P4</f>
        <v/>
      </c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8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3" t="n"/>
      <c r="K5" s="123" t="n"/>
      <c r="L5" s="123" t="n"/>
      <c r="M5" s="124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88">
      <c r="A6" s="134" t="n"/>
      <c r="B6" s="134" t="n"/>
      <c r="C6" s="15" t="inlineStr">
        <is>
          <t>CO MAPPED</t>
        </is>
      </c>
      <c r="D6" s="125" t="n"/>
      <c r="E6" s="125" t="n"/>
      <c r="F6" s="125" t="n"/>
      <c r="G6" s="125" t="n"/>
      <c r="H6" s="125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4" t="n"/>
      <c r="O6" s="134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88">
      <c r="A7" s="134" t="n"/>
      <c r="B7" s="134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5" t="n"/>
      <c r="J7" s="125" t="n"/>
      <c r="K7" s="125" t="n"/>
      <c r="L7" s="125" t="n"/>
      <c r="M7" s="125" t="n"/>
      <c r="N7" s="125" t="n"/>
      <c r="O7" s="125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88">
      <c r="A8" s="125" t="n"/>
      <c r="B8" s="125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88">
      <c r="A9" s="15" t="inlineStr">
        <is>
          <t>Set Target Level</t>
        </is>
      </c>
      <c r="B9" s="123" t="n"/>
      <c r="C9" s="124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5" t="n"/>
      <c r="J9" s="125" t="n"/>
      <c r="K9" s="125" t="n"/>
      <c r="L9" s="125" t="n"/>
      <c r="M9" s="125" t="n"/>
      <c r="N9" s="125" t="n"/>
      <c r="O9" s="125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88">
      <c r="A10" s="47">
        <f>'Sessional + End Term Assessment'!A8</f>
        <v/>
      </c>
      <c r="B10" s="73">
        <f>'Sessional + End Term Assessment'!B8</f>
        <v/>
      </c>
      <c r="C10" s="73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88">
      <c r="A11" s="47">
        <f>'Sessional + End Term Assessment'!A9</f>
        <v/>
      </c>
      <c r="B11" s="73">
        <f>'Sessional + End Term Assessment'!B9</f>
        <v/>
      </c>
      <c r="C11" s="73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88">
      <c r="A12" s="47">
        <f>'Sessional + End Term Assessment'!A10</f>
        <v/>
      </c>
      <c r="B12" s="73">
        <f>'Sessional + End Term Assessment'!B10</f>
        <v/>
      </c>
      <c r="C12" s="73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88">
      <c r="A13" s="47">
        <f>'Sessional + End Term Assessment'!A11</f>
        <v/>
      </c>
      <c r="B13" s="73">
        <f>'Sessional + End Term Assessment'!B11</f>
        <v/>
      </c>
      <c r="C13" s="73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88">
      <c r="A14" s="47">
        <f>'Sessional + End Term Assessment'!A12</f>
        <v/>
      </c>
      <c r="B14" s="73">
        <f>'Sessional + End Term Assessment'!B12</f>
        <v/>
      </c>
      <c r="C14" s="73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88">
      <c r="A15" s="47">
        <f>'Sessional + End Term Assessment'!A13</f>
        <v/>
      </c>
      <c r="B15" s="73">
        <f>'Sessional + End Term Assessment'!B13</f>
        <v/>
      </c>
      <c r="C15" s="73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88">
      <c r="A16" s="47">
        <f>'Sessional + End Term Assessment'!A14</f>
        <v/>
      </c>
      <c r="B16" s="73">
        <f>'Sessional + End Term Assessment'!B14</f>
        <v/>
      </c>
      <c r="C16" s="73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88">
      <c r="A17" s="47">
        <f>'Sessional + End Term Assessment'!A15</f>
        <v/>
      </c>
      <c r="B17" s="73">
        <f>'Sessional + End Term Assessment'!B15</f>
        <v/>
      </c>
      <c r="C17" s="73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88">
      <c r="A18" s="47">
        <f>'Sessional + End Term Assessment'!A16</f>
        <v/>
      </c>
      <c r="B18" s="73">
        <f>'Sessional + End Term Assessment'!B16</f>
        <v/>
      </c>
      <c r="C18" s="73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88">
      <c r="A19" s="47">
        <f>'Sessional + End Term Assessment'!A17</f>
        <v/>
      </c>
      <c r="B19" s="73">
        <f>'Sessional + End Term Assessment'!B17</f>
        <v/>
      </c>
      <c r="C19" s="73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88">
      <c r="A20" s="47">
        <f>'Sessional + End Term Assessment'!A18</f>
        <v/>
      </c>
      <c r="B20" s="73">
        <f>'Sessional + End Term Assessment'!B18</f>
        <v/>
      </c>
      <c r="C20" s="73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88">
      <c r="A21" s="47">
        <f>'Sessional + End Term Assessment'!A19</f>
        <v/>
      </c>
      <c r="B21" s="73">
        <f>'Sessional + End Term Assessment'!B19</f>
        <v/>
      </c>
      <c r="C21" s="73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88">
      <c r="A22" s="47">
        <f>'Sessional + End Term Assessment'!A20</f>
        <v/>
      </c>
      <c r="B22" s="73">
        <f>'Sessional + End Term Assessment'!B20</f>
        <v/>
      </c>
      <c r="C22" s="73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88">
      <c r="A23" s="47">
        <f>'Sessional + End Term Assessment'!A21</f>
        <v/>
      </c>
      <c r="B23" s="73">
        <f>'Sessional + End Term Assessment'!B21</f>
        <v/>
      </c>
      <c r="C23" s="73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88">
      <c r="A24" s="47">
        <f>'Sessional + End Term Assessment'!A22</f>
        <v/>
      </c>
      <c r="B24" s="73">
        <f>'Sessional + End Term Assessment'!B22</f>
        <v/>
      </c>
      <c r="C24" s="73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88">
      <c r="A25" s="47">
        <f>'Sessional + End Term Assessment'!A23</f>
        <v/>
      </c>
      <c r="B25" s="73">
        <f>'Sessional + End Term Assessment'!B23</f>
        <v/>
      </c>
      <c r="C25" s="73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88">
      <c r="A26" s="47">
        <f>'Sessional + End Term Assessment'!A24</f>
        <v/>
      </c>
      <c r="B26" s="73">
        <f>'Sessional + End Term Assessment'!B24</f>
        <v/>
      </c>
      <c r="C26" s="73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88">
      <c r="A27" s="47">
        <f>'Sessional + End Term Assessment'!A25</f>
        <v/>
      </c>
      <c r="B27" s="73">
        <f>'Sessional + End Term Assessment'!B25</f>
        <v/>
      </c>
      <c r="C27" s="73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88">
      <c r="A28" s="47">
        <f>'Sessional + End Term Assessment'!A26</f>
        <v/>
      </c>
      <c r="B28" s="73">
        <f>'Sessional + End Term Assessment'!B26</f>
        <v/>
      </c>
      <c r="C28" s="73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88">
      <c r="A29" s="47">
        <f>'Sessional + End Term Assessment'!A27</f>
        <v/>
      </c>
      <c r="B29" s="73">
        <f>'Sessional + End Term Assessment'!B27</f>
        <v/>
      </c>
      <c r="C29" s="73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88">
      <c r="A30" s="47">
        <f>'Sessional + End Term Assessment'!A28</f>
        <v/>
      </c>
      <c r="B30" s="73">
        <f>'Sessional + End Term Assessment'!B28</f>
        <v/>
      </c>
      <c r="C30" s="73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88">
      <c r="A31" s="47">
        <f>'Sessional + End Term Assessment'!A29</f>
        <v/>
      </c>
      <c r="B31" s="73">
        <f>'Sessional + End Term Assessment'!B29</f>
        <v/>
      </c>
      <c r="C31" s="73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88">
      <c r="A32" s="47">
        <f>'Sessional + End Term Assessment'!A30</f>
        <v/>
      </c>
      <c r="B32" s="73">
        <f>'Sessional + End Term Assessment'!B30</f>
        <v/>
      </c>
      <c r="C32" s="73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88">
      <c r="A33" s="47">
        <f>'Sessional + End Term Assessment'!A31</f>
        <v/>
      </c>
      <c r="B33" s="73">
        <f>'Sessional + End Term Assessment'!B31</f>
        <v/>
      </c>
      <c r="C33" s="73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88">
      <c r="A34" s="47">
        <f>'Sessional + End Term Assessment'!A32</f>
        <v/>
      </c>
      <c r="B34" s="73">
        <f>'Sessional + End Term Assessment'!B32</f>
        <v/>
      </c>
      <c r="C34" s="73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88">
      <c r="A35" s="47">
        <f>'Sessional + End Term Assessment'!A33</f>
        <v/>
      </c>
      <c r="B35" s="73">
        <f>'Sessional + End Term Assessment'!B33</f>
        <v/>
      </c>
      <c r="C35" s="73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88">
      <c r="A36" s="47">
        <f>'Sessional + End Term Assessment'!A34</f>
        <v/>
      </c>
      <c r="B36" s="73">
        <f>'Sessional + End Term Assessment'!B34</f>
        <v/>
      </c>
      <c r="C36" s="73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88">
      <c r="A37" s="47">
        <f>'Sessional + End Term Assessment'!A35</f>
        <v/>
      </c>
      <c r="B37" s="73">
        <f>'Sessional + End Term Assessment'!B35</f>
        <v/>
      </c>
      <c r="C37" s="73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88">
      <c r="A38" s="47">
        <f>'Sessional + End Term Assessment'!A36</f>
        <v/>
      </c>
      <c r="B38" s="73">
        <f>'Sessional + End Term Assessment'!B36</f>
        <v/>
      </c>
      <c r="C38" s="73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88">
      <c r="A39" s="47">
        <f>'Sessional + End Term Assessment'!A37</f>
        <v/>
      </c>
      <c r="B39" s="73">
        <f>'Sessional + End Term Assessment'!B37</f>
        <v/>
      </c>
      <c r="C39" s="73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88">
      <c r="A40" s="15" t="n"/>
      <c r="B40" s="15" t="n"/>
      <c r="C40" s="15" t="inlineStr">
        <is>
          <t>Total No. of Students</t>
        </is>
      </c>
      <c r="D40" s="55" t="n">
        <v>30</v>
      </c>
      <c r="E40" s="55" t="n">
        <v>30</v>
      </c>
      <c r="F40" s="55" t="n">
        <v>30</v>
      </c>
      <c r="G40" s="55" t="n">
        <v>30</v>
      </c>
      <c r="H40" s="55" t="n">
        <v>30</v>
      </c>
      <c r="I40" s="55">
        <f>SUM(I10:I39)</f>
        <v/>
      </c>
      <c r="J40" s="55">
        <f>SUM(J10:J39)</f>
        <v/>
      </c>
      <c r="K40" s="55">
        <f>SUM(K10:K39)</f>
        <v/>
      </c>
      <c r="L40" s="55">
        <f>SUM(L10:L39)</f>
        <v/>
      </c>
      <c r="M40" s="55">
        <f>SUM(M10:M39)</f>
        <v/>
      </c>
      <c r="N40" s="55" t="n"/>
      <c r="O40" s="55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88">
      <c r="A41" s="135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41" s="126" t="n"/>
      <c r="C41" s="126" t="n"/>
      <c r="D41" s="126" t="n"/>
      <c r="E41" s="126" t="n"/>
      <c r="F41" s="126" t="n"/>
      <c r="G41" s="126" t="n"/>
      <c r="H41" s="126" t="n"/>
      <c r="I41" s="126" t="n"/>
      <c r="J41" s="126" t="n"/>
      <c r="K41" s="126" t="n"/>
      <c r="L41" s="126" t="n"/>
      <c r="M41" s="126" t="n"/>
      <c r="N41" s="126" t="n"/>
      <c r="O41" s="126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88">
      <c r="A42" s="128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88">
      <c r="A43" s="128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88">
      <c r="A44" s="130" t="n"/>
      <c r="B44" s="131" t="n"/>
      <c r="C44" s="131" t="n"/>
      <c r="D44" s="131" t="n"/>
      <c r="E44" s="131" t="n"/>
      <c r="F44" s="131" t="n"/>
      <c r="G44" s="131" t="n"/>
      <c r="H44" s="131" t="n"/>
      <c r="I44" s="131" t="n"/>
      <c r="J44" s="131" t="n"/>
      <c r="K44" s="131" t="n"/>
      <c r="L44" s="131" t="n"/>
      <c r="M44" s="131" t="n"/>
      <c r="N44" s="131" t="n"/>
      <c r="O44" s="13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8">
      <c r="A45" s="33" t="inlineStr">
        <is>
          <t>CO Attainment Calculation</t>
        </is>
      </c>
      <c r="B45" s="123" t="n"/>
      <c r="C45" s="124" t="n"/>
      <c r="D45" s="32" t="inlineStr">
        <is>
          <t>% of students get &gt;= Target %</t>
        </is>
      </c>
      <c r="E45" s="32" t="inlineStr">
        <is>
          <t>CO Attainment Level</t>
        </is>
      </c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88">
      <c r="A46" s="33" t="inlineStr">
        <is>
          <t>No. of Students Attained CO23CS201.1</t>
        </is>
      </c>
      <c r="B46" s="123" t="n"/>
      <c r="C46" s="124" t="n"/>
      <c r="D46" s="33">
        <f>ROUND((I40/D40*100),0)</f>
        <v/>
      </c>
      <c r="E46" s="32">
        <f>IF(D46&gt;100,"ERROR",IF(D46&gt;=61,3,IF(D46&gt;=46,2,IF(D46&gt;=16,1,IF(D46&gt;15,0,0)))))</f>
        <v/>
      </c>
      <c r="F46" s="33">
        <f>E46*0.2</f>
        <v/>
      </c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88">
      <c r="A47" s="33" t="inlineStr">
        <is>
          <t>No. of Students Attained CO23CS201.2</t>
        </is>
      </c>
      <c r="B47" s="123" t="n"/>
      <c r="C47" s="124" t="n"/>
      <c r="D47" s="33">
        <f>ROUND((J40/E40*100),0)</f>
        <v/>
      </c>
      <c r="E47" s="32">
        <f>IF(D47&gt;100,"ERROR",IF(D47&gt;=61,3,IF(D47&gt;=46,2,IF(D47&gt;=16,1,IF(D47&gt;15,0,0)))))</f>
        <v/>
      </c>
      <c r="F47" s="33">
        <f>E47*0.2</f>
        <v/>
      </c>
      <c r="G47" s="33" t="n"/>
      <c r="H47" s="136" t="inlineStr">
        <is>
          <t>CO Achieved</t>
        </is>
      </c>
      <c r="I47" s="137" t="n"/>
      <c r="J47" s="56">
        <f>SUM(F46:F50)</f>
        <v/>
      </c>
      <c r="K47" s="33" t="n"/>
      <c r="L47" s="33" t="n"/>
      <c r="M47" s="33" t="n"/>
      <c r="N47" s="33" t="n"/>
      <c r="O47" s="33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88">
      <c r="A48" s="33" t="inlineStr">
        <is>
          <t>No. of Students Attained CO23CS201.3</t>
        </is>
      </c>
      <c r="B48" s="123" t="n"/>
      <c r="C48" s="124" t="n"/>
      <c r="D48" s="33">
        <f>ROUND((K40/F40*100),0)</f>
        <v/>
      </c>
      <c r="E48" s="32">
        <f>IF(D48&gt;100,"ERROR",IF(D48&gt;=61,3,IF(D48&gt;=46,2,IF(D48&gt;=16,1,IF(D48&gt;15,0,0)))))</f>
        <v/>
      </c>
      <c r="F48" s="33">
        <f>E48*0.2</f>
        <v/>
      </c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88">
      <c r="A49" s="33" t="inlineStr">
        <is>
          <t>No. of Students Attained CO23CS201.4</t>
        </is>
      </c>
      <c r="B49" s="123" t="n"/>
      <c r="C49" s="124" t="n"/>
      <c r="D49" s="33">
        <f>ROUND((L40/G40*100),0)</f>
        <v/>
      </c>
      <c r="E49" s="32">
        <f>IF(D49&gt;100,"ERROR",IF(D49&gt;=61,3,IF(D49&gt;=46,2,IF(D49&gt;=16,1,IF(D49&gt;15,0,0)))))</f>
        <v/>
      </c>
      <c r="F49" s="33">
        <f>E49*0.2</f>
        <v/>
      </c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88">
      <c r="A50" s="33" t="inlineStr">
        <is>
          <t>No. of Students Attained CO23CS201.5</t>
        </is>
      </c>
      <c r="B50" s="123" t="n"/>
      <c r="C50" s="124" t="n"/>
      <c r="D50" s="33">
        <f>ROUND((M40/H40*100),0)</f>
        <v/>
      </c>
      <c r="E50" s="32">
        <f>IF(D50&gt;100,"ERROR",IF(D50&gt;=61,3,IF(D50&gt;=46,2,IF(D50&gt;=16,1,IF(D50&gt;15,0,0)))))</f>
        <v/>
      </c>
      <c r="F50" s="33">
        <f>E50*0.2</f>
        <v/>
      </c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88">
      <c r="A51" s="138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51" s="126" t="n"/>
      <c r="C51" s="126" t="n"/>
      <c r="D51" s="126" t="n"/>
      <c r="E51" s="126" t="n"/>
      <c r="F51" s="126" t="n"/>
      <c r="G51" s="126" t="n"/>
      <c r="H51" s="127" t="n"/>
      <c r="I51" s="135" t="inlineStr">
        <is>
          <t>Signature Subject Teacher:</t>
        </is>
      </c>
      <c r="J51" s="126" t="n"/>
      <c r="K51" s="126" t="n"/>
      <c r="L51" s="126" t="n"/>
      <c r="M51" s="126" t="n"/>
      <c r="N51" s="126" t="n"/>
      <c r="O51" s="126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88">
      <c r="A52" s="128" t="n"/>
      <c r="H52" s="129" t="n"/>
      <c r="I52" s="128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88">
      <c r="A53" s="128" t="n"/>
      <c r="H53" s="129" t="n"/>
      <c r="I53" s="128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88">
      <c r="A54" s="130" t="n"/>
      <c r="B54" s="131" t="n"/>
      <c r="C54" s="131" t="n"/>
      <c r="D54" s="131" t="n"/>
      <c r="E54" s="131" t="n"/>
      <c r="F54" s="131" t="n"/>
      <c r="G54" s="131" t="n"/>
      <c r="H54" s="132" t="n"/>
      <c r="I54" s="130" t="n"/>
      <c r="J54" s="131" t="n"/>
      <c r="K54" s="131" t="n"/>
      <c r="L54" s="131" t="n"/>
      <c r="M54" s="131" t="n"/>
      <c r="N54" s="131" t="n"/>
      <c r="O54" s="13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8">
      <c r="C55" s="50" t="n"/>
    </row>
    <row r="56" ht="15.75" customHeight="1" s="88"/>
    <row r="57" ht="15.75" customHeight="1" s="88"/>
    <row r="58" ht="15.75" customHeight="1" s="88"/>
    <row r="59" ht="15.75" customHeight="1" s="88"/>
    <row r="60" ht="15.75" customHeight="1" s="88"/>
    <row r="61" ht="15.75" customHeight="1" s="88"/>
    <row r="62" ht="15.75" customHeight="1" s="88"/>
    <row r="63" ht="15.75" customHeight="1" s="88"/>
    <row r="64" ht="15.75" customHeight="1" s="88"/>
    <row r="65" ht="15.75" customHeight="1" s="88"/>
    <row r="66" ht="15.75" customHeight="1" s="88"/>
    <row r="67" ht="15.75" customHeight="1" s="88"/>
    <row r="68" ht="15.75" customHeight="1" s="88"/>
    <row r="69" ht="15.75" customHeight="1" s="88"/>
    <row r="70" ht="15.75" customHeight="1" s="88"/>
    <row r="71" ht="15.75" customHeight="1" s="88"/>
    <row r="72" ht="15.75" customHeight="1" s="88"/>
    <row r="73" ht="15.75" customHeight="1" s="88"/>
    <row r="74" ht="15.75" customHeight="1" s="88"/>
    <row r="75" ht="15.75" customHeight="1" s="88"/>
    <row r="76" ht="15.75" customHeight="1" s="88"/>
    <row r="77" ht="15.75" customHeight="1" s="88"/>
    <row r="78" ht="15.75" customHeight="1" s="88"/>
    <row r="79" ht="15.75" customHeight="1" s="88"/>
    <row r="80" ht="15.75" customHeight="1" s="88"/>
    <row r="81" ht="15.75" customHeight="1" s="88"/>
    <row r="82" ht="15.75" customHeight="1" s="88"/>
    <row r="83" ht="15.75" customHeight="1" s="88"/>
    <row r="84" ht="15.75" customHeight="1" s="88"/>
    <row r="85" ht="15.75" customHeight="1" s="88"/>
    <row r="86" ht="15.75" customHeight="1" s="88"/>
    <row r="87" ht="15.75" customHeight="1" s="88"/>
    <row r="88" ht="15.75" customHeight="1" s="88"/>
    <row r="89" ht="15.75" customHeight="1" s="88"/>
    <row r="90" ht="15.75" customHeight="1" s="88"/>
    <row r="91" ht="15.75" customHeight="1" s="88"/>
    <row r="92" ht="15.75" customHeight="1" s="88"/>
    <row r="93" ht="15.75" customHeight="1" s="88"/>
    <row r="94" ht="15.75" customHeight="1" s="88"/>
    <row r="95" ht="15.75" customHeight="1" s="88"/>
    <row r="96" ht="15.75" customHeight="1" s="88"/>
    <row r="97" ht="15.75" customHeight="1" s="88"/>
    <row r="98" ht="15.75" customHeight="1" s="88"/>
    <row r="99" ht="15.75" customHeight="1" s="88"/>
    <row r="100" ht="15.75" customHeight="1" s="88"/>
    <row r="101" ht="15.75" customHeight="1" s="88"/>
    <row r="102" ht="15.75" customHeight="1" s="88"/>
    <row r="103" ht="15.75" customHeight="1" s="88"/>
    <row r="104" ht="15.75" customHeight="1" s="88"/>
    <row r="105" ht="15.75" customHeight="1" s="88"/>
    <row r="106" ht="15.75" customHeight="1" s="88"/>
    <row r="107" ht="15.75" customHeight="1" s="88"/>
    <row r="108" ht="15.75" customHeight="1" s="88"/>
    <row r="109" ht="15.75" customHeight="1" s="88"/>
    <row r="110" ht="15.75" customHeight="1" s="88"/>
    <row r="111" ht="15.75" customHeight="1" s="88"/>
    <row r="112" ht="15.75" customHeight="1" s="88"/>
    <row r="113" ht="15.75" customHeight="1" s="88"/>
    <row r="114" ht="15.75" customHeight="1" s="88"/>
    <row r="115" ht="15.75" customHeight="1" s="88"/>
    <row r="116" ht="15.75" customHeight="1" s="88"/>
    <row r="117" ht="15.75" customHeight="1" s="88"/>
    <row r="118" ht="15.75" customHeight="1" s="88"/>
    <row r="119" ht="15.75" customHeight="1" s="88"/>
    <row r="120" ht="15.75" customHeight="1" s="88"/>
    <row r="121" ht="15.75" customHeight="1" s="88"/>
    <row r="122" ht="15.75" customHeight="1" s="88"/>
    <row r="123" ht="15.75" customHeight="1" s="88"/>
    <row r="124" ht="15.75" customHeight="1" s="88"/>
    <row r="125" ht="15.75" customHeight="1" s="88"/>
    <row r="126" ht="15.75" customHeight="1" s="88"/>
    <row r="127" ht="15.75" customHeight="1" s="88"/>
    <row r="128" ht="15.75" customHeight="1" s="88"/>
    <row r="129" ht="15.75" customHeight="1" s="88"/>
    <row r="130" ht="15.75" customHeight="1" s="88"/>
    <row r="131" ht="15.75" customHeight="1" s="88"/>
    <row r="132" ht="15.75" customHeight="1" s="88"/>
    <row r="133" ht="15.75" customHeight="1" s="88"/>
    <row r="134" ht="15.75" customHeight="1" s="88"/>
    <row r="135" ht="15.75" customHeight="1" s="88"/>
    <row r="136" ht="15.75" customHeight="1" s="88"/>
    <row r="137" ht="15.75" customHeight="1" s="88"/>
    <row r="138" ht="15.75" customHeight="1" s="88"/>
    <row r="139" ht="15.75" customHeight="1" s="88"/>
    <row r="140" ht="15.75" customHeight="1" s="88"/>
    <row r="141" ht="15.75" customHeight="1" s="88"/>
    <row r="142" ht="15.75" customHeight="1" s="88"/>
    <row r="143" ht="15.75" customHeight="1" s="88"/>
    <row r="144" ht="15.75" customHeight="1" s="88"/>
    <row r="145" ht="15.75" customHeight="1" s="88"/>
    <row r="146" ht="15.75" customHeight="1" s="88"/>
    <row r="147" ht="15.75" customHeight="1" s="88"/>
    <row r="148" ht="15.75" customHeight="1" s="88"/>
    <row r="149" ht="15.75" customHeight="1" s="88"/>
    <row r="150" ht="15.75" customHeight="1" s="88"/>
    <row r="151" ht="15.75" customHeight="1" s="88"/>
    <row r="152" ht="15.75" customHeight="1" s="88"/>
    <row r="153" ht="15.75" customHeight="1" s="88"/>
    <row r="154" ht="15.75" customHeight="1" s="88"/>
    <row r="155" ht="15.75" customHeight="1" s="88"/>
    <row r="156" ht="15.75" customHeight="1" s="88"/>
    <row r="157" ht="15.75" customHeight="1" s="88"/>
    <row r="158" ht="15.75" customHeight="1" s="88"/>
    <row r="159" ht="15.75" customHeight="1" s="88"/>
    <row r="160" ht="15.75" customHeight="1" s="88"/>
    <row r="161" ht="15.75" customHeight="1" s="88"/>
    <row r="162" ht="15.75" customHeight="1" s="88"/>
    <row r="163" ht="15.75" customHeight="1" s="88"/>
    <row r="164" ht="15.75" customHeight="1" s="88"/>
    <row r="165" ht="15.75" customHeight="1" s="88"/>
    <row r="166" ht="15.75" customHeight="1" s="88"/>
    <row r="167" ht="15.75" customHeight="1" s="88"/>
    <row r="168" ht="15.75" customHeight="1" s="88"/>
    <row r="169" ht="15.75" customHeight="1" s="88"/>
    <row r="170" ht="15.75" customHeight="1" s="88"/>
    <row r="171" ht="15.75" customHeight="1" s="88"/>
    <row r="172" ht="15.75" customHeight="1" s="88"/>
    <row r="173" ht="15.75" customHeight="1" s="88"/>
    <row r="174" ht="15.75" customHeight="1" s="88"/>
    <row r="175" ht="15.75" customHeight="1" s="88"/>
    <row r="176" ht="15.75" customHeight="1" s="88"/>
    <row r="177" ht="15.75" customHeight="1" s="88"/>
    <row r="178" ht="15.75" customHeight="1" s="88"/>
    <row r="179" ht="15.75" customHeight="1" s="88"/>
    <row r="180" ht="15.75" customHeight="1" s="88"/>
    <row r="181" ht="15.75" customHeight="1" s="88"/>
    <row r="182" ht="15.75" customHeight="1" s="88"/>
    <row r="183" ht="15.75" customHeight="1" s="88"/>
    <row r="184" ht="15.75" customHeight="1" s="88"/>
    <row r="185" ht="15.75" customHeight="1" s="88"/>
    <row r="186" ht="15.75" customHeight="1" s="88"/>
    <row r="187" ht="15.75" customHeight="1" s="88"/>
    <row r="188" ht="15.75" customHeight="1" s="88"/>
    <row r="189" ht="15.75" customHeight="1" s="88"/>
    <row r="190" ht="15.75" customHeight="1" s="88"/>
    <row r="191" ht="15.75" customHeight="1" s="88"/>
    <row r="192" ht="15.75" customHeight="1" s="88"/>
    <row r="193" ht="15.75" customHeight="1" s="88"/>
    <row r="194" ht="15.75" customHeight="1" s="88"/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</sheetData>
  <mergeCells count="37">
    <mergeCell ref="E5:E6"/>
    <mergeCell ref="A46:C46"/>
    <mergeCell ref="J6:J7"/>
    <mergeCell ref="F5:F6"/>
    <mergeCell ref="A50:C50"/>
    <mergeCell ref="A3:O3"/>
    <mergeCell ref="A2:O2"/>
    <mergeCell ref="A47:C47"/>
    <mergeCell ref="L8:L9"/>
    <mergeCell ref="N8:N9"/>
    <mergeCell ref="M6:M7"/>
    <mergeCell ref="A4:O4"/>
    <mergeCell ref="G5:G6"/>
    <mergeCell ref="I8:I9"/>
    <mergeCell ref="K8:K9"/>
    <mergeCell ref="M8:M9"/>
    <mergeCell ref="O8:O9"/>
    <mergeCell ref="A9:C9"/>
    <mergeCell ref="L6:L7"/>
    <mergeCell ref="A51:H54"/>
    <mergeCell ref="A5:A8"/>
    <mergeCell ref="I5:M5"/>
    <mergeCell ref="H47:I47"/>
    <mergeCell ref="A48:C48"/>
    <mergeCell ref="O5:O7"/>
    <mergeCell ref="D5:D6"/>
    <mergeCell ref="B5:B8"/>
    <mergeCell ref="H5:H6"/>
    <mergeCell ref="N5:N7"/>
    <mergeCell ref="A41:O44"/>
    <mergeCell ref="A49:C49"/>
    <mergeCell ref="A45:C45"/>
    <mergeCell ref="J8:J9"/>
    <mergeCell ref="I51:O54"/>
    <mergeCell ref="I6:I7"/>
    <mergeCell ref="A1:O1"/>
    <mergeCell ref="K6:K7"/>
  </mergeCells>
  <conditionalFormatting sqref="D10:H40 N10:O40">
    <cfRule type="containsText" priority="2" operator="containsText" dxfId="1" text="AB">
      <formula>NOT(ISERROR(SEARCH(("AB"),(D10))))</formula>
    </cfRule>
  </conditionalFormatting>
  <conditionalFormatting sqref="I10:M40">
    <cfRule type="cellIs" priority="1" operator="equal" dxfId="0">
      <formula>0</formula>
    </cfRule>
  </conditionalFormatting>
  <pageMargins left="0.7" right="0.7" top="0.75" bottom="0.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88" min="1" max="1"/>
    <col width="7.69921875" customWidth="1" style="88" min="2" max="26"/>
  </cols>
  <sheetData>
    <row r="1" ht="19.5" customHeight="1" s="88">
      <c r="A1" s="15">
        <f>'CO-PO Mapping'!A1:P1</f>
        <v/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4" t="n"/>
    </row>
    <row r="2" ht="19.5" customHeight="1" s="88">
      <c r="A2" s="15" t="inlineStr">
        <is>
          <t>CO to PO &amp; PSO Attainment Through Sessional Assessment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4" t="n"/>
    </row>
    <row r="3" ht="19.5" customHeight="1" s="88">
      <c r="A3" s="15">
        <f>'CO-PO Mapping'!A3:P3</f>
        <v/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4" t="n"/>
    </row>
    <row r="4" ht="19.5" customHeight="1" s="88">
      <c r="A4" s="15">
        <f>'CO-PO Mapping'!A4:P4</f>
        <v/>
      </c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4" t="n"/>
    </row>
    <row r="5" ht="31.2" customHeight="1" s="8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88">
      <c r="A6" s="12" t="inlineStr">
        <is>
          <t>CO23CS201.1</t>
        </is>
      </c>
      <c r="B6" s="23">
        <f>'Attainment Sheet Sessional'!E46*'CO-PO Mapping'!B6/3</f>
        <v/>
      </c>
      <c r="C6" s="23">
        <f>'Attainment Sheet Sessional'!E46*'CO-PO Mapping'!C6/3</f>
        <v/>
      </c>
      <c r="D6" s="23">
        <f>'Attainment Sheet Sessional'!$E46*'CO-PO Mapping'!D6/3</f>
        <v/>
      </c>
      <c r="E6" s="23">
        <f>'Attainment Sheet Sessional'!$E46*'CO-PO Mapping'!E6/3</f>
        <v/>
      </c>
      <c r="F6" s="23">
        <f>'Attainment Sheet Sessional'!$E46*'CO-PO Mapping'!F6/3</f>
        <v/>
      </c>
      <c r="G6" s="23">
        <f>'Attainment Sheet Sessional'!$E46*'CO-PO Mapping'!G6/3</f>
        <v/>
      </c>
      <c r="H6" s="23">
        <f>'Attainment Sheet Sessional'!$E46*'CO-PO Mapping'!H6/3</f>
        <v/>
      </c>
      <c r="I6" s="23">
        <f>'Attainment Sheet Sessional'!$E46*'CO-PO Mapping'!I6/3</f>
        <v/>
      </c>
      <c r="J6" s="23">
        <f>'Attainment Sheet Sessional'!$E46*'CO-PO Mapping'!J6/3</f>
        <v/>
      </c>
      <c r="K6" s="23">
        <f>'Attainment Sheet Sessional'!$E46*'CO-PO Mapping'!K6/3</f>
        <v/>
      </c>
      <c r="L6" s="23">
        <f>'Attainment Sheet Sessional'!$E46*'CO-PO Mapping'!L6/3</f>
        <v/>
      </c>
      <c r="M6" s="23">
        <f>'Attainment Sheet Sessional'!$E46*'CO-PO Mapping'!M6/3</f>
        <v/>
      </c>
      <c r="N6" s="23">
        <f>'Attainment Sheet Sessional'!$E46*'CO-PO Mapping'!N6/3</f>
        <v/>
      </c>
      <c r="O6" s="23">
        <f>'Attainment Sheet Sessional'!$E46*'CO-PO Mapping'!O6/3</f>
        <v/>
      </c>
      <c r="P6" s="23">
        <f>'Attainment Sheet Sessional'!$E46*'CO-PO Mapping'!P6/3</f>
        <v/>
      </c>
    </row>
    <row r="7" ht="19.5" customHeight="1" s="88">
      <c r="A7" s="12" t="inlineStr">
        <is>
          <t>CO23CS201.2</t>
        </is>
      </c>
      <c r="B7" s="23">
        <f>'Attainment Sheet Sessional'!E47*'CO-PO Mapping'!B7/3</f>
        <v/>
      </c>
      <c r="C7" s="23">
        <f>'Attainment Sheet Sessional'!E47*'CO-PO Mapping'!C7/3</f>
        <v/>
      </c>
      <c r="D7" s="23">
        <f>'Attainment Sheet Sessional'!$E47*'CO-PO Mapping'!D7/3</f>
        <v/>
      </c>
      <c r="E7" s="23">
        <f>'Attainment Sheet Sessional'!$E47*'CO-PO Mapping'!E7/3</f>
        <v/>
      </c>
      <c r="F7" s="23">
        <f>'Attainment Sheet Sessional'!$E47*'CO-PO Mapping'!F7/3</f>
        <v/>
      </c>
      <c r="G7" s="23">
        <f>'Attainment Sheet Sessional'!$E47*'CO-PO Mapping'!G7/3</f>
        <v/>
      </c>
      <c r="H7" s="23">
        <f>'Attainment Sheet Sessional'!$E47*'CO-PO Mapping'!H7/3</f>
        <v/>
      </c>
      <c r="I7" s="23">
        <f>'Attainment Sheet Sessional'!$E47*'CO-PO Mapping'!I7/3</f>
        <v/>
      </c>
      <c r="J7" s="23">
        <f>'Attainment Sheet Sessional'!$E47*'CO-PO Mapping'!J7/3</f>
        <v/>
      </c>
      <c r="K7" s="23">
        <f>'Attainment Sheet Sessional'!$E47*'CO-PO Mapping'!K7/3</f>
        <v/>
      </c>
      <c r="L7" s="23">
        <f>'Attainment Sheet Sessional'!$E47*'CO-PO Mapping'!L7/3</f>
        <v/>
      </c>
      <c r="M7" s="23">
        <f>'Attainment Sheet Sessional'!$E47*'CO-PO Mapping'!M7/3</f>
        <v/>
      </c>
      <c r="N7" s="23">
        <f>'Attainment Sheet Sessional'!$E47*'CO-PO Mapping'!N7/3</f>
        <v/>
      </c>
      <c r="O7" s="23">
        <f>'Attainment Sheet Sessional'!$E47*'CO-PO Mapping'!O7/3</f>
        <v/>
      </c>
      <c r="P7" s="23">
        <f>'Attainment Sheet Sessional'!$E47*'CO-PO Mapping'!P7/3</f>
        <v/>
      </c>
    </row>
    <row r="8" ht="19.5" customHeight="1" s="88">
      <c r="A8" s="12" t="inlineStr">
        <is>
          <t>CO23CS201.3</t>
        </is>
      </c>
      <c r="B8" s="23">
        <f>'Attainment Sheet Sessional'!E48*'CO-PO Mapping'!B8/3</f>
        <v/>
      </c>
      <c r="C8" s="23">
        <f>'Attainment Sheet Sessional'!E48*'CO-PO Mapping'!C8/3</f>
        <v/>
      </c>
      <c r="D8" s="23">
        <f>'Attainment Sheet Sessional'!$E48*'CO-PO Mapping'!D8/3</f>
        <v/>
      </c>
      <c r="E8" s="23">
        <f>'Attainment Sheet Sessional'!$E48*'CO-PO Mapping'!E8/3</f>
        <v/>
      </c>
      <c r="F8" s="23">
        <f>'Attainment Sheet Sessional'!$E48*'CO-PO Mapping'!F8/3</f>
        <v/>
      </c>
      <c r="G8" s="23">
        <f>'Attainment Sheet Sessional'!$E48*'CO-PO Mapping'!G8/3</f>
        <v/>
      </c>
      <c r="H8" s="23">
        <f>'Attainment Sheet Sessional'!$E48*'CO-PO Mapping'!H8/3</f>
        <v/>
      </c>
      <c r="I8" s="23">
        <f>'Attainment Sheet Sessional'!$E48*'CO-PO Mapping'!I8/3</f>
        <v/>
      </c>
      <c r="J8" s="23">
        <f>'Attainment Sheet Sessional'!$E48*'CO-PO Mapping'!J8/3</f>
        <v/>
      </c>
      <c r="K8" s="23">
        <f>'Attainment Sheet Sessional'!$E48*'CO-PO Mapping'!K8/3</f>
        <v/>
      </c>
      <c r="L8" s="23">
        <f>'Attainment Sheet Sessional'!$E48*'CO-PO Mapping'!L8/3</f>
        <v/>
      </c>
      <c r="M8" s="23">
        <f>'Attainment Sheet Sessional'!$E48*'CO-PO Mapping'!M8/3</f>
        <v/>
      </c>
      <c r="N8" s="23">
        <f>'Attainment Sheet Sessional'!$E48*'CO-PO Mapping'!N8/3</f>
        <v/>
      </c>
      <c r="O8" s="23">
        <f>'Attainment Sheet Sessional'!$E48*'CO-PO Mapping'!O8/3</f>
        <v/>
      </c>
      <c r="P8" s="23">
        <f>'Attainment Sheet Sessional'!$E48*'CO-PO Mapping'!P8/3</f>
        <v/>
      </c>
    </row>
    <row r="9" ht="19.5" customHeight="1" s="88">
      <c r="A9" s="12" t="inlineStr">
        <is>
          <t>CO23CS201.4</t>
        </is>
      </c>
      <c r="B9" s="23">
        <f>'Attainment Sheet Sessional'!E49*'CO-PO Mapping'!B9/3</f>
        <v/>
      </c>
      <c r="C9" s="23">
        <f>'Attainment Sheet Sessional'!E49*'CO-PO Mapping'!C9/3</f>
        <v/>
      </c>
      <c r="D9" s="23">
        <f>'Attainment Sheet Sessional'!$E49*'CO-PO Mapping'!D9/3</f>
        <v/>
      </c>
      <c r="E9" s="23">
        <f>'Attainment Sheet Sessional'!$E49*'CO-PO Mapping'!E9/3</f>
        <v/>
      </c>
      <c r="F9" s="23">
        <f>'Attainment Sheet Sessional'!$E49*'CO-PO Mapping'!F9/3</f>
        <v/>
      </c>
      <c r="G9" s="23">
        <f>'Attainment Sheet Sessional'!$E49*'CO-PO Mapping'!G9/3</f>
        <v/>
      </c>
      <c r="H9" s="23">
        <f>'Attainment Sheet Sessional'!$E49*'CO-PO Mapping'!H9/3</f>
        <v/>
      </c>
      <c r="I9" s="23">
        <f>'Attainment Sheet Sessional'!$E49*'CO-PO Mapping'!I9/3</f>
        <v/>
      </c>
      <c r="J9" s="23">
        <f>'Attainment Sheet Sessional'!$E49*'CO-PO Mapping'!J9/3</f>
        <v/>
      </c>
      <c r="K9" s="23">
        <f>'Attainment Sheet Sessional'!$E49*'CO-PO Mapping'!K9/3</f>
        <v/>
      </c>
      <c r="L9" s="23">
        <f>'Attainment Sheet Sessional'!$E49*'CO-PO Mapping'!L9/3</f>
        <v/>
      </c>
      <c r="M9" s="23">
        <f>'Attainment Sheet Sessional'!$E49*'CO-PO Mapping'!M9/3</f>
        <v/>
      </c>
      <c r="N9" s="23">
        <f>'Attainment Sheet Sessional'!$E49*'CO-PO Mapping'!N9/3</f>
        <v/>
      </c>
      <c r="O9" s="23">
        <f>'Attainment Sheet Sessional'!$E49*'CO-PO Mapping'!O9/3</f>
        <v/>
      </c>
      <c r="P9" s="23">
        <f>'Attainment Sheet Sessional'!$E49*'CO-PO Mapping'!P9/3</f>
        <v/>
      </c>
    </row>
    <row r="10" ht="19.5" customHeight="1" s="88">
      <c r="A10" s="12" t="inlineStr">
        <is>
          <t>CO23CS201.5</t>
        </is>
      </c>
      <c r="B10" s="23">
        <f>'Attainment Sheet Sessional'!E50*'CO-PO Mapping'!B10/3</f>
        <v/>
      </c>
      <c r="C10" s="23">
        <f>'Attainment Sheet Sessional'!E50*'CO-PO Mapping'!C10/3</f>
        <v/>
      </c>
      <c r="D10" s="23">
        <f>'Attainment Sheet Sessional'!$E50*'CO-PO Mapping'!D10/3</f>
        <v/>
      </c>
      <c r="E10" s="23">
        <f>'Attainment Sheet Sessional'!$E50*'CO-PO Mapping'!E10/3</f>
        <v/>
      </c>
      <c r="F10" s="23">
        <f>'Attainment Sheet Sessional'!$E50*'CO-PO Mapping'!F10/3</f>
        <v/>
      </c>
      <c r="G10" s="23">
        <f>'Attainment Sheet Sessional'!$E50*'CO-PO Mapping'!G10/3</f>
        <v/>
      </c>
      <c r="H10" s="23">
        <f>'Attainment Sheet Sessional'!$E50*'CO-PO Mapping'!H10/3</f>
        <v/>
      </c>
      <c r="I10" s="23">
        <f>'Attainment Sheet Sessional'!$E50*'CO-PO Mapping'!I10/3</f>
        <v/>
      </c>
      <c r="J10" s="23">
        <f>'Attainment Sheet Sessional'!$E50*'CO-PO Mapping'!J10/3</f>
        <v/>
      </c>
      <c r="K10" s="23">
        <f>'Attainment Sheet Sessional'!$E50*'CO-PO Mapping'!K10/3</f>
        <v/>
      </c>
      <c r="L10" s="23">
        <f>'Attainment Sheet Sessional'!$E50*'CO-PO Mapping'!L10/3</f>
        <v/>
      </c>
      <c r="M10" s="23">
        <f>'Attainment Sheet Sessional'!$E50*'CO-PO Mapping'!M10/3</f>
        <v/>
      </c>
      <c r="N10" s="23">
        <f>'Attainment Sheet Sessional'!$E50*'CO-PO Mapping'!N10/3</f>
        <v/>
      </c>
      <c r="O10" s="23">
        <f>'Attainment Sheet Sessional'!$E50*'CO-PO Mapping'!O10/3</f>
        <v/>
      </c>
      <c r="P10" s="23">
        <f>'Attainment Sheet Sessional'!$E50*'CO-PO Mapping'!P10/3</f>
        <v/>
      </c>
    </row>
    <row r="11" ht="19.5" customHeight="1" s="8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88">
      <c r="A12" s="33" t="inlineStr">
        <is>
          <t>Signature Subject Teacher</t>
        </is>
      </c>
      <c r="B12" s="123" t="n"/>
      <c r="C12" s="123" t="n"/>
      <c r="D12" s="123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4" t="n"/>
      <c r="N12" s="33" t="n"/>
      <c r="O12" s="123" t="n"/>
      <c r="P12" s="124" t="n"/>
    </row>
    <row r="16" ht="15.6" customHeight="1" s="88">
      <c r="F16" s="1" t="n"/>
    </row>
    <row r="21" ht="15.75" customHeight="1" s="88"/>
    <row r="22" ht="15.75" customHeight="1" s="88"/>
    <row r="23" ht="15.75" customHeight="1" s="88"/>
    <row r="24" ht="15.75" customHeight="1" s="88"/>
    <row r="25" ht="15.75" customHeight="1" s="88"/>
    <row r="26" ht="15.75" customHeight="1" s="88"/>
    <row r="27" ht="15.75" customHeight="1" s="88"/>
    <row r="28" ht="15.75" customHeight="1" s="88"/>
    <row r="29" ht="15.75" customHeight="1" s="88"/>
    <row r="30" ht="15.75" customHeight="1" s="88"/>
    <row r="31" ht="15.75" customHeight="1" s="88"/>
    <row r="32" ht="15.75" customHeight="1" s="88"/>
    <row r="33" ht="15.75" customHeight="1" s="88"/>
    <row r="34" ht="15.75" customHeight="1" s="88"/>
    <row r="35" ht="15.75" customHeight="1" s="88"/>
    <row r="36" ht="15.75" customHeight="1" s="88"/>
    <row r="37" ht="15.75" customHeight="1" s="88"/>
    <row r="38" ht="15.75" customHeight="1" s="88"/>
    <row r="39" ht="15.75" customHeight="1" s="88"/>
    <row r="40" ht="15.75" customHeight="1" s="88"/>
    <row r="41" ht="15.75" customHeight="1" s="88"/>
    <row r="42" ht="15.75" customHeight="1" s="88"/>
    <row r="43" ht="15.75" customHeight="1" s="88"/>
    <row r="44" ht="15.75" customHeight="1" s="88"/>
    <row r="45" ht="15.75" customHeight="1" s="88"/>
    <row r="46" ht="15.75" customHeight="1" s="88"/>
    <row r="47" ht="15.75" customHeight="1" s="88"/>
    <row r="48" ht="15.75" customHeight="1" s="88"/>
    <row r="49" ht="15.75" customHeight="1" s="88"/>
    <row r="50" ht="15.75" customHeight="1" s="88"/>
    <row r="51" ht="15.75" customHeight="1" s="88"/>
    <row r="52" ht="15.75" customHeight="1" s="88"/>
    <row r="53" ht="15.75" customHeight="1" s="88"/>
    <row r="54" ht="15.75" customHeight="1" s="88"/>
    <row r="55" ht="15.75" customHeight="1" s="88"/>
    <row r="56" ht="15.75" customHeight="1" s="88"/>
    <row r="57" ht="15.75" customHeight="1" s="88"/>
    <row r="58" ht="15.75" customHeight="1" s="88"/>
    <row r="59" ht="15.75" customHeight="1" s="88"/>
    <row r="60" ht="15.75" customHeight="1" s="88"/>
    <row r="61" ht="15.75" customHeight="1" s="88"/>
    <row r="62" ht="15.75" customHeight="1" s="88"/>
    <row r="63" ht="15.75" customHeight="1" s="88"/>
    <row r="64" ht="15.75" customHeight="1" s="88"/>
    <row r="65" ht="15.75" customHeight="1" s="88"/>
    <row r="66" ht="15.75" customHeight="1" s="88"/>
    <row r="67" ht="15.75" customHeight="1" s="88"/>
    <row r="68" ht="15.75" customHeight="1" s="88"/>
    <row r="69" ht="15.75" customHeight="1" s="88"/>
    <row r="70" ht="15.75" customHeight="1" s="88"/>
    <row r="71" ht="15.75" customHeight="1" s="88"/>
    <row r="72" ht="15.75" customHeight="1" s="88"/>
    <row r="73" ht="15.75" customHeight="1" s="88"/>
    <row r="74" ht="15.75" customHeight="1" s="88"/>
    <row r="75" ht="15.75" customHeight="1" s="88"/>
    <row r="76" ht="15.75" customHeight="1" s="88"/>
    <row r="77" ht="15.75" customHeight="1" s="88"/>
    <row r="78" ht="15.75" customHeight="1" s="88"/>
    <row r="79" ht="15.75" customHeight="1" s="88"/>
    <row r="80" ht="15.75" customHeight="1" s="88"/>
    <row r="81" ht="15.75" customHeight="1" s="88"/>
    <row r="82" ht="15.75" customHeight="1" s="88"/>
    <row r="83" ht="15.75" customHeight="1" s="88"/>
    <row r="84" ht="15.75" customHeight="1" s="88"/>
    <row r="85" ht="15.75" customHeight="1" s="88"/>
    <row r="86" ht="15.75" customHeight="1" s="88"/>
    <row r="87" ht="15.75" customHeight="1" s="88"/>
    <row r="88" ht="15.75" customHeight="1" s="88"/>
    <row r="89" ht="15.75" customHeight="1" s="88"/>
    <row r="90" ht="15.75" customHeight="1" s="88"/>
    <row r="91" ht="15.75" customHeight="1" s="88"/>
    <row r="92" ht="15.75" customHeight="1" s="88"/>
    <row r="93" ht="15.75" customHeight="1" s="88"/>
    <row r="94" ht="15.75" customHeight="1" s="88"/>
    <row r="95" ht="15.75" customHeight="1" s="88"/>
    <row r="96" ht="15.75" customHeight="1" s="88"/>
    <row r="97" ht="15.75" customHeight="1" s="88"/>
    <row r="98" ht="15.75" customHeight="1" s="88"/>
    <row r="99" ht="15.75" customHeight="1" s="88"/>
    <row r="100" ht="15.75" customHeight="1" s="88"/>
    <row r="101" ht="15.75" customHeight="1" s="88"/>
    <row r="102" ht="15.75" customHeight="1" s="88"/>
    <row r="103" ht="15.75" customHeight="1" s="88"/>
    <row r="104" ht="15.75" customHeight="1" s="88"/>
    <row r="105" ht="15.75" customHeight="1" s="88"/>
    <row r="106" ht="15.75" customHeight="1" s="88"/>
    <row r="107" ht="15.75" customHeight="1" s="88"/>
    <row r="108" ht="15.75" customHeight="1" s="88"/>
    <row r="109" ht="15.75" customHeight="1" s="88"/>
    <row r="110" ht="15.75" customHeight="1" s="88"/>
    <row r="111" ht="15.75" customHeight="1" s="88"/>
    <row r="112" ht="15.75" customHeight="1" s="88"/>
    <row r="113" ht="15.75" customHeight="1" s="88"/>
    <row r="114" ht="15.75" customHeight="1" s="88"/>
    <row r="115" ht="15.75" customHeight="1" s="88"/>
    <row r="116" ht="15.75" customHeight="1" s="88"/>
    <row r="117" ht="15.75" customHeight="1" s="88"/>
    <row r="118" ht="15.75" customHeight="1" s="88"/>
    <row r="119" ht="15.75" customHeight="1" s="88"/>
    <row r="120" ht="15.75" customHeight="1" s="88"/>
    <row r="121" ht="15.75" customHeight="1" s="88"/>
    <row r="122" ht="15.75" customHeight="1" s="88"/>
    <row r="123" ht="15.75" customHeight="1" s="88"/>
    <row r="124" ht="15.75" customHeight="1" s="88"/>
    <row r="125" ht="15.75" customHeight="1" s="88"/>
    <row r="126" ht="15.75" customHeight="1" s="88"/>
    <row r="127" ht="15.75" customHeight="1" s="88"/>
    <row r="128" ht="15.75" customHeight="1" s="88"/>
    <row r="129" ht="15.75" customHeight="1" s="88"/>
    <row r="130" ht="15.75" customHeight="1" s="88"/>
    <row r="131" ht="15.75" customHeight="1" s="88"/>
    <row r="132" ht="15.75" customHeight="1" s="88"/>
    <row r="133" ht="15.75" customHeight="1" s="88"/>
    <row r="134" ht="15.75" customHeight="1" s="88"/>
    <row r="135" ht="15.75" customHeight="1" s="88"/>
    <row r="136" ht="15.75" customHeight="1" s="88"/>
    <row r="137" ht="15.75" customHeight="1" s="88"/>
    <row r="138" ht="15.75" customHeight="1" s="88"/>
    <row r="139" ht="15.75" customHeight="1" s="88"/>
    <row r="140" ht="15.75" customHeight="1" s="88"/>
    <row r="141" ht="15.75" customHeight="1" s="88"/>
    <row r="142" ht="15.75" customHeight="1" s="88"/>
    <row r="143" ht="15.75" customHeight="1" s="88"/>
    <row r="144" ht="15.75" customHeight="1" s="88"/>
    <row r="145" ht="15.75" customHeight="1" s="88"/>
    <row r="146" ht="15.75" customHeight="1" s="88"/>
    <row r="147" ht="15.75" customHeight="1" s="88"/>
    <row r="148" ht="15.75" customHeight="1" s="88"/>
    <row r="149" ht="15.75" customHeight="1" s="88"/>
    <row r="150" ht="15.75" customHeight="1" s="88"/>
    <row r="151" ht="15.75" customHeight="1" s="88"/>
    <row r="152" ht="15.75" customHeight="1" s="88"/>
    <row r="153" ht="15.75" customHeight="1" s="88"/>
    <row r="154" ht="15.75" customHeight="1" s="88"/>
    <row r="155" ht="15.75" customHeight="1" s="88"/>
    <row r="156" ht="15.75" customHeight="1" s="88"/>
    <row r="157" ht="15.75" customHeight="1" s="88"/>
    <row r="158" ht="15.75" customHeight="1" s="88"/>
    <row r="159" ht="15.75" customHeight="1" s="88"/>
    <row r="160" ht="15.75" customHeight="1" s="88"/>
    <row r="161" ht="15.75" customHeight="1" s="88"/>
    <row r="162" ht="15.75" customHeight="1" s="88"/>
    <row r="163" ht="15.75" customHeight="1" s="88"/>
    <row r="164" ht="15.75" customHeight="1" s="88"/>
    <row r="165" ht="15.75" customHeight="1" s="88"/>
    <row r="166" ht="15.75" customHeight="1" s="88"/>
    <row r="167" ht="15.75" customHeight="1" s="88"/>
    <row r="168" ht="15.75" customHeight="1" s="88"/>
    <row r="169" ht="15.75" customHeight="1" s="88"/>
    <row r="170" ht="15.75" customHeight="1" s="88"/>
    <row r="171" ht="15.75" customHeight="1" s="88"/>
    <row r="172" ht="15.75" customHeight="1" s="88"/>
    <row r="173" ht="15.75" customHeight="1" s="88"/>
    <row r="174" ht="15.75" customHeight="1" s="88"/>
    <row r="175" ht="15.75" customHeight="1" s="88"/>
    <row r="176" ht="15.75" customHeight="1" s="88"/>
    <row r="177" ht="15.75" customHeight="1" s="88"/>
    <row r="178" ht="15.75" customHeight="1" s="88"/>
    <row r="179" ht="15.75" customHeight="1" s="88"/>
    <row r="180" ht="15.75" customHeight="1" s="88"/>
    <row r="181" ht="15.75" customHeight="1" s="88"/>
    <row r="182" ht="15.75" customHeight="1" s="88"/>
    <row r="183" ht="15.75" customHeight="1" s="88"/>
    <row r="184" ht="15.75" customHeight="1" s="88"/>
    <row r="185" ht="15.75" customHeight="1" s="88"/>
    <row r="186" ht="15.75" customHeight="1" s="88"/>
    <row r="187" ht="15.75" customHeight="1" s="88"/>
    <row r="188" ht="15.75" customHeight="1" s="88"/>
    <row r="189" ht="15.75" customHeight="1" s="88"/>
    <row r="190" ht="15.75" customHeight="1" s="88"/>
    <row r="191" ht="15.75" customHeight="1" s="88"/>
    <row r="192" ht="15.75" customHeight="1" s="88"/>
    <row r="193" ht="15.75" customHeight="1" s="88"/>
    <row r="194" ht="15.75" customHeight="1" s="88"/>
    <row r="195" ht="15.75" customHeight="1" s="88"/>
    <row r="196" ht="15.75" customHeight="1" s="88"/>
    <row r="197" ht="15.75" customHeight="1" s="88"/>
    <row r="198" ht="15.75" customHeight="1" s="88"/>
    <row r="199" ht="15.75" customHeight="1" s="88"/>
    <row r="200" ht="15.75" customHeight="1" s="88"/>
    <row r="201" ht="15.75" customHeight="1" s="88"/>
    <row r="202" ht="15.75" customHeight="1" s="88"/>
    <row r="203" ht="15.75" customHeight="1" s="88"/>
    <row r="204" ht="15.75" customHeight="1" s="88"/>
    <row r="205" ht="15.75" customHeight="1" s="88"/>
    <row r="206" ht="15.75" customHeight="1" s="88"/>
    <row r="207" ht="15.75" customHeight="1" s="88"/>
    <row r="208" ht="15.75" customHeight="1" s="88"/>
    <row r="209" ht="15.75" customHeight="1" s="88"/>
    <row r="210" ht="15.75" customHeight="1" s="88"/>
    <row r="211" ht="15.75" customHeight="1" s="88"/>
    <row r="212" ht="15.75" customHeight="1" s="88"/>
    <row r="213" ht="15.75" customHeight="1" s="88"/>
    <row r="214" ht="15.75" customHeight="1" s="88"/>
    <row r="215" ht="15.75" customHeight="1" s="88"/>
    <row r="216" ht="15.75" customHeight="1" s="88"/>
    <row r="217" ht="15.75" customHeight="1" s="88"/>
    <row r="218" ht="15.75" customHeight="1" s="88"/>
    <row r="219" ht="15.75" customHeight="1" s="88"/>
    <row r="220" ht="15.75" customHeight="1" s="88"/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88" min="1" max="1"/>
    <col width="8" customWidth="1" style="88" min="2" max="16"/>
    <col width="7.69921875" customWidth="1" style="88" min="17" max="26"/>
  </cols>
  <sheetData>
    <row r="1" ht="19.5" customHeight="1" s="88">
      <c r="A1" s="15">
        <f>'CO-PO Mapping'!A1:P1</f>
        <v/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4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88">
      <c r="A2" s="15" t="inlineStr">
        <is>
          <t>Course to PO &amp; PSO Attainment From All Tools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4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88">
      <c r="A3" s="15">
        <f>'CO-PO Mapping'!A3:P3</f>
        <v/>
      </c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4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88">
      <c r="A4" s="15">
        <f>'CO-PO Mapping'!A4:P4</f>
        <v/>
      </c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4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8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8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8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88">
      <c r="A8" s="33" t="inlineStr">
        <is>
          <t>Signature Subject Teacher</t>
        </is>
      </c>
      <c r="B8" s="123" t="n"/>
      <c r="C8" s="123" t="n"/>
      <c r="D8" s="123" t="n"/>
      <c r="E8" s="123" t="n"/>
      <c r="F8" s="123" t="n"/>
      <c r="G8" s="123" t="n"/>
      <c r="H8" s="123" t="n"/>
      <c r="I8" s="123" t="n"/>
      <c r="J8" s="123" t="n"/>
      <c r="K8" s="123" t="n"/>
      <c r="L8" s="123" t="n"/>
      <c r="M8" s="124" t="n"/>
      <c r="N8" s="33" t="n"/>
      <c r="O8" s="123" t="n"/>
      <c r="P8" s="12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8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8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8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8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8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8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8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8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8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8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8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8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8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8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8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8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8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8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8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8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8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8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8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8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8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8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8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8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8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8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8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8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8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8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8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8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8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8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8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8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8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8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8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8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8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8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8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8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8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8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8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8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8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8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8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8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8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8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8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8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8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8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8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8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8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8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8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8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8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8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8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8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8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8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8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8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8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8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8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8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8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8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8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8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8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8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8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8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8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8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8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8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8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8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8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8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8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8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8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8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8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8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8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8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8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8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8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8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8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8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8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8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8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8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8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8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8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88"/>
    <row r="222" ht="15.75" customHeight="1" s="88"/>
    <row r="223" ht="15.75" customHeight="1" s="88"/>
    <row r="224" ht="15.75" customHeight="1" s="88"/>
    <row r="225" ht="15.75" customHeight="1" s="88"/>
    <row r="226" ht="15.75" customHeight="1" s="88"/>
    <row r="227" ht="15.75" customHeight="1" s="88"/>
    <row r="228" ht="15.75" customHeight="1" s="88"/>
    <row r="229" ht="15.75" customHeight="1" s="88"/>
    <row r="230" ht="15.75" customHeight="1" s="88"/>
    <row r="231" ht="15.75" customHeight="1" s="88"/>
    <row r="232" ht="15.75" customHeight="1" s="88"/>
    <row r="233" ht="15.75" customHeight="1" s="88"/>
    <row r="234" ht="15.75" customHeight="1" s="88"/>
    <row r="235" ht="15.75" customHeight="1" s="88"/>
    <row r="236" ht="15.75" customHeight="1" s="88"/>
    <row r="237" ht="15.75" customHeight="1" s="88"/>
    <row r="238" ht="15.75" customHeight="1" s="88"/>
    <row r="239" ht="15.75" customHeight="1" s="88"/>
    <row r="240" ht="15.75" customHeight="1" s="88"/>
    <row r="241" ht="15.75" customHeight="1" s="88"/>
    <row r="242" ht="15.75" customHeight="1" s="88"/>
    <row r="243" ht="15.75" customHeight="1" s="88"/>
    <row r="244" ht="15.75" customHeight="1" s="88"/>
    <row r="245" ht="15.75" customHeight="1" s="88"/>
    <row r="246" ht="15.75" customHeight="1" s="88"/>
    <row r="247" ht="15.75" customHeight="1" s="88"/>
    <row r="248" ht="15.75" customHeight="1" s="88"/>
    <row r="249" ht="15.75" customHeight="1" s="88"/>
    <row r="250" ht="15.75" customHeight="1" s="88"/>
    <row r="251" ht="15.75" customHeight="1" s="88"/>
    <row r="252" ht="15.75" customHeight="1" s="88"/>
    <row r="253" ht="15.75" customHeight="1" s="88"/>
    <row r="254" ht="15.75" customHeight="1" s="88"/>
    <row r="255" ht="15.75" customHeight="1" s="88"/>
    <row r="256" ht="15.75" customHeight="1" s="88"/>
    <row r="257" ht="15.75" customHeight="1" s="88"/>
    <row r="258" ht="15.75" customHeight="1" s="88"/>
    <row r="259" ht="15.75" customHeight="1" s="88"/>
    <row r="260" ht="15.75" customHeight="1" s="88"/>
    <row r="261" ht="15.75" customHeight="1" s="88"/>
    <row r="262" ht="15.75" customHeight="1" s="88"/>
    <row r="263" ht="15.75" customHeight="1" s="88"/>
    <row r="264" ht="15.75" customHeight="1" s="88"/>
    <row r="265" ht="15.75" customHeight="1" s="88"/>
    <row r="266" ht="15.75" customHeight="1" s="88"/>
    <row r="267" ht="15.75" customHeight="1" s="88"/>
    <row r="268" ht="15.75" customHeight="1" s="88"/>
    <row r="269" ht="15.75" customHeight="1" s="88"/>
    <row r="270" ht="15.75" customHeight="1" s="88"/>
    <row r="271" ht="15.75" customHeight="1" s="88"/>
    <row r="272" ht="15.75" customHeight="1" s="88"/>
    <row r="273" ht="15.75" customHeight="1" s="88"/>
    <row r="274" ht="15.75" customHeight="1" s="88"/>
    <row r="275" ht="15.75" customHeight="1" s="88"/>
    <row r="276" ht="15.75" customHeight="1" s="88"/>
    <row r="277" ht="15.75" customHeight="1" s="88"/>
    <row r="278" ht="15.75" customHeight="1" s="88"/>
    <row r="279" ht="15.75" customHeight="1" s="88"/>
    <row r="280" ht="15.75" customHeight="1" s="88"/>
    <row r="281" ht="15.75" customHeight="1" s="88"/>
    <row r="282" ht="15.75" customHeight="1" s="88"/>
    <row r="283" ht="15.75" customHeight="1" s="88"/>
    <row r="284" ht="15.75" customHeight="1" s="88"/>
    <row r="285" ht="15.75" customHeight="1" s="88"/>
    <row r="286" ht="15.75" customHeight="1" s="88"/>
    <row r="287" ht="15.75" customHeight="1" s="88"/>
    <row r="288" ht="15.75" customHeight="1" s="88"/>
    <row r="289" ht="15.75" customHeight="1" s="88"/>
    <row r="290" ht="15.75" customHeight="1" s="88"/>
    <row r="291" ht="15.75" customHeight="1" s="88"/>
    <row r="292" ht="15.75" customHeight="1" s="88"/>
    <row r="293" ht="15.75" customHeight="1" s="88"/>
    <row r="294" ht="15.75" customHeight="1" s="88"/>
    <row r="295" ht="15.75" customHeight="1" s="88"/>
    <row r="296" ht="15.75" customHeight="1" s="88"/>
    <row r="297" ht="15.75" customHeight="1" s="88"/>
    <row r="298" ht="15.75" customHeight="1" s="88"/>
    <row r="299" ht="15.75" customHeight="1" s="88"/>
    <row r="300" ht="15.75" customHeight="1" s="88"/>
    <row r="301" ht="15.75" customHeight="1" s="88"/>
    <row r="302" ht="15.75" customHeight="1" s="88"/>
    <row r="303" ht="15.75" customHeight="1" s="88"/>
    <row r="304" ht="15.75" customHeight="1" s="88"/>
    <row r="305" ht="15.75" customHeight="1" s="88"/>
    <row r="306" ht="15.75" customHeight="1" s="88"/>
    <row r="307" ht="15.75" customHeight="1" s="88"/>
    <row r="308" ht="15.75" customHeight="1" s="88"/>
    <row r="309" ht="15.75" customHeight="1" s="88"/>
    <row r="310" ht="15.75" customHeight="1" s="88"/>
    <row r="311" ht="15.75" customHeight="1" s="88"/>
    <row r="312" ht="15.75" customHeight="1" s="88"/>
    <row r="313" ht="15.75" customHeight="1" s="88"/>
    <row r="314" ht="15.75" customHeight="1" s="88"/>
    <row r="315" ht="15.75" customHeight="1" s="88"/>
    <row r="316" ht="15.75" customHeight="1" s="88"/>
    <row r="317" ht="15.75" customHeight="1" s="88"/>
    <row r="318" ht="15.75" customHeight="1" s="88"/>
    <row r="319" ht="15.75" customHeight="1" s="88"/>
    <row r="320" ht="15.75" customHeight="1" s="88"/>
    <row r="321" ht="15.75" customHeight="1" s="88"/>
    <row r="322" ht="15.75" customHeight="1" s="88"/>
    <row r="323" ht="15.75" customHeight="1" s="88"/>
    <row r="324" ht="15.75" customHeight="1" s="88"/>
    <row r="325" ht="15.75" customHeight="1" s="88"/>
    <row r="326" ht="15.75" customHeight="1" s="88"/>
    <row r="327" ht="15.75" customHeight="1" s="88"/>
    <row r="328" ht="15.75" customHeight="1" s="88"/>
    <row r="329" ht="15.75" customHeight="1" s="88"/>
    <row r="330" ht="15.75" customHeight="1" s="88"/>
    <row r="331" ht="15.75" customHeight="1" s="88"/>
    <row r="332" ht="15.75" customHeight="1" s="88"/>
    <row r="333" ht="15.75" customHeight="1" s="88"/>
    <row r="334" ht="15.75" customHeight="1" s="88"/>
    <row r="335" ht="15.75" customHeight="1" s="88"/>
    <row r="336" ht="15.75" customHeight="1" s="88"/>
    <row r="337" ht="15.75" customHeight="1" s="88"/>
    <row r="338" ht="15.75" customHeight="1" s="88"/>
    <row r="339" ht="15.75" customHeight="1" s="88"/>
    <row r="340" ht="15.75" customHeight="1" s="88"/>
    <row r="341" ht="15.75" customHeight="1" s="88"/>
    <row r="342" ht="15.75" customHeight="1" s="88"/>
    <row r="343" ht="15.75" customHeight="1" s="88"/>
    <row r="344" ht="15.75" customHeight="1" s="88"/>
    <row r="345" ht="15.75" customHeight="1" s="88"/>
    <row r="346" ht="15.75" customHeight="1" s="88"/>
    <row r="347" ht="15.75" customHeight="1" s="88"/>
    <row r="348" ht="15.75" customHeight="1" s="88"/>
    <row r="349" ht="15.75" customHeight="1" s="88"/>
    <row r="350" ht="15.75" customHeight="1" s="88"/>
    <row r="351" ht="15.75" customHeight="1" s="88"/>
    <row r="352" ht="15.75" customHeight="1" s="88"/>
    <row r="353" ht="15.75" customHeight="1" s="88"/>
    <row r="354" ht="15.75" customHeight="1" s="88"/>
    <row r="355" ht="15.75" customHeight="1" s="88"/>
    <row r="356" ht="15.75" customHeight="1" s="88"/>
    <row r="357" ht="15.75" customHeight="1" s="88"/>
    <row r="358" ht="15.75" customHeight="1" s="88"/>
    <row r="359" ht="15.75" customHeight="1" s="88"/>
    <row r="360" ht="15.75" customHeight="1" s="88"/>
    <row r="361" ht="15.75" customHeight="1" s="88"/>
    <row r="362" ht="15.75" customHeight="1" s="88"/>
    <row r="363" ht="15.75" customHeight="1" s="88"/>
    <row r="364" ht="15.75" customHeight="1" s="88"/>
    <row r="365" ht="15.75" customHeight="1" s="88"/>
    <row r="366" ht="15.75" customHeight="1" s="88"/>
    <row r="367" ht="15.75" customHeight="1" s="88"/>
    <row r="368" ht="15.75" customHeight="1" s="88"/>
    <row r="369" ht="15.75" customHeight="1" s="88"/>
    <row r="370" ht="15.75" customHeight="1" s="88"/>
    <row r="371" ht="15.75" customHeight="1" s="88"/>
    <row r="372" ht="15.75" customHeight="1" s="88"/>
    <row r="373" ht="15.75" customHeight="1" s="88"/>
    <row r="374" ht="15.75" customHeight="1" s="88"/>
    <row r="375" ht="15.75" customHeight="1" s="88"/>
    <row r="376" ht="15.75" customHeight="1" s="88"/>
    <row r="377" ht="15.75" customHeight="1" s="88"/>
    <row r="378" ht="15.75" customHeight="1" s="88"/>
    <row r="379" ht="15.75" customHeight="1" s="88"/>
    <row r="380" ht="15.75" customHeight="1" s="88"/>
    <row r="381" ht="15.75" customHeight="1" s="88"/>
    <row r="382" ht="15.75" customHeight="1" s="88"/>
    <row r="383" ht="15.75" customHeight="1" s="88"/>
    <row r="384" ht="15.75" customHeight="1" s="88"/>
    <row r="385" ht="15.75" customHeight="1" s="88"/>
    <row r="386" ht="15.75" customHeight="1" s="88"/>
    <row r="387" ht="15.75" customHeight="1" s="88"/>
    <row r="388" ht="15.75" customHeight="1" s="88"/>
    <row r="389" ht="15.75" customHeight="1" s="88"/>
    <row r="390" ht="15.75" customHeight="1" s="88"/>
    <row r="391" ht="15.75" customHeight="1" s="88"/>
    <row r="392" ht="15.75" customHeight="1" s="88"/>
    <row r="393" ht="15.75" customHeight="1" s="88"/>
    <row r="394" ht="15.75" customHeight="1" s="88"/>
    <row r="395" ht="15.75" customHeight="1" s="88"/>
    <row r="396" ht="15.75" customHeight="1" s="88"/>
    <row r="397" ht="15.75" customHeight="1" s="88"/>
    <row r="398" ht="15.75" customHeight="1" s="88"/>
    <row r="399" ht="15.75" customHeight="1" s="88"/>
    <row r="400" ht="15.75" customHeight="1" s="88"/>
    <row r="401" ht="15.75" customHeight="1" s="88"/>
    <row r="402" ht="15.75" customHeight="1" s="88"/>
    <row r="403" ht="15.75" customHeight="1" s="88"/>
    <row r="404" ht="15.75" customHeight="1" s="88"/>
    <row r="405" ht="15.75" customHeight="1" s="88"/>
    <row r="406" ht="15.75" customHeight="1" s="88"/>
    <row r="407" ht="15.75" customHeight="1" s="88"/>
    <row r="408" ht="15.75" customHeight="1" s="88"/>
    <row r="409" ht="15.75" customHeight="1" s="88"/>
    <row r="410" ht="15.75" customHeight="1" s="88"/>
    <row r="411" ht="15.75" customHeight="1" s="88"/>
    <row r="412" ht="15.75" customHeight="1" s="88"/>
    <row r="413" ht="15.75" customHeight="1" s="88"/>
    <row r="414" ht="15.75" customHeight="1" s="88"/>
    <row r="415" ht="15.75" customHeight="1" s="88"/>
    <row r="416" ht="15.75" customHeight="1" s="88"/>
    <row r="417" ht="15.75" customHeight="1" s="88"/>
    <row r="418" ht="15.75" customHeight="1" s="88"/>
    <row r="419" ht="15.75" customHeight="1" s="88"/>
    <row r="420" ht="15.75" customHeight="1" s="88"/>
    <row r="421" ht="15.75" customHeight="1" s="88"/>
    <row r="422" ht="15.75" customHeight="1" s="88"/>
    <row r="423" ht="15.75" customHeight="1" s="88"/>
    <row r="424" ht="15.75" customHeight="1" s="88"/>
    <row r="425" ht="15.75" customHeight="1" s="88"/>
    <row r="426" ht="15.75" customHeight="1" s="88"/>
    <row r="427" ht="15.75" customHeight="1" s="88"/>
    <row r="428" ht="15.75" customHeight="1" s="88"/>
    <row r="429" ht="15.75" customHeight="1" s="88"/>
    <row r="430" ht="15.75" customHeight="1" s="88"/>
    <row r="431" ht="15.75" customHeight="1" s="88"/>
    <row r="432" ht="15.75" customHeight="1" s="88"/>
    <row r="433" ht="15.75" customHeight="1" s="88"/>
    <row r="434" ht="15.75" customHeight="1" s="88"/>
    <row r="435" ht="15.75" customHeight="1" s="88"/>
    <row r="436" ht="15.75" customHeight="1" s="88"/>
    <row r="437" ht="15.75" customHeight="1" s="88"/>
    <row r="438" ht="15.75" customHeight="1" s="88"/>
    <row r="439" ht="15.75" customHeight="1" s="88"/>
    <row r="440" ht="15.75" customHeight="1" s="88"/>
    <row r="441" ht="15.75" customHeight="1" s="88"/>
    <row r="442" ht="15.75" customHeight="1" s="88"/>
    <row r="443" ht="15.75" customHeight="1" s="88"/>
    <row r="444" ht="15.75" customHeight="1" s="88"/>
    <row r="445" ht="15.75" customHeight="1" s="88"/>
    <row r="446" ht="15.75" customHeight="1" s="88"/>
    <row r="447" ht="15.75" customHeight="1" s="88"/>
    <row r="448" ht="15.75" customHeight="1" s="88"/>
    <row r="449" ht="15.75" customHeight="1" s="88"/>
    <row r="450" ht="15.75" customHeight="1" s="88"/>
    <row r="451" ht="15.75" customHeight="1" s="88"/>
    <row r="452" ht="15.75" customHeight="1" s="88"/>
    <row r="453" ht="15.75" customHeight="1" s="88"/>
    <row r="454" ht="15.75" customHeight="1" s="88"/>
    <row r="455" ht="15.75" customHeight="1" s="88"/>
    <row r="456" ht="15.75" customHeight="1" s="88"/>
    <row r="457" ht="15.75" customHeight="1" s="88"/>
    <row r="458" ht="15.75" customHeight="1" s="88"/>
    <row r="459" ht="15.75" customHeight="1" s="88"/>
    <row r="460" ht="15.75" customHeight="1" s="88"/>
    <row r="461" ht="15.75" customHeight="1" s="88"/>
    <row r="462" ht="15.75" customHeight="1" s="88"/>
    <row r="463" ht="15.75" customHeight="1" s="88"/>
    <row r="464" ht="15.75" customHeight="1" s="88"/>
    <row r="465" ht="15.75" customHeight="1" s="88"/>
    <row r="466" ht="15.75" customHeight="1" s="88"/>
    <row r="467" ht="15.75" customHeight="1" s="88"/>
    <row r="468" ht="15.75" customHeight="1" s="88"/>
    <row r="469" ht="15.75" customHeight="1" s="88"/>
    <row r="470" ht="15.75" customHeight="1" s="88"/>
    <row r="471" ht="15.75" customHeight="1" s="88"/>
    <row r="472" ht="15.75" customHeight="1" s="88"/>
    <row r="473" ht="15.75" customHeight="1" s="88"/>
    <row r="474" ht="15.75" customHeight="1" s="88"/>
    <row r="475" ht="15.75" customHeight="1" s="88"/>
    <row r="476" ht="15.75" customHeight="1" s="88"/>
    <row r="477" ht="15.75" customHeight="1" s="88"/>
    <row r="478" ht="15.75" customHeight="1" s="88"/>
    <row r="479" ht="15.75" customHeight="1" s="88"/>
    <row r="480" ht="15.75" customHeight="1" s="88"/>
    <row r="481" ht="15.75" customHeight="1" s="88"/>
    <row r="482" ht="15.75" customHeight="1" s="88"/>
    <row r="483" ht="15.75" customHeight="1" s="88"/>
    <row r="484" ht="15.75" customHeight="1" s="88"/>
    <row r="485" ht="15.75" customHeight="1" s="88"/>
    <row r="486" ht="15.75" customHeight="1" s="88"/>
    <row r="487" ht="15.75" customHeight="1" s="88"/>
    <row r="488" ht="15.75" customHeight="1" s="88"/>
    <row r="489" ht="15.75" customHeight="1" s="88"/>
    <row r="490" ht="15.75" customHeight="1" s="88"/>
    <row r="491" ht="15.75" customHeight="1" s="88"/>
    <row r="492" ht="15.75" customHeight="1" s="88"/>
    <row r="493" ht="15.75" customHeight="1" s="88"/>
    <row r="494" ht="15.75" customHeight="1" s="88"/>
    <row r="495" ht="15.75" customHeight="1" s="88"/>
    <row r="496" ht="15.75" customHeight="1" s="88"/>
    <row r="497" ht="15.75" customHeight="1" s="88"/>
    <row r="498" ht="15.75" customHeight="1" s="88"/>
    <row r="499" ht="15.75" customHeight="1" s="88"/>
    <row r="500" ht="15.75" customHeight="1" s="88"/>
    <row r="501" ht="15.75" customHeight="1" s="88"/>
    <row r="502" ht="15.75" customHeight="1" s="88"/>
    <row r="503" ht="15.75" customHeight="1" s="88"/>
    <row r="504" ht="15.75" customHeight="1" s="88"/>
    <row r="505" ht="15.75" customHeight="1" s="88"/>
    <row r="506" ht="15.75" customHeight="1" s="88"/>
    <row r="507" ht="15.75" customHeight="1" s="88"/>
    <row r="508" ht="15.75" customHeight="1" s="88"/>
    <row r="509" ht="15.75" customHeight="1" s="88"/>
    <row r="510" ht="15.75" customHeight="1" s="88"/>
    <row r="511" ht="15.75" customHeight="1" s="88"/>
    <row r="512" ht="15.75" customHeight="1" s="88"/>
    <row r="513" ht="15.75" customHeight="1" s="88"/>
    <row r="514" ht="15.75" customHeight="1" s="88"/>
    <row r="515" ht="15.75" customHeight="1" s="88"/>
    <row r="516" ht="15.75" customHeight="1" s="88"/>
    <row r="517" ht="15.75" customHeight="1" s="88"/>
    <row r="518" ht="15.75" customHeight="1" s="88"/>
    <row r="519" ht="15.75" customHeight="1" s="88"/>
    <row r="520" ht="15.75" customHeight="1" s="88"/>
    <row r="521" ht="15.75" customHeight="1" s="88"/>
    <row r="522" ht="15.75" customHeight="1" s="88"/>
    <row r="523" ht="15.75" customHeight="1" s="88"/>
    <row r="524" ht="15.75" customHeight="1" s="88"/>
    <row r="525" ht="15.75" customHeight="1" s="88"/>
    <row r="526" ht="15.75" customHeight="1" s="88"/>
    <row r="527" ht="15.75" customHeight="1" s="88"/>
    <row r="528" ht="15.75" customHeight="1" s="88"/>
    <row r="529" ht="15.75" customHeight="1" s="88"/>
    <row r="530" ht="15.75" customHeight="1" s="88"/>
    <row r="531" ht="15.75" customHeight="1" s="88"/>
    <row r="532" ht="15.75" customHeight="1" s="88"/>
    <row r="533" ht="15.75" customHeight="1" s="88"/>
    <row r="534" ht="15.75" customHeight="1" s="88"/>
    <row r="535" ht="15.75" customHeight="1" s="88"/>
    <row r="536" ht="15.75" customHeight="1" s="88"/>
    <row r="537" ht="15.75" customHeight="1" s="88"/>
    <row r="538" ht="15.75" customHeight="1" s="88"/>
    <row r="539" ht="15.75" customHeight="1" s="88"/>
    <row r="540" ht="15.75" customHeight="1" s="88"/>
    <row r="541" ht="15.75" customHeight="1" s="88"/>
    <row r="542" ht="15.75" customHeight="1" s="88"/>
    <row r="543" ht="15.75" customHeight="1" s="88"/>
    <row r="544" ht="15.75" customHeight="1" s="88"/>
    <row r="545" ht="15.75" customHeight="1" s="88"/>
    <row r="546" ht="15.75" customHeight="1" s="88"/>
    <row r="547" ht="15.75" customHeight="1" s="88"/>
    <row r="548" ht="15.75" customHeight="1" s="88"/>
    <row r="549" ht="15.75" customHeight="1" s="88"/>
    <row r="550" ht="15.75" customHeight="1" s="88"/>
    <row r="551" ht="15.75" customHeight="1" s="88"/>
    <row r="552" ht="15.75" customHeight="1" s="88"/>
    <row r="553" ht="15.75" customHeight="1" s="88"/>
    <row r="554" ht="15.75" customHeight="1" s="88"/>
    <row r="555" ht="15.75" customHeight="1" s="88"/>
    <row r="556" ht="15.75" customHeight="1" s="88"/>
    <row r="557" ht="15.75" customHeight="1" s="88"/>
    <row r="558" ht="15.75" customHeight="1" s="88"/>
    <row r="559" ht="15.75" customHeight="1" s="88"/>
    <row r="560" ht="15.75" customHeight="1" s="88"/>
    <row r="561" ht="15.75" customHeight="1" s="88"/>
    <row r="562" ht="15.75" customHeight="1" s="88"/>
    <row r="563" ht="15.75" customHeight="1" s="88"/>
    <row r="564" ht="15.75" customHeight="1" s="88"/>
    <row r="565" ht="15.75" customHeight="1" s="88"/>
    <row r="566" ht="15.75" customHeight="1" s="88"/>
    <row r="567" ht="15.75" customHeight="1" s="88"/>
    <row r="568" ht="15.75" customHeight="1" s="88"/>
    <row r="569" ht="15.75" customHeight="1" s="88"/>
    <row r="570" ht="15.75" customHeight="1" s="88"/>
    <row r="571" ht="15.75" customHeight="1" s="88"/>
    <row r="572" ht="15.75" customHeight="1" s="88"/>
    <row r="573" ht="15.75" customHeight="1" s="88"/>
    <row r="574" ht="15.75" customHeight="1" s="88"/>
    <row r="575" ht="15.75" customHeight="1" s="88"/>
    <row r="576" ht="15.75" customHeight="1" s="88"/>
    <row r="577" ht="15.75" customHeight="1" s="88"/>
    <row r="578" ht="15.75" customHeight="1" s="88"/>
    <row r="579" ht="15.75" customHeight="1" s="88"/>
    <row r="580" ht="15.75" customHeight="1" s="88"/>
    <row r="581" ht="15.75" customHeight="1" s="88"/>
    <row r="582" ht="15.75" customHeight="1" s="88"/>
    <row r="583" ht="15.75" customHeight="1" s="88"/>
    <row r="584" ht="15.75" customHeight="1" s="88"/>
    <row r="585" ht="15.75" customHeight="1" s="88"/>
    <row r="586" ht="15.75" customHeight="1" s="88"/>
    <row r="587" ht="15.75" customHeight="1" s="88"/>
    <row r="588" ht="15.75" customHeight="1" s="88"/>
    <row r="589" ht="15.75" customHeight="1" s="88"/>
    <row r="590" ht="15.75" customHeight="1" s="88"/>
    <row r="591" ht="15.75" customHeight="1" s="88"/>
    <row r="592" ht="15.75" customHeight="1" s="88"/>
    <row r="593" ht="15.75" customHeight="1" s="88"/>
    <row r="594" ht="15.75" customHeight="1" s="88"/>
    <row r="595" ht="15.75" customHeight="1" s="88"/>
    <row r="596" ht="15.75" customHeight="1" s="88"/>
    <row r="597" ht="15.75" customHeight="1" s="88"/>
    <row r="598" ht="15.75" customHeight="1" s="88"/>
    <row r="599" ht="15.75" customHeight="1" s="88"/>
    <row r="600" ht="15.75" customHeight="1" s="88"/>
    <row r="601" ht="15.75" customHeight="1" s="88"/>
    <row r="602" ht="15.75" customHeight="1" s="88"/>
    <row r="603" ht="15.75" customHeight="1" s="88"/>
    <row r="604" ht="15.75" customHeight="1" s="88"/>
    <row r="605" ht="15.75" customHeight="1" s="88"/>
    <row r="606" ht="15.75" customHeight="1" s="88"/>
    <row r="607" ht="15.75" customHeight="1" s="88"/>
    <row r="608" ht="15.75" customHeight="1" s="88"/>
    <row r="609" ht="15.75" customHeight="1" s="88"/>
    <row r="610" ht="15.75" customHeight="1" s="88"/>
    <row r="611" ht="15.75" customHeight="1" s="88"/>
    <row r="612" ht="15.75" customHeight="1" s="88"/>
    <row r="613" ht="15.75" customHeight="1" s="88"/>
    <row r="614" ht="15.75" customHeight="1" s="88"/>
    <row r="615" ht="15.75" customHeight="1" s="88"/>
    <row r="616" ht="15.75" customHeight="1" s="88"/>
    <row r="617" ht="15.75" customHeight="1" s="88"/>
    <row r="618" ht="15.75" customHeight="1" s="88"/>
    <row r="619" ht="15.75" customHeight="1" s="88"/>
    <row r="620" ht="15.75" customHeight="1" s="88"/>
    <row r="621" ht="15.75" customHeight="1" s="88"/>
    <row r="622" ht="15.75" customHeight="1" s="88"/>
    <row r="623" ht="15.75" customHeight="1" s="88"/>
    <row r="624" ht="15.75" customHeight="1" s="88"/>
    <row r="625" ht="15.75" customHeight="1" s="88"/>
    <row r="626" ht="15.75" customHeight="1" s="88"/>
    <row r="627" ht="15.75" customHeight="1" s="88"/>
    <row r="628" ht="15.75" customHeight="1" s="88"/>
    <row r="629" ht="15.75" customHeight="1" s="88"/>
    <row r="630" ht="15.75" customHeight="1" s="88"/>
    <row r="631" ht="15.75" customHeight="1" s="88"/>
    <row r="632" ht="15.75" customHeight="1" s="88"/>
    <row r="633" ht="15.75" customHeight="1" s="88"/>
    <row r="634" ht="15.75" customHeight="1" s="88"/>
    <row r="635" ht="15.75" customHeight="1" s="88"/>
    <row r="636" ht="15.75" customHeight="1" s="88"/>
    <row r="637" ht="15.75" customHeight="1" s="88"/>
    <row r="638" ht="15.75" customHeight="1" s="88"/>
    <row r="639" ht="15.75" customHeight="1" s="88"/>
    <row r="640" ht="15.75" customHeight="1" s="88"/>
    <row r="641" ht="15.75" customHeight="1" s="88"/>
    <row r="642" ht="15.75" customHeight="1" s="88"/>
    <row r="643" ht="15.75" customHeight="1" s="88"/>
    <row r="644" ht="15.75" customHeight="1" s="88"/>
    <row r="645" ht="15.75" customHeight="1" s="88"/>
    <row r="646" ht="15.75" customHeight="1" s="88"/>
    <row r="647" ht="15.75" customHeight="1" s="88"/>
    <row r="648" ht="15.75" customHeight="1" s="88"/>
    <row r="649" ht="15.75" customHeight="1" s="88"/>
    <row r="650" ht="15.75" customHeight="1" s="88"/>
    <row r="651" ht="15.75" customHeight="1" s="88"/>
    <row r="652" ht="15.75" customHeight="1" s="88"/>
    <row r="653" ht="15.75" customHeight="1" s="88"/>
    <row r="654" ht="15.75" customHeight="1" s="88"/>
    <row r="655" ht="15.75" customHeight="1" s="88"/>
    <row r="656" ht="15.75" customHeight="1" s="88"/>
    <row r="657" ht="15.75" customHeight="1" s="88"/>
    <row r="658" ht="15.75" customHeight="1" s="88"/>
    <row r="659" ht="15.75" customHeight="1" s="88"/>
    <row r="660" ht="15.75" customHeight="1" s="88"/>
    <row r="661" ht="15.75" customHeight="1" s="88"/>
    <row r="662" ht="15.75" customHeight="1" s="88"/>
    <row r="663" ht="15.75" customHeight="1" s="88"/>
    <row r="664" ht="15.75" customHeight="1" s="88"/>
    <row r="665" ht="15.75" customHeight="1" s="88"/>
    <row r="666" ht="15.75" customHeight="1" s="88"/>
    <row r="667" ht="15.75" customHeight="1" s="88"/>
    <row r="668" ht="15.75" customHeight="1" s="88"/>
    <row r="669" ht="15.75" customHeight="1" s="88"/>
    <row r="670" ht="15.75" customHeight="1" s="88"/>
    <row r="671" ht="15.75" customHeight="1" s="88"/>
    <row r="672" ht="15.75" customHeight="1" s="88"/>
    <row r="673" ht="15.75" customHeight="1" s="88"/>
    <row r="674" ht="15.75" customHeight="1" s="88"/>
    <row r="675" ht="15.75" customHeight="1" s="88"/>
    <row r="676" ht="15.75" customHeight="1" s="88"/>
    <row r="677" ht="15.75" customHeight="1" s="88"/>
    <row r="678" ht="15.75" customHeight="1" s="88"/>
    <row r="679" ht="15.75" customHeight="1" s="88"/>
    <row r="680" ht="15.75" customHeight="1" s="88"/>
    <row r="681" ht="15.75" customHeight="1" s="88"/>
    <row r="682" ht="15.75" customHeight="1" s="88"/>
    <row r="683" ht="15.75" customHeight="1" s="88"/>
    <row r="684" ht="15.75" customHeight="1" s="88"/>
    <row r="685" ht="15.75" customHeight="1" s="88"/>
    <row r="686" ht="15.75" customHeight="1" s="88"/>
    <row r="687" ht="15.75" customHeight="1" s="88"/>
    <row r="688" ht="15.75" customHeight="1" s="88"/>
    <row r="689" ht="15.75" customHeight="1" s="88"/>
    <row r="690" ht="15.75" customHeight="1" s="88"/>
    <row r="691" ht="15.75" customHeight="1" s="88"/>
    <row r="692" ht="15.75" customHeight="1" s="88"/>
    <row r="693" ht="15.75" customHeight="1" s="88"/>
    <row r="694" ht="15.75" customHeight="1" s="88"/>
    <row r="695" ht="15.75" customHeight="1" s="88"/>
    <row r="696" ht="15.75" customHeight="1" s="88"/>
    <row r="697" ht="15.75" customHeight="1" s="88"/>
    <row r="698" ht="15.75" customHeight="1" s="88"/>
    <row r="699" ht="15.75" customHeight="1" s="88"/>
    <row r="700" ht="15.75" customHeight="1" s="88"/>
    <row r="701" ht="15.75" customHeight="1" s="88"/>
    <row r="702" ht="15.75" customHeight="1" s="88"/>
    <row r="703" ht="15.75" customHeight="1" s="88"/>
    <row r="704" ht="15.75" customHeight="1" s="88"/>
    <row r="705" ht="15.75" customHeight="1" s="88"/>
    <row r="706" ht="15.75" customHeight="1" s="88"/>
    <row r="707" ht="15.75" customHeight="1" s="88"/>
    <row r="708" ht="15.75" customHeight="1" s="88"/>
    <row r="709" ht="15.75" customHeight="1" s="88"/>
    <row r="710" ht="15.75" customHeight="1" s="88"/>
    <row r="711" ht="15.75" customHeight="1" s="88"/>
    <row r="712" ht="15.75" customHeight="1" s="88"/>
    <row r="713" ht="15.75" customHeight="1" s="88"/>
    <row r="714" ht="15.75" customHeight="1" s="88"/>
    <row r="715" ht="15.75" customHeight="1" s="88"/>
    <row r="716" ht="15.75" customHeight="1" s="88"/>
    <row r="717" ht="15.75" customHeight="1" s="88"/>
    <row r="718" ht="15.75" customHeight="1" s="88"/>
    <row r="719" ht="15.75" customHeight="1" s="88"/>
    <row r="720" ht="15.75" customHeight="1" s="88"/>
    <row r="721" ht="15.75" customHeight="1" s="88"/>
    <row r="722" ht="15.75" customHeight="1" s="88"/>
    <row r="723" ht="15.75" customHeight="1" s="88"/>
    <row r="724" ht="15.75" customHeight="1" s="88"/>
    <row r="725" ht="15.75" customHeight="1" s="88"/>
    <row r="726" ht="15.75" customHeight="1" s="88"/>
    <row r="727" ht="15.75" customHeight="1" s="88"/>
    <row r="728" ht="15.75" customHeight="1" s="88"/>
    <row r="729" ht="15.75" customHeight="1" s="88"/>
    <row r="730" ht="15.75" customHeight="1" s="88"/>
    <row r="731" ht="15.75" customHeight="1" s="88"/>
    <row r="732" ht="15.75" customHeight="1" s="88"/>
    <row r="733" ht="15.75" customHeight="1" s="88"/>
    <row r="734" ht="15.75" customHeight="1" s="88"/>
    <row r="735" ht="15.75" customHeight="1" s="88"/>
    <row r="736" ht="15.75" customHeight="1" s="88"/>
    <row r="737" ht="15.75" customHeight="1" s="88"/>
    <row r="738" ht="15.75" customHeight="1" s="88"/>
    <row r="739" ht="15.75" customHeight="1" s="88"/>
    <row r="740" ht="15.75" customHeight="1" s="88"/>
    <row r="741" ht="15.75" customHeight="1" s="88"/>
    <row r="742" ht="15.75" customHeight="1" s="88"/>
    <row r="743" ht="15.75" customHeight="1" s="88"/>
    <row r="744" ht="15.75" customHeight="1" s="88"/>
    <row r="745" ht="15.75" customHeight="1" s="88"/>
    <row r="746" ht="15.75" customHeight="1" s="88"/>
    <row r="747" ht="15.75" customHeight="1" s="88"/>
    <row r="748" ht="15.75" customHeight="1" s="88"/>
    <row r="749" ht="15.75" customHeight="1" s="88"/>
    <row r="750" ht="15.75" customHeight="1" s="88"/>
    <row r="751" ht="15.75" customHeight="1" s="88"/>
    <row r="752" ht="15.75" customHeight="1" s="88"/>
    <row r="753" ht="15.75" customHeight="1" s="88"/>
    <row r="754" ht="15.75" customHeight="1" s="88"/>
    <row r="755" ht="15.75" customHeight="1" s="88"/>
    <row r="756" ht="15.75" customHeight="1" s="88"/>
    <row r="757" ht="15.75" customHeight="1" s="88"/>
    <row r="758" ht="15.75" customHeight="1" s="88"/>
    <row r="759" ht="15.75" customHeight="1" s="88"/>
    <row r="760" ht="15.75" customHeight="1" s="88"/>
    <row r="761" ht="15.75" customHeight="1" s="88"/>
    <row r="762" ht="15.75" customHeight="1" s="88"/>
    <row r="763" ht="15.75" customHeight="1" s="88"/>
    <row r="764" ht="15.75" customHeight="1" s="88"/>
    <row r="765" ht="15.75" customHeight="1" s="88"/>
    <row r="766" ht="15.75" customHeight="1" s="88"/>
    <row r="767" ht="15.75" customHeight="1" s="88"/>
    <row r="768" ht="15.75" customHeight="1" s="88"/>
    <row r="769" ht="15.75" customHeight="1" s="88"/>
    <row r="770" ht="15.75" customHeight="1" s="88"/>
    <row r="771" ht="15.75" customHeight="1" s="88"/>
    <row r="772" ht="15.75" customHeight="1" s="88"/>
    <row r="773" ht="15.75" customHeight="1" s="88"/>
    <row r="774" ht="15.75" customHeight="1" s="88"/>
    <row r="775" ht="15.75" customHeight="1" s="88"/>
    <row r="776" ht="15.75" customHeight="1" s="88"/>
    <row r="777" ht="15.75" customHeight="1" s="88"/>
    <row r="778" ht="15.75" customHeight="1" s="88"/>
    <row r="779" ht="15.75" customHeight="1" s="88"/>
    <row r="780" ht="15.75" customHeight="1" s="88"/>
    <row r="781" ht="15.75" customHeight="1" s="88"/>
    <row r="782" ht="15.75" customHeight="1" s="88"/>
    <row r="783" ht="15.75" customHeight="1" s="88"/>
    <row r="784" ht="15.75" customHeight="1" s="88"/>
    <row r="785" ht="15.75" customHeight="1" s="88"/>
    <row r="786" ht="15.75" customHeight="1" s="88"/>
    <row r="787" ht="15.75" customHeight="1" s="88"/>
    <row r="788" ht="15.75" customHeight="1" s="88"/>
    <row r="789" ht="15.75" customHeight="1" s="88"/>
    <row r="790" ht="15.75" customHeight="1" s="88"/>
    <row r="791" ht="15.75" customHeight="1" s="88"/>
    <row r="792" ht="15.75" customHeight="1" s="88"/>
    <row r="793" ht="15.75" customHeight="1" s="88"/>
    <row r="794" ht="15.75" customHeight="1" s="88"/>
    <row r="795" ht="15.75" customHeight="1" s="88"/>
    <row r="796" ht="15.75" customHeight="1" s="88"/>
    <row r="797" ht="15.75" customHeight="1" s="88"/>
    <row r="798" ht="15.75" customHeight="1" s="88"/>
    <row r="799" ht="15.75" customHeight="1" s="88"/>
    <row r="800" ht="15.75" customHeight="1" s="88"/>
    <row r="801" ht="15.75" customHeight="1" s="88"/>
    <row r="802" ht="15.75" customHeight="1" s="88"/>
    <row r="803" ht="15.75" customHeight="1" s="88"/>
    <row r="804" ht="15.75" customHeight="1" s="88"/>
    <row r="805" ht="15.75" customHeight="1" s="88"/>
    <row r="806" ht="15.75" customHeight="1" s="88"/>
    <row r="807" ht="15.75" customHeight="1" s="88"/>
    <row r="808" ht="15.75" customHeight="1" s="88"/>
    <row r="809" ht="15.75" customHeight="1" s="88"/>
    <row r="810" ht="15.75" customHeight="1" s="88"/>
    <row r="811" ht="15.75" customHeight="1" s="88"/>
    <row r="812" ht="15.75" customHeight="1" s="88"/>
    <row r="813" ht="15.75" customHeight="1" s="88"/>
    <row r="814" ht="15.75" customHeight="1" s="88"/>
    <row r="815" ht="15.75" customHeight="1" s="88"/>
    <row r="816" ht="15.75" customHeight="1" s="88"/>
    <row r="817" ht="15.75" customHeight="1" s="88"/>
    <row r="818" ht="15.75" customHeight="1" s="88"/>
    <row r="819" ht="15.75" customHeight="1" s="88"/>
    <row r="820" ht="15.75" customHeight="1" s="88"/>
    <row r="821" ht="15.75" customHeight="1" s="88"/>
    <row r="822" ht="15.75" customHeight="1" s="88"/>
    <row r="823" ht="15.75" customHeight="1" s="88"/>
    <row r="824" ht="15.75" customHeight="1" s="88"/>
    <row r="825" ht="15.75" customHeight="1" s="88"/>
    <row r="826" ht="15.75" customHeight="1" s="88"/>
    <row r="827" ht="15.75" customHeight="1" s="88"/>
    <row r="828" ht="15.75" customHeight="1" s="88"/>
    <row r="829" ht="15.75" customHeight="1" s="88"/>
    <row r="830" ht="15.75" customHeight="1" s="88"/>
    <row r="831" ht="15.75" customHeight="1" s="88"/>
    <row r="832" ht="15.75" customHeight="1" s="88"/>
    <row r="833" ht="15.75" customHeight="1" s="88"/>
    <row r="834" ht="15.75" customHeight="1" s="88"/>
    <row r="835" ht="15.75" customHeight="1" s="88"/>
    <row r="836" ht="15.75" customHeight="1" s="88"/>
    <row r="837" ht="15.75" customHeight="1" s="88"/>
    <row r="838" ht="15.75" customHeight="1" s="88"/>
    <row r="839" ht="15.75" customHeight="1" s="88"/>
    <row r="840" ht="15.75" customHeight="1" s="88"/>
    <row r="841" ht="15.75" customHeight="1" s="88"/>
    <row r="842" ht="15.75" customHeight="1" s="88"/>
    <row r="843" ht="15.75" customHeight="1" s="88"/>
    <row r="844" ht="15.75" customHeight="1" s="88"/>
    <row r="845" ht="15.75" customHeight="1" s="88"/>
    <row r="846" ht="15.75" customHeight="1" s="88"/>
    <row r="847" ht="15.75" customHeight="1" s="88"/>
    <row r="848" ht="15.75" customHeight="1" s="88"/>
    <row r="849" ht="15.75" customHeight="1" s="88"/>
    <row r="850" ht="15.75" customHeight="1" s="88"/>
    <row r="851" ht="15.75" customHeight="1" s="88"/>
    <row r="852" ht="15.75" customHeight="1" s="88"/>
    <row r="853" ht="15.75" customHeight="1" s="88"/>
    <row r="854" ht="15.75" customHeight="1" s="88"/>
    <row r="855" ht="15.75" customHeight="1" s="88"/>
    <row r="856" ht="15.75" customHeight="1" s="88"/>
    <row r="857" ht="15.75" customHeight="1" s="88"/>
    <row r="858" ht="15.75" customHeight="1" s="88"/>
    <row r="859" ht="15.75" customHeight="1" s="88"/>
    <row r="860" ht="15.75" customHeight="1" s="88"/>
    <row r="861" ht="15.75" customHeight="1" s="88"/>
    <row r="862" ht="15.75" customHeight="1" s="88"/>
    <row r="863" ht="15.75" customHeight="1" s="88"/>
    <row r="864" ht="15.75" customHeight="1" s="88"/>
    <row r="865" ht="15.75" customHeight="1" s="88"/>
    <row r="866" ht="15.75" customHeight="1" s="88"/>
    <row r="867" ht="15.75" customHeight="1" s="88"/>
    <row r="868" ht="15.75" customHeight="1" s="88"/>
    <row r="869" ht="15.75" customHeight="1" s="88"/>
    <row r="870" ht="15.75" customHeight="1" s="88"/>
    <row r="871" ht="15.75" customHeight="1" s="88"/>
    <row r="872" ht="15.75" customHeight="1" s="88"/>
    <row r="873" ht="15.75" customHeight="1" s="88"/>
    <row r="874" ht="15.75" customHeight="1" s="88"/>
    <row r="875" ht="15.75" customHeight="1" s="88"/>
    <row r="876" ht="15.75" customHeight="1" s="88"/>
    <row r="877" ht="15.75" customHeight="1" s="88"/>
    <row r="878" ht="15.75" customHeight="1" s="88"/>
    <row r="879" ht="15.75" customHeight="1" s="88"/>
    <row r="880" ht="15.75" customHeight="1" s="88"/>
    <row r="881" ht="15.75" customHeight="1" s="88"/>
    <row r="882" ht="15.75" customHeight="1" s="88"/>
    <row r="883" ht="15.75" customHeight="1" s="88"/>
    <row r="884" ht="15.75" customHeight="1" s="88"/>
    <row r="885" ht="15.75" customHeight="1" s="88"/>
    <row r="886" ht="15.75" customHeight="1" s="88"/>
    <row r="887" ht="15.75" customHeight="1" s="88"/>
    <row r="888" ht="15.75" customHeight="1" s="88"/>
    <row r="889" ht="15.75" customHeight="1" s="88"/>
    <row r="890" ht="15.75" customHeight="1" s="88"/>
    <row r="891" ht="15.75" customHeight="1" s="88"/>
    <row r="892" ht="15.75" customHeight="1" s="88"/>
    <row r="893" ht="15.75" customHeight="1" s="88"/>
    <row r="894" ht="15.75" customHeight="1" s="88"/>
    <row r="895" ht="15.75" customHeight="1" s="88"/>
    <row r="896" ht="15.75" customHeight="1" s="88"/>
    <row r="897" ht="15.75" customHeight="1" s="88"/>
    <row r="898" ht="15.75" customHeight="1" s="88"/>
    <row r="899" ht="15.75" customHeight="1" s="88"/>
    <row r="900" ht="15.75" customHeight="1" s="88"/>
    <row r="901" ht="15.75" customHeight="1" s="88"/>
    <row r="902" ht="15.75" customHeight="1" s="88"/>
    <row r="903" ht="15.75" customHeight="1" s="88"/>
    <row r="904" ht="15.75" customHeight="1" s="88"/>
    <row r="905" ht="15.75" customHeight="1" s="88"/>
    <row r="906" ht="15.75" customHeight="1" s="88"/>
    <row r="907" ht="15.75" customHeight="1" s="88"/>
    <row r="908" ht="15.75" customHeight="1" s="88"/>
    <row r="909" ht="15.75" customHeight="1" s="88"/>
    <row r="910" ht="15.75" customHeight="1" s="88"/>
    <row r="911" ht="15.75" customHeight="1" s="88"/>
    <row r="912" ht="15.75" customHeight="1" s="88"/>
    <row r="913" ht="15.75" customHeight="1" s="88"/>
    <row r="914" ht="15.75" customHeight="1" s="88"/>
    <row r="915" ht="15.75" customHeight="1" s="88"/>
    <row r="916" ht="15.75" customHeight="1" s="88"/>
    <row r="917" ht="15.75" customHeight="1" s="88"/>
    <row r="918" ht="15.75" customHeight="1" s="88"/>
    <row r="919" ht="15.75" customHeight="1" s="88"/>
    <row r="920" ht="15.75" customHeight="1" s="88"/>
    <row r="921" ht="15.75" customHeight="1" s="88"/>
    <row r="922" ht="15.75" customHeight="1" s="88"/>
    <row r="923" ht="15.75" customHeight="1" s="88"/>
    <row r="924" ht="15.75" customHeight="1" s="88"/>
    <row r="925" ht="15.75" customHeight="1" s="88"/>
    <row r="926" ht="15.75" customHeight="1" s="88"/>
    <row r="927" ht="15.75" customHeight="1" s="88"/>
    <row r="928" ht="15.75" customHeight="1" s="88"/>
    <row r="929" ht="15.75" customHeight="1" s="88"/>
    <row r="930" ht="15.75" customHeight="1" s="88"/>
    <row r="931" ht="15.75" customHeight="1" s="88"/>
    <row r="932" ht="15.75" customHeight="1" s="88"/>
    <row r="933" ht="15.75" customHeight="1" s="88"/>
    <row r="934" ht="15.75" customHeight="1" s="88"/>
    <row r="935" ht="15.75" customHeight="1" s="88"/>
    <row r="936" ht="15.75" customHeight="1" s="88"/>
    <row r="937" ht="15.75" customHeight="1" s="88"/>
    <row r="938" ht="15.75" customHeight="1" s="88"/>
    <row r="939" ht="15.75" customHeight="1" s="88"/>
    <row r="940" ht="15.75" customHeight="1" s="88"/>
    <row r="941" ht="15.75" customHeight="1" s="88"/>
    <row r="942" ht="15.75" customHeight="1" s="88"/>
    <row r="943" ht="15.75" customHeight="1" s="88"/>
    <row r="944" ht="15.75" customHeight="1" s="88"/>
    <row r="945" ht="15.75" customHeight="1" s="88"/>
    <row r="946" ht="15.75" customHeight="1" s="88"/>
    <row r="947" ht="15.75" customHeight="1" s="88"/>
    <row r="948" ht="15.75" customHeight="1" s="88"/>
    <row r="949" ht="15.75" customHeight="1" s="88"/>
    <row r="950" ht="15.75" customHeight="1" s="88"/>
    <row r="951" ht="15.75" customHeight="1" s="88"/>
    <row r="952" ht="15.75" customHeight="1" s="88"/>
    <row r="953" ht="15.75" customHeight="1" s="88"/>
    <row r="954" ht="15.75" customHeight="1" s="88"/>
    <row r="955" ht="15.75" customHeight="1" s="88"/>
    <row r="956" ht="15.75" customHeight="1" s="88"/>
    <row r="957" ht="15.75" customHeight="1" s="88"/>
    <row r="958" ht="15.75" customHeight="1" s="88"/>
    <row r="959" ht="15.75" customHeight="1" s="88"/>
    <row r="960" ht="15.75" customHeight="1" s="88"/>
    <row r="961" ht="15.75" customHeight="1" s="88"/>
    <row r="962" ht="15.75" customHeight="1" s="88"/>
    <row r="963" ht="15.75" customHeight="1" s="88"/>
    <row r="964" ht="15.75" customHeight="1" s="88"/>
    <row r="965" ht="15.75" customHeight="1" s="88"/>
    <row r="966" ht="15.75" customHeight="1" s="88"/>
    <row r="967" ht="15.75" customHeight="1" s="88"/>
    <row r="968" ht="15.75" customHeight="1" s="88"/>
    <row r="969" ht="15.75" customHeight="1" s="88"/>
    <row r="970" ht="15.75" customHeight="1" s="88"/>
    <row r="971" ht="15.75" customHeight="1" s="88"/>
    <row r="972" ht="15.75" customHeight="1" s="88"/>
    <row r="973" ht="15.75" customHeight="1" s="88"/>
    <row r="974" ht="15.75" customHeight="1" s="88"/>
    <row r="975" ht="15.75" customHeight="1" s="88"/>
    <row r="976" ht="15.75" customHeight="1" s="88"/>
    <row r="977" ht="15.75" customHeight="1" s="88"/>
    <row r="978" ht="15.75" customHeight="1" s="88"/>
    <row r="979" ht="15.75" customHeight="1" s="88"/>
    <row r="980" ht="15.75" customHeight="1" s="88"/>
    <row r="981" ht="15.75" customHeight="1" s="88"/>
    <row r="982" ht="15.75" customHeight="1" s="88"/>
    <row r="983" ht="15.75" customHeight="1" s="88"/>
    <row r="984" ht="15.75" customHeight="1" s="88"/>
    <row r="985" ht="15.75" customHeight="1" s="88"/>
    <row r="986" ht="15.75" customHeight="1" s="88"/>
    <row r="987" ht="15.75" customHeight="1" s="88"/>
    <row r="988" ht="15.75" customHeight="1" s="88"/>
    <row r="989" ht="15.75" customHeight="1" s="88"/>
    <row r="990" ht="15.75" customHeight="1" s="88"/>
    <row r="991" ht="15.75" customHeight="1" s="88"/>
    <row r="992" ht="15.75" customHeight="1" s="88"/>
    <row r="993" ht="15.75" customHeight="1" s="88"/>
    <row r="994" ht="15.75" customHeight="1" s="88"/>
    <row r="995" ht="15.75" customHeight="1" s="88"/>
    <row r="996" ht="15.75" customHeight="1" s="88"/>
    <row r="997" ht="15.75" customHeight="1" s="88"/>
    <row r="998" ht="15.75" customHeight="1" s="88"/>
    <row r="999" ht="15.75" customHeight="1" s="88"/>
    <row r="1000" ht="15.75" customHeight="1" s="8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2026-08-08T04:06:56Z</dcterms:modified>
  <cp:lastModifiedBy>Kalpana Fatawat</cp:lastModifiedBy>
</cp:coreProperties>
</file>
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" activeTab="8" autoFilterDateGrouping="1"/>
  </bookViews>
  <sheets>
    <sheet name="CO-PO Mapping" sheetId="1" state="visible" r:id="rId1"/>
    <sheet name="Sessional + End Term Assessment" sheetId="2" state="visible" r:id="rId2"/>
    <sheet name="Attainment of Subject Code" sheetId="3" state="visible" r:id="rId3"/>
    <sheet name="Attainment Tool 1 C to PO" sheetId="4" state="visible" r:id="rId4"/>
    <sheet name="MID Term 1" sheetId="5" state="visible" r:id="rId5"/>
    <sheet name="REMIDAL 1" sheetId="6" state="visible" r:id="rId6"/>
    <sheet name="MID Term 2" sheetId="7" state="visible" r:id="rId7"/>
    <sheet name="REMIDAL 2" sheetId="8" state="visible" r:id="rId8"/>
    <sheet name="Attainment Sheet Sessional" sheetId="9" state="visible" r:id="rId9"/>
    <sheet name="Attainment CO to PO Sessional" sheetId="10" state="visible" r:id="rId10"/>
    <sheet name="Attainment Tool C to PO FINAL" sheetId="11" state="visible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3">
    <font>
      <name val="Arial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Calibri"/>
      <b val="1"/>
      <color theme="1"/>
      <sz val="12"/>
    </font>
    <font>
      <name val="Arial"/>
      <sz val="11"/>
    </font>
    <font>
      <name val="Calibri"/>
      <color theme="1"/>
      <sz val="12"/>
    </font>
    <font>
      <name val="Calibri"/>
      <b val="1"/>
      <color theme="1"/>
      <sz val="11"/>
    </font>
    <font>
      <name val="Calibri"/>
      <color theme="1"/>
      <sz val="11"/>
    </font>
    <font>
      <name val="Arial"/>
      <color theme="1"/>
      <sz val="12"/>
    </font>
    <font>
      <name val="Times New Roman"/>
      <color theme="1"/>
      <sz val="10"/>
    </font>
    <font>
      <name val="Arial"/>
      <color theme="1"/>
      <sz val="11"/>
    </font>
    <font>
      <name val="Calibri"/>
      <b val="1"/>
      <color rgb="FF000000"/>
      <sz val="12"/>
    </font>
    <font>
      <name val="Calibri"/>
      <b val="1"/>
      <color theme="1"/>
      <sz val="14"/>
    </font>
    <font>
      <name val="Calibri"/>
      <color rgb="FF000000"/>
      <sz val="12"/>
    </font>
    <font>
      <name val="Arial"/>
      <color rgb="FF000000"/>
      <sz val="11"/>
    </font>
    <font>
      <name val="Calibri"/>
      <color theme="1"/>
      <sz val="14"/>
    </font>
    <font>
      <name val="Arial"/>
      <family val="2"/>
      <b val="1"/>
      <color theme="3"/>
      <sz val="15"/>
      <scheme val="minor"/>
    </font>
    <font>
      <name val="Arial"/>
      <family val="2"/>
      <b val="1"/>
      <color theme="3"/>
      <sz val="13"/>
      <scheme val="minor"/>
    </font>
    <font>
      <name val="Arial"/>
      <family val="2"/>
      <b val="1"/>
      <color theme="3"/>
      <sz val="11"/>
      <scheme val="minor"/>
    </font>
    <font>
      <name val="Arial"/>
      <family val="2"/>
      <color rgb="FF006100"/>
      <sz val="11"/>
      <scheme val="minor"/>
    </font>
    <font>
      <name val="Arial"/>
      <family val="2"/>
      <color rgb="FF9C0006"/>
      <sz val="11"/>
      <scheme val="minor"/>
    </font>
    <font>
      <name val="Arial"/>
      <family val="2"/>
      <color rgb="FF3F3F76"/>
      <sz val="11"/>
      <scheme val="minor"/>
    </font>
    <font>
      <name val="Arial"/>
      <family val="2"/>
      <b val="1"/>
      <color rgb="FF3F3F3F"/>
      <sz val="11"/>
      <scheme val="minor"/>
    </font>
    <font>
      <name val="Arial"/>
      <family val="2"/>
      <b val="1"/>
      <color rgb="FFFA7D00"/>
      <sz val="11"/>
      <scheme val="minor"/>
    </font>
    <font>
      <name val="Arial"/>
      <family val="2"/>
      <color rgb="FFFA7D00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i val="1"/>
      <color rgb="FF7F7F7F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b val="1"/>
      <color theme="3"/>
      <sz val="18"/>
      <scheme val="major"/>
    </font>
    <font>
      <name val="Arial"/>
      <family val="2"/>
      <color rgb="FF9C6500"/>
      <sz val="11"/>
      <scheme val="minor"/>
    </font>
    <font>
      <name val="Arial"/>
      <sz val="8"/>
      <scheme val="minor"/>
    </font>
  </fonts>
  <fills count="40">
    <fill>
      <patternFill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44">
    <xf numFmtId="0" fontId="0" fillId="0" borderId="32"/>
    <xf numFmtId="0" fontId="16" fillId="0" borderId="37"/>
    <xf numFmtId="0" fontId="17" fillId="0" borderId="38"/>
    <xf numFmtId="0" fontId="18" fillId="0" borderId="39"/>
    <xf numFmtId="0" fontId="21" fillId="12" borderId="40"/>
    <xf numFmtId="0" fontId="22" fillId="13" borderId="41"/>
    <xf numFmtId="0" fontId="23" fillId="13" borderId="40"/>
    <xf numFmtId="0" fontId="24" fillId="0" borderId="42"/>
    <xf numFmtId="0" fontId="25" fillId="14" borderId="43"/>
    <xf numFmtId="0" fontId="28" fillId="0" borderId="45"/>
    <xf numFmtId="0" fontId="2" fillId="0" borderId="32"/>
    <xf numFmtId="0" fontId="30" fillId="0" borderId="32"/>
    <xf numFmtId="0" fontId="18" fillId="0" borderId="32"/>
    <xf numFmtId="0" fontId="19" fillId="9" borderId="32"/>
    <xf numFmtId="0" fontId="20" fillId="10" borderId="32"/>
    <xf numFmtId="0" fontId="31" fillId="11" borderId="32"/>
    <xf numFmtId="0" fontId="26" fillId="0" borderId="32"/>
    <xf numFmtId="0" fontId="2" fillId="15" borderId="44"/>
    <xf numFmtId="0" fontId="27" fillId="0" borderId="32"/>
    <xf numFmtId="0" fontId="29" fillId="16" borderId="32"/>
    <xf numFmtId="0" fontId="2" fillId="17" borderId="32"/>
    <xf numFmtId="0" fontId="2" fillId="18" borderId="32"/>
    <xf numFmtId="0" fontId="29" fillId="19" borderId="32"/>
    <xf numFmtId="0" fontId="29" fillId="20" borderId="32"/>
    <xf numFmtId="0" fontId="2" fillId="21" borderId="32"/>
    <xf numFmtId="0" fontId="2" fillId="22" borderId="32"/>
    <xf numFmtId="0" fontId="29" fillId="23" borderId="32"/>
    <xf numFmtId="0" fontId="29" fillId="24" borderId="32"/>
    <xf numFmtId="0" fontId="2" fillId="25" borderId="32"/>
    <xf numFmtId="0" fontId="2" fillId="26" borderId="32"/>
    <xf numFmtId="0" fontId="29" fillId="27" borderId="32"/>
    <xf numFmtId="0" fontId="29" fillId="28" borderId="32"/>
    <xf numFmtId="0" fontId="2" fillId="29" borderId="32"/>
    <xf numFmtId="0" fontId="2" fillId="30" borderId="32"/>
    <xf numFmtId="0" fontId="29" fillId="31" borderId="32"/>
    <xf numFmtId="0" fontId="29" fillId="32" borderId="32"/>
    <xf numFmtId="0" fontId="2" fillId="33" borderId="32"/>
    <xf numFmtId="0" fontId="2" fillId="34" borderId="32"/>
    <xf numFmtId="0" fontId="29" fillId="35" borderId="32"/>
    <xf numFmtId="0" fontId="29" fillId="36" borderId="32"/>
    <xf numFmtId="0" fontId="2" fillId="37" borderId="32"/>
    <xf numFmtId="0" fontId="2" fillId="38" borderId="32"/>
    <xf numFmtId="0" fontId="29" fillId="39" borderId="32"/>
    <xf numFmtId="0" fontId="2" fillId="0" borderId="32"/>
  </cellStyleXfs>
  <cellXfs count="141">
    <xf numFmtId="0" fontId="0" fillId="0" borderId="0" pivotButton="0" quotePrefix="0" xfId="0"/>
    <xf numFmtId="0" fontId="5" fillId="0" borderId="0" pivotButton="0" quotePrefix="0" xfId="0"/>
    <xf numFmtId="0" fontId="6" fillId="3" borderId="4" applyAlignment="1" pivotButton="0" quotePrefix="0" xfId="0">
      <alignment horizontal="center"/>
    </xf>
    <xf numFmtId="0" fontId="6" fillId="3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/>
    </xf>
    <xf numFmtId="0" fontId="7" fillId="3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 wrapText="1"/>
    </xf>
    <xf numFmtId="2" fontId="8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2" borderId="10" applyAlignment="1" pivotButton="0" quotePrefix="0" xfId="0">
      <alignment horizontal="center" vertical="center"/>
    </xf>
    <xf numFmtId="0" fontId="3" fillId="0" borderId="0" pivotButton="0" quotePrefix="0" xfId="0"/>
    <xf numFmtId="9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9" fontId="3" fillId="2" borderId="1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1" fontId="5" fillId="0" borderId="1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11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 wrapText="1"/>
    </xf>
    <xf numFmtId="0" fontId="11" fillId="2" borderId="11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6" fillId="0" borderId="0" pivotButton="0" quotePrefix="0" xfId="0"/>
    <xf numFmtId="2" fontId="5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wrapText="1"/>
    </xf>
    <xf numFmtId="1" fontId="10" fillId="0" borderId="0" pivotButton="0" quotePrefix="0" xfId="0"/>
    <xf numFmtId="0" fontId="5" fillId="3" borderId="1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2" borderId="18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5" fillId="0" borderId="0" applyAlignment="1" pivotButton="0" quotePrefix="0" xfId="0">
      <alignment horizontal="left"/>
    </xf>
    <xf numFmtId="0" fontId="5" fillId="2" borderId="10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top"/>
    </xf>
    <xf numFmtId="164" fontId="5" fillId="0" borderId="10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 wrapText="1"/>
    </xf>
    <xf numFmtId="0" fontId="7" fillId="5" borderId="10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wrapText="1"/>
    </xf>
    <xf numFmtId="1" fontId="14" fillId="5" borderId="29" applyAlignment="1" pivotButton="0" quotePrefix="0" xfId="0">
      <alignment horizontal="center" wrapText="1"/>
    </xf>
    <xf numFmtId="0" fontId="7" fillId="5" borderId="10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wrapText="1"/>
    </xf>
    <xf numFmtId="0" fontId="3" fillId="6" borderId="10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wrapText="1"/>
    </xf>
    <xf numFmtId="0" fontId="7" fillId="6" borderId="5" applyAlignment="1" pivotButton="0" quotePrefix="0" xfId="0">
      <alignment horizontal="center" wrapText="1"/>
    </xf>
    <xf numFmtId="0" fontId="3" fillId="6" borderId="5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center"/>
    </xf>
    <xf numFmtId="1" fontId="7" fillId="5" borderId="10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1" fontId="7" fillId="5" borderId="32" applyAlignment="1" pivotButton="0" quotePrefix="0" xfId="0">
      <alignment horizontal="center" vertical="center"/>
    </xf>
    <xf numFmtId="49" fontId="2" fillId="0" borderId="10" applyAlignment="1" pivotButton="0" quotePrefix="0" xfId="10">
      <alignment wrapText="1"/>
    </xf>
    <xf numFmtId="0" fontId="2" fillId="0" borderId="10" applyAlignment="1" pivotButton="0" quotePrefix="0" xfId="10">
      <alignment wrapText="1"/>
    </xf>
    <xf numFmtId="0" fontId="2" fillId="8" borderId="10" applyAlignment="1" pivotButton="0" quotePrefix="0" xfId="10">
      <alignment wrapText="1"/>
    </xf>
    <xf numFmtId="49" fontId="2" fillId="8" borderId="10" applyAlignment="1" pivotButton="0" quotePrefix="0" xfId="10">
      <alignment wrapText="1"/>
    </xf>
    <xf numFmtId="1" fontId="0" fillId="0" borderId="0" pivotButton="0" quotePrefix="0" xfId="0"/>
    <xf numFmtId="0" fontId="2" fillId="0" borderId="10" applyAlignment="1" pivotButton="0" quotePrefix="0" xfId="43">
      <alignment wrapText="1"/>
    </xf>
    <xf numFmtId="49" fontId="1" fillId="0" borderId="10" applyAlignment="1" pivotButton="0" quotePrefix="0" xfId="10">
      <alignment wrapText="1"/>
    </xf>
    <xf numFmtId="0" fontId="3" fillId="2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/>
    </xf>
    <xf numFmtId="0" fontId="4" fillId="0" borderId="13" pivotButton="0" quotePrefix="0" xfId="0"/>
    <xf numFmtId="0" fontId="3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3" fillId="0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4" fillId="0" borderId="25" pivotButton="0" quotePrefix="0" xfId="0"/>
    <xf numFmtId="0" fontId="0" fillId="0" borderId="0" pivotButton="0" quotePrefix="0" xfId="0"/>
    <xf numFmtId="0" fontId="4" fillId="0" borderId="26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3" fillId="6" borderId="12" applyAlignment="1" pivotButton="0" quotePrefix="0" xfId="0">
      <alignment horizontal="center" vertical="center" wrapText="1"/>
    </xf>
    <xf numFmtId="0" fontId="4" fillId="5" borderId="13" pivotButton="0" quotePrefix="0" xfId="0"/>
    <xf numFmtId="0" fontId="4" fillId="5" borderId="28" pivotButton="0" quotePrefix="0" xfId="0"/>
    <xf numFmtId="0" fontId="3" fillId="6" borderId="1" applyAlignment="1" pivotButton="0" quotePrefix="0" xfId="0">
      <alignment horizontal="center" vertical="center"/>
    </xf>
    <xf numFmtId="0" fontId="4" fillId="5" borderId="2" pivotButton="0" quotePrefix="0" xfId="0"/>
    <xf numFmtId="0" fontId="4" fillId="5" borderId="3" pivotButton="0" quotePrefix="0" xfId="0"/>
    <xf numFmtId="0" fontId="3" fillId="6" borderId="12" applyAlignment="1" pivotButton="0" quotePrefix="0" xfId="0">
      <alignment horizontal="center" vertical="center"/>
    </xf>
    <xf numFmtId="0" fontId="4" fillId="5" borderId="27" pivotButton="0" quotePrefix="0" xfId="0"/>
    <xf numFmtId="0" fontId="12" fillId="5" borderId="3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0" borderId="28" pivotButton="0" quotePrefix="0" xfId="0"/>
    <xf numFmtId="0" fontId="4" fillId="0" borderId="27" pivotButton="0" quotePrefix="0" xfId="0"/>
    <xf numFmtId="0" fontId="4" fillId="0" borderId="30" pivotButton="0" quotePrefix="0" xfId="0"/>
    <xf numFmtId="0" fontId="12" fillId="5" borderId="23" applyAlignment="1" pivotButton="0" quotePrefix="0" xfId="0">
      <alignment horizontal="center"/>
    </xf>
    <xf numFmtId="0" fontId="4" fillId="5" borderId="23" pivotButton="0" quotePrefix="0" xfId="0"/>
    <xf numFmtId="0" fontId="3" fillId="4" borderId="19" applyAlignment="1" pivotButton="0" quotePrefix="0" xfId="0">
      <alignment horizontal="left" vertical="center" wrapText="1"/>
    </xf>
    <xf numFmtId="0" fontId="4" fillId="0" borderId="31" pivotButton="0" quotePrefix="0" xfId="0"/>
    <xf numFmtId="0" fontId="4" fillId="0" borderId="32" pivotButton="0" quotePrefix="0" xfId="0"/>
    <xf numFmtId="0" fontId="4" fillId="0" borderId="33" pivotButton="0" quotePrefix="0" xfId="0"/>
    <xf numFmtId="0" fontId="10" fillId="0" borderId="34" applyAlignment="1" pivotButton="0" quotePrefix="0" xfId="0">
      <alignment horizontal="center"/>
    </xf>
    <xf numFmtId="0" fontId="4" fillId="0" borderId="35" pivotButton="0" quotePrefix="0" xfId="0"/>
    <xf numFmtId="9" fontId="3" fillId="2" borderId="1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33" pivotButton="0" quotePrefix="0" xfId="0"/>
    <xf numFmtId="0" fontId="0" fillId="0" borderId="24" pivotButton="0" quotePrefix="0" xfId="0"/>
    <xf numFmtId="0" fontId="3" fillId="6" borderId="10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4" borderId="1" applyAlignment="1" pivotButton="0" quotePrefix="0" xfId="0">
      <alignment horizontal="left" vertical="center" wrapText="1"/>
    </xf>
    <xf numFmtId="0" fontId="10" fillId="0" borderId="46" applyAlignment="1" pivotButton="0" quotePrefix="0" xfId="0">
      <alignment horizontal="center"/>
    </xf>
    <xf numFmtId="0" fontId="0" fillId="0" borderId="35" pivotButton="0" quotePrefix="0" xfId="0"/>
    <xf numFmtId="0" fontId="3" fillId="4" borderId="10" applyAlignment="1" pivotButton="0" quotePrefix="0" xfId="0">
      <alignment horizontal="left" vertical="center" wrapText="1"/>
    </xf>
  </cellXfs>
  <cellStyles count="44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Title 2" xfId="11"/>
    <cellStyle name="Heading 4 2" xfId="12"/>
    <cellStyle name="Good 2" xfId="13"/>
    <cellStyle name="Bad 2" xfId="14"/>
    <cellStyle name="Neutral 2" xfId="15"/>
    <cellStyle name="Warning Text 2" xfId="16"/>
    <cellStyle name="Note 2" xfId="17"/>
    <cellStyle name="Explanatory Text 2" xfId="18"/>
    <cellStyle name="Accent1 2" xfId="19"/>
    <cellStyle name="20% - Accent1 2" xfId="20"/>
    <cellStyle name="40% - Accent1 2" xfId="21"/>
    <cellStyle name="60% - Accent1 2" xfId="22"/>
    <cellStyle name="Accent2 2" xfId="23"/>
    <cellStyle name="20% - Accent2 2" xfId="24"/>
    <cellStyle name="40% - Accent2 2" xfId="25"/>
    <cellStyle name="60% - Accent2 2" xfId="26"/>
    <cellStyle name="Accent3 2" xfId="27"/>
    <cellStyle name="20% - Accent3 2" xfId="28"/>
    <cellStyle name="40% - Accent3 2" xfId="29"/>
    <cellStyle name="60% - Accent3 2" xfId="30"/>
    <cellStyle name="Accent4 2" xfId="31"/>
    <cellStyle name="20% - Accent4 2" xfId="32"/>
    <cellStyle name="40% - Accent4 2" xfId="33"/>
    <cellStyle name="60% - Accent4 2" xfId="34"/>
    <cellStyle name="Accent5 2" xfId="35"/>
    <cellStyle name="20% - Accent5 2" xfId="36"/>
    <cellStyle name="40% - Accent5 2" xfId="37"/>
    <cellStyle name="60% - Accent5 2" xfId="38"/>
    <cellStyle name="Accent6 2" xfId="39"/>
    <cellStyle name="20% - Accent6 2" xfId="40"/>
    <cellStyle name="40% - Accent6 2" xfId="41"/>
    <cellStyle name="60% - Accent6 2" xfId="42"/>
    <cellStyle name="Normal 2" xfId="43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K17" sqref="K17"/>
    </sheetView>
  </sheetViews>
  <sheetFormatPr baseColWidth="8" defaultColWidth="12.59765625" defaultRowHeight="15" customHeight="1"/>
  <cols>
    <col width="15.699218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 t="inlineStr">
        <is>
          <t>DEPARTMENT OF COMPUTER SCIENCE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 to PO &amp; PSO Mapping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 t="inlineStr">
        <is>
          <t>II Year III Semester</t>
        </is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 t="inlineStr">
        <is>
          <t>SUBJECT: Advanced Engineering Mathematics                                                                                                   Faculty: Dr. Kalpana Fatawat</t>
        </is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98">
      <c r="A5" s="2" t="inlineStr">
        <is>
          <t>Course Outcome</t>
        </is>
      </c>
      <c r="B5" s="3" t="inlineStr">
        <is>
          <t>PO1</t>
        </is>
      </c>
      <c r="C5" s="3" t="inlineStr">
        <is>
          <t>PO2</t>
        </is>
      </c>
      <c r="D5" s="3" t="inlineStr">
        <is>
          <t>PO3</t>
        </is>
      </c>
      <c r="E5" s="3" t="inlineStr">
        <is>
          <t>PO4</t>
        </is>
      </c>
      <c r="F5" s="3" t="inlineStr">
        <is>
          <t>PO5</t>
        </is>
      </c>
      <c r="G5" s="3" t="inlineStr">
        <is>
          <t>PO6</t>
        </is>
      </c>
      <c r="H5" s="3" t="inlineStr">
        <is>
          <t>PO7</t>
        </is>
      </c>
      <c r="I5" s="3" t="inlineStr">
        <is>
          <t>PO8</t>
        </is>
      </c>
      <c r="J5" s="3" t="inlineStr">
        <is>
          <t>PO9</t>
        </is>
      </c>
      <c r="K5" s="3" t="inlineStr">
        <is>
          <t>PO10</t>
        </is>
      </c>
      <c r="L5" s="3" t="inlineStr">
        <is>
          <t>PO11</t>
        </is>
      </c>
      <c r="M5" s="3" t="inlineStr">
        <is>
          <t>PO12</t>
        </is>
      </c>
      <c r="N5" s="3" t="inlineStr">
        <is>
          <t>PSO1</t>
        </is>
      </c>
      <c r="O5" s="3" t="inlineStr">
        <is>
          <t>PSO2</t>
        </is>
      </c>
      <c r="P5" s="3" t="inlineStr">
        <is>
          <t>PSO3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98">
      <c r="A6" s="5" t="inlineStr">
        <is>
          <t>CO23CS201.1</t>
        </is>
      </c>
      <c r="B6" s="6" t="n">
        <v>2</v>
      </c>
      <c r="C6" s="7" t="n">
        <v>2</v>
      </c>
      <c r="D6" s="7" t="n">
        <v>0</v>
      </c>
      <c r="E6" s="7" t="n">
        <v>1</v>
      </c>
      <c r="F6" s="7" t="n">
        <v>1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98">
      <c r="A7" s="5" t="inlineStr">
        <is>
          <t>CO23CS201.2</t>
        </is>
      </c>
      <c r="B7" s="8" t="n">
        <v>2</v>
      </c>
      <c r="C7" s="9" t="n">
        <v>2</v>
      </c>
      <c r="D7" s="9" t="n">
        <v>0</v>
      </c>
      <c r="E7" s="9" t="n">
        <v>1</v>
      </c>
      <c r="F7" s="9" t="n">
        <v>1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1</v>
      </c>
      <c r="N7" s="9" t="n">
        <v>0</v>
      </c>
      <c r="O7" s="9" t="n">
        <v>0</v>
      </c>
      <c r="P7" s="9" t="n">
        <v>0</v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98">
      <c r="A8" s="5" t="inlineStr">
        <is>
          <t>CO23CS201.3</t>
        </is>
      </c>
      <c r="B8" s="8" t="n">
        <v>2</v>
      </c>
      <c r="C8" s="9" t="n">
        <v>2</v>
      </c>
      <c r="D8" s="9" t="n">
        <v>0</v>
      </c>
      <c r="E8" s="9" t="n">
        <v>1</v>
      </c>
      <c r="F8" s="9" t="n">
        <v>1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1</v>
      </c>
      <c r="N8" s="9" t="n">
        <v>0</v>
      </c>
      <c r="O8" s="9" t="n">
        <v>0</v>
      </c>
      <c r="P8" s="9" t="n">
        <v>0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98">
      <c r="A9" s="5" t="inlineStr">
        <is>
          <t>CO23CS201.4</t>
        </is>
      </c>
      <c r="B9" s="8" t="n">
        <v>2</v>
      </c>
      <c r="C9" s="9" t="n">
        <v>2</v>
      </c>
      <c r="D9" s="9" t="n">
        <v>0</v>
      </c>
      <c r="E9" s="9" t="n">
        <v>1</v>
      </c>
      <c r="F9" s="9" t="n">
        <v>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1</v>
      </c>
      <c r="N9" s="9" t="n">
        <v>0</v>
      </c>
      <c r="O9" s="9" t="n">
        <v>0</v>
      </c>
      <c r="P9" s="9" t="n">
        <v>0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98">
      <c r="A10" s="5" t="inlineStr">
        <is>
          <t>CO23CS201.5</t>
        </is>
      </c>
      <c r="B10" s="8" t="n">
        <v>2</v>
      </c>
      <c r="C10" s="9" t="n">
        <v>2</v>
      </c>
      <c r="D10" s="9" t="n">
        <v>0</v>
      </c>
      <c r="E10" s="9" t="n">
        <v>1</v>
      </c>
      <c r="F10" s="9" t="n">
        <v>1</v>
      </c>
      <c r="G10" s="9" t="n">
        <v>1</v>
      </c>
      <c r="H10" s="9" t="n">
        <v>0</v>
      </c>
      <c r="I10" s="9" t="n">
        <v>1</v>
      </c>
      <c r="J10" s="9" t="n">
        <v>0</v>
      </c>
      <c r="K10" s="9" t="n">
        <v>0</v>
      </c>
      <c r="L10" s="9" t="n">
        <v>0</v>
      </c>
      <c r="M10" s="9" t="n">
        <v>1</v>
      </c>
      <c r="N10" s="9" t="n">
        <v>0</v>
      </c>
      <c r="O10" s="9" t="n">
        <v>0</v>
      </c>
      <c r="P10" s="9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98">
      <c r="A11" s="10" t="inlineStr">
        <is>
          <t>CO35CS203 Avg</t>
        </is>
      </c>
      <c r="B11" s="11">
        <f>AVERAGE(B6:B10)</f>
        <v/>
      </c>
      <c r="C11" s="11">
        <f>AVERAGE(C6:C10)</f>
        <v/>
      </c>
      <c r="D11" s="11">
        <f>AVERAGE(D6:D10)</f>
        <v/>
      </c>
      <c r="E11" s="11">
        <f>AVERAGE(E6:E10)</f>
        <v/>
      </c>
      <c r="F11" s="11">
        <f>AVERAGE(F6:F10)</f>
        <v/>
      </c>
      <c r="G11" s="11">
        <f>AVERAGE(G6:G10)</f>
        <v/>
      </c>
      <c r="H11" s="11">
        <f>AVERAGE(H6:H10)</f>
        <v/>
      </c>
      <c r="I11" s="11">
        <f>AVERAGE(I6:I10)</f>
        <v/>
      </c>
      <c r="J11" s="11">
        <f>AVERAGE(J6:J10)</f>
        <v/>
      </c>
      <c r="K11" s="11">
        <f>AVERAGE(K6:K10)</f>
        <v/>
      </c>
      <c r="L11" s="11">
        <f>AVERAGE(L6:L10)</f>
        <v/>
      </c>
      <c r="M11" s="11">
        <f>AVERAGE(M6:M10)</f>
        <v/>
      </c>
      <c r="N11" s="11">
        <f>AVERAGE(N6:N10)</f>
        <v/>
      </c>
      <c r="O11" s="11">
        <f>AVERAGE(O6:O10)</f>
        <v/>
      </c>
      <c r="P11" s="11">
        <f>AVERAGE(P6:P10)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2" t="inlineStr">
        <is>
          <t>3CS2-01 (AVG)</t>
        </is>
      </c>
      <c r="B12" s="13">
        <f>ROUND(B11,0)</f>
        <v/>
      </c>
      <c r="C12" s="13">
        <f>ROUND(C11,0)</f>
        <v/>
      </c>
      <c r="D12" s="13">
        <f>ROUND(D11,0)</f>
        <v/>
      </c>
      <c r="E12" s="13">
        <f>ROUND(E11,0)</f>
        <v/>
      </c>
      <c r="F12" s="13">
        <f>ROUND(F11,0)</f>
        <v/>
      </c>
      <c r="G12" s="13">
        <f>ROUND(G11,0)</f>
        <v/>
      </c>
      <c r="H12" s="13">
        <f>ROUND(H11,0)</f>
        <v/>
      </c>
      <c r="I12" s="13">
        <f>ROUND(I11,0)</f>
        <v/>
      </c>
      <c r="J12" s="13">
        <f>ROUND(J11,0)</f>
        <v/>
      </c>
      <c r="K12" s="13">
        <f>ROUND(K11,0)</f>
        <v/>
      </c>
      <c r="L12" s="13">
        <f>ROUND(L11,0)</f>
        <v/>
      </c>
      <c r="M12" s="13">
        <f>ROUND(M11,0)</f>
        <v/>
      </c>
      <c r="N12" s="13">
        <f>ROUND(N11,0)</f>
        <v/>
      </c>
      <c r="O12" s="13">
        <f>ROUND(O11,0)</f>
        <v/>
      </c>
      <c r="P12" s="13">
        <f>ROUND(P11,0)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9.75" customHeight="1" s="98">
      <c r="A13" s="33" t="inlineStr">
        <is>
          <t xml:space="preserve">                                                                                                                                                       Signature Subject Teacher</t>
        </is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6" t="n"/>
      <c r="N13" s="33" t="n"/>
      <c r="O13" s="125" t="n"/>
      <c r="P13" s="126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3:M13"/>
    <mergeCell ref="A1:P1"/>
    <mergeCell ref="N13:P13"/>
    <mergeCell ref="A4:P4"/>
    <mergeCell ref="A3:P3"/>
    <mergeCell ref="A2:P2"/>
  </mergeCells>
  <pageMargins left="0.7" right="0.7" top="0.75" bottom="0.75" header="0" footer="0"/>
  <pageSetup orientation="landscape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3"/>
  <sheetViews>
    <sheetView workbookViewId="0">
      <selection activeCell="A3" sqref="A3:H3"/>
    </sheetView>
  </sheetViews>
  <sheetFormatPr baseColWidth="8" defaultColWidth="12.59765625" defaultRowHeight="15" customHeight="1"/>
  <cols>
    <col width="5.69921875" customWidth="1" style="98" min="1" max="1"/>
    <col width="17.5" customWidth="1" style="98" min="2" max="2"/>
    <col width="29.5" customWidth="1" style="98" min="3" max="3"/>
    <col width="14.19921875" customWidth="1" style="98" min="4" max="5"/>
    <col width="13.19921875" customWidth="1" style="98" min="6" max="6"/>
    <col width="13.3984375" customWidth="1" style="98" min="7" max="7"/>
    <col width="13.19921875" customWidth="1" style="98" min="8" max="8"/>
    <col width="7.69921875" customWidth="1" style="98" min="9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6" t="n"/>
    </row>
    <row r="2" ht="19.5" customHeight="1" s="98">
      <c r="A2" s="15" t="inlineStr">
        <is>
          <t>End Term and Sessional Assessment Sheet</t>
        </is>
      </c>
      <c r="B2" s="125" t="n"/>
      <c r="C2" s="125" t="n"/>
      <c r="D2" s="125" t="n"/>
      <c r="E2" s="125" t="n"/>
      <c r="F2" s="125" t="n"/>
      <c r="G2" s="125" t="n"/>
      <c r="H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6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31.2" customHeight="1" s="98">
      <c r="A5" s="15" t="inlineStr">
        <is>
          <t>S.NO.</t>
        </is>
      </c>
      <c r="B5" s="15" t="inlineStr">
        <is>
          <t>RollNo</t>
        </is>
      </c>
      <c r="C5" s="15" t="inlineStr">
        <is>
          <t>Name</t>
        </is>
      </c>
      <c r="D5" s="12" t="inlineStr">
        <is>
          <t>END TERM
MARKS</t>
        </is>
      </c>
      <c r="E5" s="12" t="inlineStr">
        <is>
          <t>SESSIONAL
MARKS</t>
        </is>
      </c>
      <c r="F5" s="15" t="inlineStr">
        <is>
          <t>TOTAL</t>
        </is>
      </c>
      <c r="G5" s="12" t="inlineStr">
        <is>
          <t>Course Attainment with
Target in %</t>
        </is>
      </c>
      <c r="H5" s="12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31.2" customHeight="1" s="98">
      <c r="A6" s="127" t="n"/>
      <c r="B6" s="127" t="n"/>
      <c r="C6" s="15" t="inlineStr">
        <is>
          <t>MAX MARKS</t>
        </is>
      </c>
      <c r="D6" s="15" t="n">
        <v>70</v>
      </c>
      <c r="E6" s="15" t="n">
        <v>30</v>
      </c>
      <c r="F6" s="15">
        <f>D6+E6</f>
        <v/>
      </c>
      <c r="G6" s="12" t="inlineStr">
        <is>
          <t>t_End Term
Exam</t>
        </is>
      </c>
      <c r="H6" s="12" t="inlineStr">
        <is>
          <t>t_Sessional
Exam</t>
        </is>
      </c>
    </row>
    <row r="7" ht="19.5" customHeight="1" s="98">
      <c r="A7" s="89" t="inlineStr">
        <is>
          <t>Set Target Level</t>
        </is>
      </c>
      <c r="B7" s="128" t="n"/>
      <c r="C7" s="129" t="n"/>
      <c r="D7" s="17" t="n">
        <v>0.6</v>
      </c>
      <c r="E7" s="17" t="n">
        <v>0.7</v>
      </c>
      <c r="F7" s="18" t="n"/>
      <c r="G7" s="19" t="n">
        <v>0.6</v>
      </c>
      <c r="H7" s="19" t="n">
        <v>0.7</v>
      </c>
    </row>
    <row r="8" ht="19.5" customHeight="1" s="98">
      <c r="A8" s="20" t="n">
        <v>1</v>
      </c>
      <c r="B8" s="82" t="inlineStr">
        <is>
          <t>23ETCCS001</t>
        </is>
      </c>
      <c r="C8" s="77" t="inlineStr">
        <is>
          <t>AAKANSHA SILAWAT</t>
        </is>
      </c>
      <c r="D8" s="81" t="n">
        <v>39</v>
      </c>
      <c r="E8" s="81" t="n">
        <v>27</v>
      </c>
      <c r="F8" s="81">
        <f>D8+E8</f>
        <v/>
      </c>
      <c r="G8" s="22">
        <f>IF((D8/$D$6)&gt;=$D$7,1,0)</f>
        <v/>
      </c>
      <c r="H8" s="23">
        <f>IF((E8/$E$6)&gt;=$E$7,1,0)</f>
        <v/>
      </c>
    </row>
    <row r="9" ht="19.5" customHeight="1" s="98">
      <c r="A9" s="20" t="n">
        <v>2</v>
      </c>
      <c r="B9" s="76" t="inlineStr">
        <is>
          <t>23ETCCS002</t>
        </is>
      </c>
      <c r="C9" s="77" t="inlineStr">
        <is>
          <t>ABHINAV MISHRA</t>
        </is>
      </c>
      <c r="D9" s="81" t="n">
        <v>37</v>
      </c>
      <c r="E9" s="81" t="n">
        <v>25</v>
      </c>
      <c r="F9" s="81">
        <f>D9+E9</f>
        <v/>
      </c>
      <c r="G9" s="22">
        <f>IF((D9/$D$6)&gt;=$D$7,1,0)</f>
        <v/>
      </c>
      <c r="H9" s="23">
        <f>IF((E9/$E$6)&gt;=$E$7,1,0)</f>
        <v/>
      </c>
    </row>
    <row r="10" ht="19.5" customHeight="1" s="98">
      <c r="A10" s="20" t="n">
        <v>3</v>
      </c>
      <c r="B10" s="76" t="inlineStr">
        <is>
          <t>23ETCCS003</t>
        </is>
      </c>
      <c r="C10" s="77" t="inlineStr">
        <is>
          <t>ACHAL JAIN</t>
        </is>
      </c>
      <c r="D10" s="81" t="n">
        <v>48</v>
      </c>
      <c r="E10" s="81" t="n">
        <v>22</v>
      </c>
      <c r="F10" s="81">
        <f>D10+E10</f>
        <v/>
      </c>
      <c r="G10" s="22">
        <f>IF((D10/$D$6)&gt;=$D$7,1,0)</f>
        <v/>
      </c>
      <c r="H10" s="23">
        <f>IF((E10/$E$6)&gt;=$E$7,1,0)</f>
        <v/>
      </c>
    </row>
    <row r="11" ht="19.5" customHeight="1" s="98">
      <c r="A11" s="20" t="n">
        <v>4</v>
      </c>
      <c r="B11" s="76" t="inlineStr">
        <is>
          <t>23ETCCS004</t>
        </is>
      </c>
      <c r="C11" s="77" t="inlineStr">
        <is>
          <t>ADITYA SISODIYA</t>
        </is>
      </c>
      <c r="D11" s="81" t="n">
        <v>45</v>
      </c>
      <c r="E11" s="81" t="n">
        <v>29</v>
      </c>
      <c r="F11" s="81">
        <f>D11+E11</f>
        <v/>
      </c>
      <c r="G11" s="22">
        <f>IF((D11/$D$6)&gt;=$D$7,1,0)</f>
        <v/>
      </c>
      <c r="H11" s="23">
        <f>IF((E11/$E$6)&gt;=$E$7,1,0)</f>
        <v/>
      </c>
    </row>
    <row r="12" ht="19.5" customHeight="1" s="98">
      <c r="A12" s="20" t="n">
        <v>5</v>
      </c>
      <c r="B12" s="76" t="inlineStr">
        <is>
          <t>23ETCCS005</t>
        </is>
      </c>
      <c r="C12" s="77" t="inlineStr">
        <is>
          <t>AKSHAT JAIN</t>
        </is>
      </c>
      <c r="D12" s="81" t="n">
        <v>31</v>
      </c>
      <c r="E12" s="81" t="n">
        <v>16</v>
      </c>
      <c r="F12" s="81">
        <f>D12+E12</f>
        <v/>
      </c>
      <c r="G12" s="22">
        <f>IF((D12/$D$6)&gt;=$D$7,1,0)</f>
        <v/>
      </c>
      <c r="H12" s="23">
        <f>IF((E12/$E$6)&gt;=$E$7,1,0)</f>
        <v/>
      </c>
    </row>
    <row r="13" ht="19.5" customHeight="1" s="98">
      <c r="A13" s="20" t="n">
        <v>6</v>
      </c>
      <c r="B13" s="76" t="inlineStr">
        <is>
          <t>23ETCCS006</t>
        </is>
      </c>
      <c r="C13" s="77" t="inlineStr">
        <is>
          <t>AKSHAY SUTHAR</t>
        </is>
      </c>
      <c r="D13" s="81" t="n">
        <v>37</v>
      </c>
      <c r="E13" s="81" t="n">
        <v>22</v>
      </c>
      <c r="F13" s="81">
        <f>D13+E13</f>
        <v/>
      </c>
      <c r="G13" s="22">
        <f>IF((D13/$D$6)&gt;=$D$7,1,0)</f>
        <v/>
      </c>
      <c r="H13" s="23">
        <f>IF((E13/$E$6)&gt;=$E$7,1,0)</f>
        <v/>
      </c>
    </row>
    <row r="14" ht="19.5" customHeight="1" s="98">
      <c r="A14" s="20" t="n">
        <v>7</v>
      </c>
      <c r="B14" s="76" t="inlineStr">
        <is>
          <t>23ETCCS007</t>
        </is>
      </c>
      <c r="C14" s="77" t="inlineStr">
        <is>
          <t>ANANT SINGH JADON</t>
        </is>
      </c>
      <c r="D14" s="81" t="n">
        <v>30</v>
      </c>
      <c r="E14" s="81" t="n">
        <v>23</v>
      </c>
      <c r="F14" s="81">
        <f>D14+E14</f>
        <v/>
      </c>
      <c r="G14" s="22">
        <f>IF((D14/$D$6)&gt;=$D$7,1,0)</f>
        <v/>
      </c>
      <c r="H14" s="23">
        <f>IF((E14/$E$6)&gt;=$E$7,1,0)</f>
        <v/>
      </c>
    </row>
    <row r="15" ht="19.5" customHeight="1" s="98">
      <c r="A15" s="20" t="n">
        <v>8</v>
      </c>
      <c r="B15" s="79" t="inlineStr">
        <is>
          <t>23ETCCS008</t>
        </is>
      </c>
      <c r="C15" s="78" t="inlineStr">
        <is>
          <t>ANISHKA RANAWAT</t>
        </is>
      </c>
      <c r="D15" s="81" t="n">
        <v>44</v>
      </c>
      <c r="E15" s="81" t="n">
        <v>27</v>
      </c>
      <c r="F15" s="81">
        <f>D15+E15</f>
        <v/>
      </c>
      <c r="G15" s="22">
        <f>IF((D15/$D$6)&gt;=$D$7,1,0)</f>
        <v/>
      </c>
      <c r="H15" s="23">
        <f>IF((E15/$E$6)&gt;=$E$7,1,0)</f>
        <v/>
      </c>
    </row>
    <row r="16" ht="19.5" customHeight="1" s="98">
      <c r="A16" s="20" t="n">
        <v>9</v>
      </c>
      <c r="B16" s="76" t="inlineStr">
        <is>
          <t>23ETCCS009</t>
        </is>
      </c>
      <c r="C16" s="77" t="inlineStr">
        <is>
          <t>ANJEL NATHAN</t>
        </is>
      </c>
      <c r="D16" s="81" t="n">
        <v>44</v>
      </c>
      <c r="E16" s="81" t="n">
        <v>25</v>
      </c>
      <c r="F16" s="81">
        <f>D16+E16</f>
        <v/>
      </c>
      <c r="G16" s="22">
        <f>IF((D16/$D$6)&gt;=$D$7,1,0)</f>
        <v/>
      </c>
      <c r="H16" s="23">
        <f>IF((E16/$E$6)&gt;=$E$7,1,0)</f>
        <v/>
      </c>
    </row>
    <row r="17" ht="19.5" customHeight="1" s="98">
      <c r="A17" s="20" t="n">
        <v>10</v>
      </c>
      <c r="B17" s="76" t="inlineStr">
        <is>
          <t>23ETCCS010</t>
        </is>
      </c>
      <c r="C17" s="77" t="inlineStr">
        <is>
          <t>AQSA MAKRANI</t>
        </is>
      </c>
      <c r="D17" s="81" t="n">
        <v>32</v>
      </c>
      <c r="E17" s="81" t="n">
        <v>23</v>
      </c>
      <c r="F17" s="81">
        <f>D17+E17</f>
        <v/>
      </c>
      <c r="G17" s="22">
        <f>IF((D17/$D$6)&gt;=$D$7,1,0)</f>
        <v/>
      </c>
      <c r="H17" s="23">
        <f>IF((E17/$E$6)&gt;=$E$7,1,0)</f>
        <v/>
      </c>
    </row>
    <row r="18" ht="19.5" customHeight="1" s="98">
      <c r="A18" s="20" t="n">
        <v>11</v>
      </c>
      <c r="B18" s="76" t="inlineStr">
        <is>
          <t>23ETCCS011</t>
        </is>
      </c>
      <c r="C18" s="77" t="inlineStr">
        <is>
          <t>ARIHANT KOTHARI</t>
        </is>
      </c>
      <c r="D18" s="81" t="n">
        <v>37</v>
      </c>
      <c r="E18" s="81" t="n">
        <v>30</v>
      </c>
      <c r="F18" s="81">
        <f>D18+E18</f>
        <v/>
      </c>
      <c r="G18" s="22">
        <f>IF((D18/$D$6)&gt;=$D$7,1,0)</f>
        <v/>
      </c>
      <c r="H18" s="23">
        <f>IF((E18/$E$6)&gt;=$E$7,1,0)</f>
        <v/>
      </c>
    </row>
    <row r="19" ht="19.5" customHeight="1" s="98">
      <c r="A19" s="20" t="n">
        <v>12</v>
      </c>
      <c r="B19" s="76" t="inlineStr">
        <is>
          <t>23ETCCS012</t>
        </is>
      </c>
      <c r="C19" s="77" t="inlineStr">
        <is>
          <t>ARYAN KUMAR SHRIVASTAVA</t>
        </is>
      </c>
      <c r="D19" s="81" t="n">
        <v>23</v>
      </c>
      <c r="E19" s="81" t="n">
        <v>26</v>
      </c>
      <c r="F19" s="81">
        <f>D19+E19</f>
        <v/>
      </c>
      <c r="G19" s="22">
        <f>IF((D19/$D$6)&gt;=$D$7,1,0)</f>
        <v/>
      </c>
      <c r="H19" s="23">
        <f>IF((E19/$E$6)&gt;=$E$7,1,0)</f>
        <v/>
      </c>
    </row>
    <row r="20" ht="19.5" customHeight="1" s="98">
      <c r="A20" s="20" t="n">
        <v>13</v>
      </c>
      <c r="B20" s="76" t="inlineStr">
        <is>
          <t>23ETCCS013</t>
        </is>
      </c>
      <c r="C20" s="77" t="inlineStr">
        <is>
          <t>ARYAN SHARMA</t>
        </is>
      </c>
      <c r="D20" s="81" t="n">
        <v>26</v>
      </c>
      <c r="E20" s="81" t="n">
        <v>24</v>
      </c>
      <c r="F20" s="81">
        <f>D20+E20</f>
        <v/>
      </c>
      <c r="G20" s="22">
        <f>IF((D20/$D$6)&gt;=$D$7,1,0)</f>
        <v/>
      </c>
      <c r="H20" s="23">
        <f>IF((E20/$E$6)&gt;=$E$7,1,0)</f>
        <v/>
      </c>
    </row>
    <row r="21" ht="19.5" customHeight="1" s="98">
      <c r="A21" s="20" t="n">
        <v>14</v>
      </c>
      <c r="B21" s="76" t="inlineStr">
        <is>
          <t>23ETCCS014</t>
        </is>
      </c>
      <c r="C21" s="77" t="inlineStr">
        <is>
          <t>ASHOK SUTHAR</t>
        </is>
      </c>
      <c r="D21" s="81" t="n">
        <v>29</v>
      </c>
      <c r="E21" s="81" t="n">
        <v>24</v>
      </c>
      <c r="F21" s="81">
        <f>D21+E21</f>
        <v/>
      </c>
      <c r="G21" s="22">
        <f>IF((D21/$D$6)&gt;=$D$7,1,0)</f>
        <v/>
      </c>
      <c r="H21" s="23">
        <f>IF((E21/$E$6)&gt;=$E$7,1,0)</f>
        <v/>
      </c>
    </row>
    <row r="22" ht="19.5" customHeight="1" s="98">
      <c r="A22" s="20" t="n">
        <v>15</v>
      </c>
      <c r="B22" s="76" t="inlineStr">
        <is>
          <t>23ETCCS015</t>
        </is>
      </c>
      <c r="C22" s="77" t="inlineStr">
        <is>
          <t>ASHWIN RAJ SINGH CHOUHAN</t>
        </is>
      </c>
      <c r="D22" s="81" t="n">
        <v>25</v>
      </c>
      <c r="E22" s="81" t="n">
        <v>18</v>
      </c>
      <c r="F22" s="81">
        <f>D22+E22</f>
        <v/>
      </c>
      <c r="G22" s="22">
        <f>IF((D22/$D$6)&gt;=$D$7,1,0)</f>
        <v/>
      </c>
      <c r="H22" s="23">
        <f>IF((E22/$E$6)&gt;=$E$7,1,0)</f>
        <v/>
      </c>
    </row>
    <row r="23" ht="19.5" customHeight="1" s="98">
      <c r="A23" s="20" t="n">
        <v>16</v>
      </c>
      <c r="B23" s="76" t="inlineStr">
        <is>
          <t>23ETCCS016</t>
        </is>
      </c>
      <c r="C23" s="77" t="inlineStr">
        <is>
          <t>BHARAT PRAJAPAT</t>
        </is>
      </c>
      <c r="D23" s="81" t="n">
        <v>52</v>
      </c>
      <c r="E23" s="81" t="n">
        <v>30</v>
      </c>
      <c r="F23" s="81">
        <f>D23+E23</f>
        <v/>
      </c>
      <c r="G23" s="22">
        <f>IF((D23/$D$6)&gt;=$D$7,1,0)</f>
        <v/>
      </c>
      <c r="H23" s="23">
        <f>IF((E23/$E$6)&gt;=$E$7,1,0)</f>
        <v/>
      </c>
    </row>
    <row r="24" ht="19.5" customHeight="1" s="98">
      <c r="A24" s="20" t="n">
        <v>17</v>
      </c>
      <c r="B24" s="76" t="inlineStr">
        <is>
          <t>23ETCCS017</t>
        </is>
      </c>
      <c r="C24" s="77" t="inlineStr">
        <is>
          <t>BHAVESH GURJAR</t>
        </is>
      </c>
      <c r="D24" s="81" t="n">
        <v>42</v>
      </c>
      <c r="E24" s="81" t="n">
        <v>25</v>
      </c>
      <c r="F24" s="81">
        <f>D24+E24</f>
        <v/>
      </c>
      <c r="G24" s="22">
        <f>IF((D24/$D$6)&gt;=$D$7,1,0)</f>
        <v/>
      </c>
      <c r="H24" s="23">
        <f>IF((E24/$E$6)&gt;=$E$7,1,0)</f>
        <v/>
      </c>
    </row>
    <row r="25" ht="19.5" customHeight="1" s="98">
      <c r="A25" s="20" t="n">
        <v>18</v>
      </c>
      <c r="B25" s="76" t="inlineStr">
        <is>
          <t>23ETCCS018</t>
        </is>
      </c>
      <c r="C25" s="77" t="inlineStr">
        <is>
          <t>BHAVESH SUTHAR</t>
        </is>
      </c>
      <c r="D25" s="81" t="n">
        <v>42</v>
      </c>
      <c r="E25" s="81" t="n">
        <v>27</v>
      </c>
      <c r="F25" s="81">
        <f>D25+E25</f>
        <v/>
      </c>
      <c r="G25" s="22">
        <f>IF((D25/$D$6)&gt;=$D$7,1,0)</f>
        <v/>
      </c>
      <c r="H25" s="23">
        <f>IF((E25/$E$6)&gt;=$E$7,1,0)</f>
        <v/>
      </c>
    </row>
    <row r="26" ht="19.5" customHeight="1" s="98">
      <c r="A26" s="20" t="n">
        <v>19</v>
      </c>
      <c r="B26" s="76" t="inlineStr">
        <is>
          <t>23ETCCS019</t>
        </is>
      </c>
      <c r="C26" s="77" t="inlineStr">
        <is>
          <t>BHAVISHYA PALIWAL</t>
        </is>
      </c>
      <c r="D26" s="81" t="n">
        <v>40</v>
      </c>
      <c r="E26" s="81" t="n">
        <v>30</v>
      </c>
      <c r="F26" s="81">
        <f>D26+E26</f>
        <v/>
      </c>
      <c r="G26" s="22">
        <f>IF((D26/$D$6)&gt;=$D$7,1,0)</f>
        <v/>
      </c>
      <c r="H26" s="23">
        <f>IF((E26/$E$6)&gt;=$E$7,1,0)</f>
        <v/>
      </c>
    </row>
    <row r="27" ht="19.5" customHeight="1" s="98">
      <c r="A27" s="20" t="n">
        <v>20</v>
      </c>
      <c r="B27" s="76" t="inlineStr">
        <is>
          <t>23ETCCS020</t>
        </is>
      </c>
      <c r="C27" s="77" t="inlineStr">
        <is>
          <t>BHAVY BAID</t>
        </is>
      </c>
      <c r="D27" s="81" t="n">
        <v>57</v>
      </c>
      <c r="E27" s="81" t="n">
        <v>30</v>
      </c>
      <c r="F27" s="81">
        <f>D27+E27</f>
        <v/>
      </c>
      <c r="G27" s="22">
        <f>IF((D27/$D$6)&gt;=$D$7,1,0)</f>
        <v/>
      </c>
      <c r="H27" s="23">
        <f>IF((E27/$E$6)&gt;=$E$7,1,0)</f>
        <v/>
      </c>
    </row>
    <row r="28" ht="19.5" customHeight="1" s="98">
      <c r="A28" s="20" t="n">
        <v>21</v>
      </c>
      <c r="B28" s="76" t="inlineStr">
        <is>
          <t>23ETCCS021</t>
        </is>
      </c>
      <c r="C28" s="77" t="inlineStr">
        <is>
          <t>BHAVY SARVA</t>
        </is>
      </c>
      <c r="D28" s="81" t="n">
        <v>37</v>
      </c>
      <c r="E28" s="81" t="n">
        <v>25</v>
      </c>
      <c r="F28" s="81">
        <f>D28+E28</f>
        <v/>
      </c>
      <c r="G28" s="22">
        <f>IF((D28/$D$6)&gt;=$D$7,1,0)</f>
        <v/>
      </c>
      <c r="H28" s="23">
        <f>IF((E28/$E$6)&gt;=$E$7,1,0)</f>
        <v/>
      </c>
    </row>
    <row r="29" ht="19.5" customHeight="1" s="98">
      <c r="A29" s="20" t="n">
        <v>22</v>
      </c>
      <c r="B29" s="76" t="inlineStr">
        <is>
          <t>23ETCCS022</t>
        </is>
      </c>
      <c r="C29" s="77" t="inlineStr">
        <is>
          <t>BHAVYARAJ SHRIMALI</t>
        </is>
      </c>
      <c r="D29" s="81" t="n">
        <v>26</v>
      </c>
      <c r="E29" s="81" t="n">
        <v>26</v>
      </c>
      <c r="F29" s="81">
        <f>D29+E29</f>
        <v/>
      </c>
      <c r="G29" s="22">
        <f>IF((D29/$D$6)&gt;=$D$7,1,0)</f>
        <v/>
      </c>
      <c r="H29" s="23">
        <f>IF((E29/$E$6)&gt;=$E$7,1,0)</f>
        <v/>
      </c>
    </row>
    <row r="30" ht="19.5" customHeight="1" s="98">
      <c r="A30" s="20" t="n">
        <v>23</v>
      </c>
      <c r="B30" s="76" t="inlineStr">
        <is>
          <t>23ETCCS023</t>
        </is>
      </c>
      <c r="C30" s="77" t="inlineStr">
        <is>
          <t>BHUMI PALIWAL</t>
        </is>
      </c>
      <c r="D30" s="81" t="n">
        <v>31</v>
      </c>
      <c r="E30" s="81" t="n">
        <v>27</v>
      </c>
      <c r="F30" s="81">
        <f>D30+E30</f>
        <v/>
      </c>
      <c r="G30" s="22">
        <f>IF((D30/$D$6)&gt;=$D$7,1,0)</f>
        <v/>
      </c>
      <c r="H30" s="23">
        <f>IF((E30/$E$6)&gt;=$E$7,1,0)</f>
        <v/>
      </c>
    </row>
    <row r="31" ht="19.5" customHeight="1" s="98">
      <c r="A31" s="20" t="n">
        <v>24</v>
      </c>
      <c r="B31" s="76" t="inlineStr">
        <is>
          <t>23ETCCS024</t>
        </is>
      </c>
      <c r="C31" s="77" t="inlineStr">
        <is>
          <t>CHINMAY TRIVEDI</t>
        </is>
      </c>
      <c r="D31" s="81" t="n">
        <v>18</v>
      </c>
      <c r="E31" s="81" t="n">
        <v>20</v>
      </c>
      <c r="F31" s="81">
        <f>D31+E31</f>
        <v/>
      </c>
      <c r="G31" s="22">
        <f>IF((D31/$D$6)&gt;=$D$7,1,0)</f>
        <v/>
      </c>
      <c r="H31" s="23">
        <f>IF((E31/$E$6)&gt;=$E$7,1,0)</f>
        <v/>
      </c>
    </row>
    <row r="32" ht="19.5" customHeight="1" s="98">
      <c r="A32" s="20" t="n">
        <v>25</v>
      </c>
      <c r="B32" s="76" t="inlineStr">
        <is>
          <t>23ETCCS025</t>
        </is>
      </c>
      <c r="C32" s="77" t="inlineStr">
        <is>
          <t>DARAKSHAN KHAN</t>
        </is>
      </c>
      <c r="D32" s="81" t="n">
        <v>45</v>
      </c>
      <c r="E32" s="81" t="n">
        <v>25</v>
      </c>
      <c r="F32" s="81">
        <f>D32+E32</f>
        <v/>
      </c>
      <c r="G32" s="22">
        <f>IF((D32/$D$6)&gt;=$D$7,1,0)</f>
        <v/>
      </c>
      <c r="H32" s="23">
        <f>IF((E32/$E$6)&gt;=$E$7,1,0)</f>
        <v/>
      </c>
    </row>
    <row r="33" ht="19.5" customHeight="1" s="98">
      <c r="A33" s="20" t="n">
        <v>26</v>
      </c>
      <c r="B33" s="76" t="inlineStr">
        <is>
          <t>23ETCCS026</t>
        </is>
      </c>
      <c r="C33" s="77" t="inlineStr">
        <is>
          <t>DASHRATH JANWA</t>
        </is>
      </c>
      <c r="D33" s="81" t="n">
        <v>35</v>
      </c>
      <c r="E33" s="81" t="n">
        <v>22</v>
      </c>
      <c r="F33" s="81">
        <f>D33+E33</f>
        <v/>
      </c>
      <c r="G33" s="22">
        <f>IF((D33/$D$6)&gt;=$D$7,1,0)</f>
        <v/>
      </c>
      <c r="H33" s="23">
        <f>IF((E33/$E$6)&gt;=$E$7,1,0)</f>
        <v/>
      </c>
    </row>
    <row r="34" ht="19.5" customHeight="1" s="98">
      <c r="A34" s="20" t="n">
        <v>27</v>
      </c>
      <c r="B34" s="76" t="inlineStr">
        <is>
          <t>23ETCCS027</t>
        </is>
      </c>
      <c r="C34" s="77" t="inlineStr">
        <is>
          <t>DEEPAK SAINI</t>
        </is>
      </c>
      <c r="D34" s="81" t="n">
        <v>47</v>
      </c>
      <c r="E34" s="81" t="n">
        <v>28</v>
      </c>
      <c r="F34" s="81">
        <f>D34+E34</f>
        <v/>
      </c>
      <c r="G34" s="22">
        <f>IF((D34/$D$6)&gt;=$D$7,1,0)</f>
        <v/>
      </c>
      <c r="H34" s="23">
        <f>IF((E34/$E$6)&gt;=$E$7,1,0)</f>
        <v/>
      </c>
    </row>
    <row r="35" ht="19.5" customHeight="1" s="98">
      <c r="A35" s="20" t="n">
        <v>28</v>
      </c>
      <c r="B35" s="76" t="inlineStr">
        <is>
          <t>23ETCCS028</t>
        </is>
      </c>
      <c r="C35" s="77" t="inlineStr">
        <is>
          <t>DEVENDRA SINGH</t>
        </is>
      </c>
      <c r="D35" s="81" t="n">
        <v>19</v>
      </c>
      <c r="E35" s="81" t="n">
        <v>23</v>
      </c>
      <c r="F35" s="81">
        <f>D35+E35</f>
        <v/>
      </c>
      <c r="G35" s="22">
        <f>IF((D35/$D$6)&gt;=$D$7,1,0)</f>
        <v/>
      </c>
      <c r="H35" s="23">
        <f>IF((E35/$E$6)&gt;=$E$7,1,0)</f>
        <v/>
      </c>
    </row>
    <row r="36" ht="19.5" customHeight="1" s="98">
      <c r="A36" s="20" t="n">
        <v>29</v>
      </c>
      <c r="B36" s="76" t="inlineStr">
        <is>
          <t>23ETCCS029</t>
        </is>
      </c>
      <c r="C36" s="77" t="inlineStr">
        <is>
          <t>DEVIKA SAJEEV</t>
        </is>
      </c>
      <c r="D36" s="81" t="n">
        <v>48</v>
      </c>
      <c r="E36" s="81" t="n">
        <v>30</v>
      </c>
      <c r="F36" s="81">
        <f>D36+E36</f>
        <v/>
      </c>
      <c r="G36" s="22">
        <f>IF((D36/$D$6)&gt;=$D$7,1,0)</f>
        <v/>
      </c>
      <c r="H36" s="23">
        <f>IF((E36/$E$6)&gt;=$E$7,1,0)</f>
        <v/>
      </c>
    </row>
    <row r="37" ht="19.5" customHeight="1" s="98">
      <c r="A37" s="20" t="n">
        <v>30</v>
      </c>
      <c r="B37" s="76" t="inlineStr">
        <is>
          <t>23ETCCS030</t>
        </is>
      </c>
      <c r="C37" s="77" t="inlineStr">
        <is>
          <t>DHRUV AMETA</t>
        </is>
      </c>
      <c r="D37" s="81" t="n">
        <v>24</v>
      </c>
      <c r="E37" s="81" t="n">
        <v>16</v>
      </c>
      <c r="F37" s="81">
        <f>D37+E37</f>
        <v/>
      </c>
      <c r="G37" s="22">
        <f>IF((D37/$D$6)&gt;=$D$7,1,0)</f>
        <v/>
      </c>
      <c r="H37" s="23">
        <f>IF((E37/$E$6)&gt;=$E$7,1,0)</f>
        <v/>
      </c>
    </row>
    <row r="38" ht="19.5" customHeight="1" s="98">
      <c r="A38" s="20" t="n">
        <v>31</v>
      </c>
      <c r="B38" s="76" t="inlineStr">
        <is>
          <t>23ETCCS031</t>
        </is>
      </c>
      <c r="C38" s="77" t="inlineStr">
        <is>
          <t>DIBYOJYOTI BAL</t>
        </is>
      </c>
      <c r="D38" s="81" t="n">
        <v>22</v>
      </c>
      <c r="E38" s="81" t="n">
        <v>23</v>
      </c>
      <c r="F38" s="81">
        <f>D38+E38</f>
        <v/>
      </c>
      <c r="G38" s="22">
        <f>IF((D38/$D$6)&gt;=$D$7,1,0)</f>
        <v/>
      </c>
      <c r="H38" s="23">
        <f>IF((E38/$E$6)&gt;=$E$7,1,0)</f>
        <v/>
      </c>
    </row>
    <row r="39" ht="19.5" customHeight="1" s="98">
      <c r="A39" s="20" t="n">
        <v>32</v>
      </c>
      <c r="B39" s="76" t="inlineStr">
        <is>
          <t>23ETCCS032</t>
        </is>
      </c>
      <c r="C39" s="77" t="inlineStr">
        <is>
          <t>DIKSHIT SUTHAR</t>
        </is>
      </c>
      <c r="D39" s="81" t="n">
        <v>13</v>
      </c>
      <c r="E39" s="81" t="n">
        <v>23</v>
      </c>
      <c r="F39" s="81">
        <f>D39+E39</f>
        <v/>
      </c>
      <c r="G39" s="22">
        <f>IF((D39/$D$6)&gt;=$D$7,1,0)</f>
        <v/>
      </c>
      <c r="H39" s="23">
        <f>IF((E39/$E$6)&gt;=$E$7,1,0)</f>
        <v/>
      </c>
    </row>
    <row r="40" ht="19.5" customHeight="1" s="98">
      <c r="A40" s="20" t="n">
        <v>33</v>
      </c>
      <c r="B40" s="76" t="inlineStr">
        <is>
          <t>23ETCCS033</t>
        </is>
      </c>
      <c r="C40" s="77" t="inlineStr">
        <is>
          <t>DISHI GUPTA</t>
        </is>
      </c>
      <c r="D40" s="81" t="n">
        <v>48</v>
      </c>
      <c r="E40" s="81" t="n">
        <v>30</v>
      </c>
      <c r="F40" s="81">
        <f>D40+E40</f>
        <v/>
      </c>
      <c r="G40" s="22">
        <f>IF((D40/$D$6)&gt;=$D$7,1,0)</f>
        <v/>
      </c>
      <c r="H40" s="23">
        <f>IF((E40/$E$6)&gt;=$E$7,1,0)</f>
        <v/>
      </c>
    </row>
    <row r="41" ht="19.5" customHeight="1" s="98">
      <c r="A41" s="20" t="n">
        <v>34</v>
      </c>
      <c r="B41" s="76" t="inlineStr">
        <is>
          <t>23ETCCS034</t>
        </is>
      </c>
      <c r="C41" s="77" t="inlineStr">
        <is>
          <t>DISHITA JAIN</t>
        </is>
      </c>
      <c r="D41" s="81" t="n">
        <v>30</v>
      </c>
      <c r="E41" s="81" t="n">
        <v>25</v>
      </c>
      <c r="F41" s="81">
        <f>D41+E41</f>
        <v/>
      </c>
      <c r="G41" s="22">
        <f>IF((D41/$D$6)&gt;=$D$7,1,0)</f>
        <v/>
      </c>
      <c r="H41" s="23">
        <f>IF((E41/$E$6)&gt;=$E$7,1,0)</f>
        <v/>
      </c>
    </row>
    <row r="42" ht="19.5" customHeight="1" s="98">
      <c r="A42" s="20" t="n">
        <v>35</v>
      </c>
      <c r="B42" s="76" t="inlineStr">
        <is>
          <t>23ETCCS035</t>
        </is>
      </c>
      <c r="C42" s="77" t="inlineStr">
        <is>
          <t>DIVYANSH BOLIA</t>
        </is>
      </c>
      <c r="D42" s="81" t="n">
        <v>28</v>
      </c>
      <c r="E42" s="81" t="n">
        <v>16</v>
      </c>
      <c r="F42" s="81">
        <f>D42+E42</f>
        <v/>
      </c>
      <c r="G42" s="22">
        <f>IF((D42/$D$6)&gt;=$D$7,1,0)</f>
        <v/>
      </c>
      <c r="H42" s="23">
        <f>IF((E42/$E$6)&gt;=$E$7,1,0)</f>
        <v/>
      </c>
    </row>
    <row r="43" ht="19.5" customHeight="1" s="98">
      <c r="A43" s="20" t="n">
        <v>36</v>
      </c>
      <c r="B43" s="76" t="inlineStr">
        <is>
          <t>23ETCCS036</t>
        </is>
      </c>
      <c r="C43" s="77" t="inlineStr">
        <is>
          <t>DIVYANSHU RAJ TAILOR</t>
        </is>
      </c>
      <c r="D43" s="81" t="n">
        <v>29</v>
      </c>
      <c r="E43" s="81" t="n">
        <v>24</v>
      </c>
      <c r="F43" s="81">
        <f>D43+E43</f>
        <v/>
      </c>
      <c r="G43" s="22">
        <f>IF((D43/$D$6)&gt;=$D$7,1,0)</f>
        <v/>
      </c>
      <c r="H43" s="23">
        <f>IF((E43/$E$6)&gt;=$E$7,1,0)</f>
        <v/>
      </c>
    </row>
    <row r="44" ht="19.5" customHeight="1" s="98">
      <c r="A44" s="20" t="n">
        <v>37</v>
      </c>
      <c r="B44" s="76" t="inlineStr">
        <is>
          <t>23ETCCS037</t>
        </is>
      </c>
      <c r="C44" s="77" t="inlineStr">
        <is>
          <t>GAURAV JOSHI</t>
        </is>
      </c>
      <c r="D44" s="81" t="n">
        <v>30</v>
      </c>
      <c r="E44" s="81" t="n">
        <v>26</v>
      </c>
      <c r="F44" s="81">
        <f>D44+E44</f>
        <v/>
      </c>
      <c r="G44" s="22">
        <f>IF((D44/$D$6)&gt;=$D$7,1,0)</f>
        <v/>
      </c>
      <c r="H44" s="23">
        <f>IF((E44/$E$6)&gt;=$E$7,1,0)</f>
        <v/>
      </c>
    </row>
    <row r="45" ht="19.5" customHeight="1" s="98">
      <c r="A45" s="20" t="n">
        <v>38</v>
      </c>
      <c r="B45" s="76" t="inlineStr">
        <is>
          <t>23ETCCS038</t>
        </is>
      </c>
      <c r="C45" s="77" t="inlineStr">
        <is>
          <t>GITIKA TRIVEDI</t>
        </is>
      </c>
      <c r="D45" s="81" t="n">
        <v>33</v>
      </c>
      <c r="E45" s="81" t="n">
        <v>24</v>
      </c>
      <c r="F45" s="81">
        <f>D45+E45</f>
        <v/>
      </c>
      <c r="G45" s="22">
        <f>IF((D45/$D$6)&gt;=$D$7,1,0)</f>
        <v/>
      </c>
      <c r="H45" s="23">
        <f>IF((E45/$E$6)&gt;=$E$7,1,0)</f>
        <v/>
      </c>
    </row>
    <row r="46" ht="19.5" customHeight="1" s="98">
      <c r="A46" s="20" t="n">
        <v>39</v>
      </c>
      <c r="B46" s="76" t="inlineStr">
        <is>
          <t>23ETCCS039</t>
        </is>
      </c>
      <c r="C46" s="77" t="inlineStr">
        <is>
          <t>GOURAV CHANDALIYA</t>
        </is>
      </c>
      <c r="D46" s="81" t="n">
        <v>44</v>
      </c>
      <c r="E46" s="81" t="n">
        <v>27</v>
      </c>
      <c r="F46" s="81">
        <f>D46+E46</f>
        <v/>
      </c>
      <c r="G46" s="22">
        <f>IF((D46/$D$6)&gt;=$D$7,1,0)</f>
        <v/>
      </c>
      <c r="H46" s="23">
        <f>IF((E46/$E$6)&gt;=$E$7,1,0)</f>
        <v/>
      </c>
    </row>
    <row r="47" ht="19.5" customHeight="1" s="98">
      <c r="A47" s="20" t="n">
        <v>40</v>
      </c>
      <c r="B47" s="76" t="inlineStr">
        <is>
          <t>23ETCCS040</t>
        </is>
      </c>
      <c r="C47" s="77" t="inlineStr">
        <is>
          <t>GOURI SHRIMALI</t>
        </is>
      </c>
      <c r="D47" s="81" t="n">
        <v>31</v>
      </c>
      <c r="E47" s="81" t="n">
        <v>25</v>
      </c>
      <c r="F47" s="81">
        <f>D47+E47</f>
        <v/>
      </c>
      <c r="G47" s="22">
        <f>IF((D47/$D$6)&gt;=$D$7,1,0)</f>
        <v/>
      </c>
      <c r="H47" s="23">
        <f>IF((E47/$E$6)&gt;=$E$7,1,0)</f>
        <v/>
      </c>
    </row>
    <row r="48" ht="19.5" customHeight="1" s="98">
      <c r="A48" s="20" t="n">
        <v>41</v>
      </c>
      <c r="B48" s="76" t="inlineStr">
        <is>
          <t>23ETCCS041</t>
        </is>
      </c>
      <c r="C48" s="77" t="inlineStr">
        <is>
          <t>GURJAR NIKUNJ GIRDHARLAL</t>
        </is>
      </c>
      <c r="D48" s="81" t="n">
        <v>23</v>
      </c>
      <c r="E48" s="81" t="n">
        <v>26</v>
      </c>
      <c r="F48" s="81">
        <f>D48+E48</f>
        <v/>
      </c>
      <c r="G48" s="22">
        <f>IF((D48/$D$6)&gt;=$D$7,1,0)</f>
        <v/>
      </c>
      <c r="H48" s="23">
        <f>IF((E48/$E$6)&gt;=$E$7,1,0)</f>
        <v/>
      </c>
    </row>
    <row r="49" ht="19.5" customHeight="1" s="98">
      <c r="A49" s="20" t="n">
        <v>42</v>
      </c>
      <c r="B49" s="76" t="inlineStr">
        <is>
          <t>23ETCCS042</t>
        </is>
      </c>
      <c r="C49" s="77" t="inlineStr">
        <is>
          <t>HARIDRUMAD SINGH JHALA</t>
        </is>
      </c>
      <c r="D49" s="81" t="n">
        <v>34</v>
      </c>
      <c r="E49" s="81" t="n">
        <v>24</v>
      </c>
      <c r="F49" s="81">
        <f>D49+E49</f>
        <v/>
      </c>
      <c r="G49" s="22">
        <f>IF((D49/$D$6)&gt;=$D$7,1,0)</f>
        <v/>
      </c>
      <c r="H49" s="23">
        <f>IF((E49/$E$6)&gt;=$E$7,1,0)</f>
        <v/>
      </c>
    </row>
    <row r="50" ht="19.5" customHeight="1" s="98">
      <c r="A50" s="20" t="n">
        <v>43</v>
      </c>
      <c r="B50" s="76" t="inlineStr">
        <is>
          <t>23ETCCS043</t>
        </is>
      </c>
      <c r="C50" s="77" t="inlineStr">
        <is>
          <t>HARSH KUMAWAT</t>
        </is>
      </c>
      <c r="D50" s="81" t="n">
        <v>26</v>
      </c>
      <c r="E50" s="81" t="n">
        <v>22</v>
      </c>
      <c r="F50" s="81">
        <f>D50+E50</f>
        <v/>
      </c>
      <c r="G50" s="22">
        <f>IF((D50/$D$6)&gt;=$D$7,1,0)</f>
        <v/>
      </c>
      <c r="H50" s="23">
        <f>IF((E50/$E$6)&gt;=$E$7,1,0)</f>
        <v/>
      </c>
    </row>
    <row r="51" ht="19.5" customHeight="1" s="98">
      <c r="A51" s="20" t="n">
        <v>44</v>
      </c>
      <c r="B51" s="76" t="inlineStr">
        <is>
          <t>23ETCCS044</t>
        </is>
      </c>
      <c r="C51" s="77" t="inlineStr">
        <is>
          <t>HASMUKH SUTHAR</t>
        </is>
      </c>
      <c r="D51" s="81" t="n">
        <v>22</v>
      </c>
      <c r="E51" s="81" t="n">
        <v>24</v>
      </c>
      <c r="F51" s="81">
        <f>D51+E51</f>
        <v/>
      </c>
      <c r="G51" s="22">
        <f>IF((D51/$D$6)&gt;=$D$7,1,0)</f>
        <v/>
      </c>
      <c r="H51" s="23">
        <f>IF((E51/$E$6)&gt;=$E$7,1,0)</f>
        <v/>
      </c>
    </row>
    <row r="52" ht="19.5" customHeight="1" s="98">
      <c r="A52" s="20" t="n">
        <v>45</v>
      </c>
      <c r="B52" s="76" t="inlineStr">
        <is>
          <t>23ETCCS045</t>
        </is>
      </c>
      <c r="C52" s="77" t="inlineStr">
        <is>
          <t>HIMANSHI AGARWAL</t>
        </is>
      </c>
      <c r="D52" s="81" t="n">
        <v>44</v>
      </c>
      <c r="E52" s="81" t="n">
        <v>26</v>
      </c>
      <c r="F52" s="81">
        <f>D52+E52</f>
        <v/>
      </c>
      <c r="G52" s="22">
        <f>IF((D52/$D$6)&gt;=$D$7,1,0)</f>
        <v/>
      </c>
      <c r="H52" s="23">
        <f>IF((E52/$E$6)&gt;=$E$7,1,0)</f>
        <v/>
      </c>
    </row>
    <row r="53" ht="19.5" customHeight="1" s="98">
      <c r="A53" s="20" t="n">
        <v>46</v>
      </c>
      <c r="B53" s="76" t="inlineStr">
        <is>
          <t>23ETCCS046</t>
        </is>
      </c>
      <c r="C53" s="77" t="inlineStr">
        <is>
          <t>HIMESH SHRIMALI</t>
        </is>
      </c>
      <c r="D53" s="81" t="n">
        <v>48</v>
      </c>
      <c r="E53" s="81" t="n">
        <v>25</v>
      </c>
      <c r="F53" s="81">
        <f>D53+E53</f>
        <v/>
      </c>
      <c r="G53" s="22">
        <f>IF((D53/$D$6)&gt;=$D$7,1,0)</f>
        <v/>
      </c>
      <c r="H53" s="23">
        <f>IF((E53/$E$6)&gt;=$E$7,1,0)</f>
        <v/>
      </c>
    </row>
    <row r="54" ht="19.5" customHeight="1" s="98">
      <c r="A54" s="20" t="n">
        <v>47</v>
      </c>
      <c r="B54" s="76" t="inlineStr">
        <is>
          <t>23ETCCS047</t>
        </is>
      </c>
      <c r="C54" s="77" t="inlineStr">
        <is>
          <t>HIYA KARANPURIA</t>
        </is>
      </c>
      <c r="D54" s="81" t="n">
        <v>29</v>
      </c>
      <c r="E54" s="81" t="n">
        <v>27</v>
      </c>
      <c r="F54" s="81">
        <f>D54+E54</f>
        <v/>
      </c>
      <c r="G54" s="22">
        <f>IF((D54/$D$6)&gt;=$D$7,1,0)</f>
        <v/>
      </c>
      <c r="H54" s="23">
        <f>IF((E54/$E$6)&gt;=$E$7,1,0)</f>
        <v/>
      </c>
    </row>
    <row r="55" ht="19.5" customHeight="1" s="98">
      <c r="A55" s="20" t="n">
        <v>48</v>
      </c>
      <c r="B55" s="76" t="inlineStr">
        <is>
          <t>23ETCCS048</t>
        </is>
      </c>
      <c r="C55" s="77" t="inlineStr">
        <is>
          <t>ISHWAR SONI</t>
        </is>
      </c>
      <c r="D55" s="81" t="n">
        <v>23</v>
      </c>
      <c r="E55" s="81" t="n">
        <v>24</v>
      </c>
      <c r="F55" s="81">
        <f>D55+E55</f>
        <v/>
      </c>
      <c r="G55" s="22">
        <f>IF((D55/$D$6)&gt;=$D$7,1,0)</f>
        <v/>
      </c>
      <c r="H55" s="23">
        <f>IF((E55/$E$6)&gt;=$E$7,1,0)</f>
        <v/>
      </c>
    </row>
    <row r="56" ht="19.5" customHeight="1" s="98">
      <c r="A56" s="20" t="n">
        <v>49</v>
      </c>
      <c r="B56" s="76" t="inlineStr">
        <is>
          <t>23ETCCS049</t>
        </is>
      </c>
      <c r="C56" s="77" t="inlineStr">
        <is>
          <t>IVANSHI AGRAWAL</t>
        </is>
      </c>
      <c r="D56" s="81" t="n">
        <v>24</v>
      </c>
      <c r="E56" s="81" t="n">
        <v>18</v>
      </c>
      <c r="F56" s="81">
        <f>D56+E56</f>
        <v/>
      </c>
      <c r="G56" s="22">
        <f>IF((D56/$D$6)&gt;=$D$7,1,0)</f>
        <v/>
      </c>
      <c r="H56" s="23">
        <f>IF((E56/$E$6)&gt;=$E$7,1,0)</f>
        <v/>
      </c>
    </row>
    <row r="57" ht="19.5" customHeight="1" s="98">
      <c r="A57" s="20" t="n">
        <v>50</v>
      </c>
      <c r="B57" s="76" t="inlineStr">
        <is>
          <t>23ETCCS050</t>
        </is>
      </c>
      <c r="C57" s="77" t="inlineStr">
        <is>
          <t>JAIDEEP SINGH RAO</t>
        </is>
      </c>
      <c r="D57" s="81" t="n">
        <v>55</v>
      </c>
      <c r="E57" s="81" t="n">
        <v>27</v>
      </c>
      <c r="F57" s="81">
        <f>D57+E57</f>
        <v/>
      </c>
      <c r="G57" s="22">
        <f>IF((D57/$D$6)&gt;=$D$7,1,0)</f>
        <v/>
      </c>
      <c r="H57" s="23">
        <f>IF((E57/$E$6)&gt;=$E$7,1,0)</f>
        <v/>
      </c>
    </row>
    <row r="58" ht="19.5" customHeight="1" s="98">
      <c r="A58" s="20" t="n">
        <v>51</v>
      </c>
      <c r="B58" s="76" t="inlineStr">
        <is>
          <t>23ETCCS051</t>
        </is>
      </c>
      <c r="C58" s="77" t="inlineStr">
        <is>
          <t>JAISHEEL JAIN</t>
        </is>
      </c>
      <c r="D58" s="81" t="n">
        <v>34</v>
      </c>
      <c r="E58" s="81" t="n">
        <v>28</v>
      </c>
      <c r="F58" s="81">
        <f>D58+E58</f>
        <v/>
      </c>
      <c r="G58" s="22">
        <f>IF((D58/$D$6)&gt;=$D$7,1,0)</f>
        <v/>
      </c>
      <c r="H58" s="23">
        <f>IF((E58/$E$6)&gt;=$E$7,1,0)</f>
        <v/>
      </c>
    </row>
    <row r="59" ht="19.5" customHeight="1" s="98">
      <c r="A59" s="20" t="n">
        <v>52</v>
      </c>
      <c r="B59" s="76" t="inlineStr">
        <is>
          <t>23ETCCS052</t>
        </is>
      </c>
      <c r="C59" s="77" t="inlineStr">
        <is>
          <t>JAY NIGAM</t>
        </is>
      </c>
      <c r="D59" s="81" t="n">
        <v>26</v>
      </c>
      <c r="E59" s="81" t="n">
        <v>25</v>
      </c>
      <c r="F59" s="81">
        <f>D59+E59</f>
        <v/>
      </c>
      <c r="G59" s="22">
        <f>IF((D59/$D$6)&gt;=$D$7,1,0)</f>
        <v/>
      </c>
      <c r="H59" s="23">
        <f>IF((E59/$E$6)&gt;=$E$7,1,0)</f>
        <v/>
      </c>
    </row>
    <row r="60" ht="19.5" customHeight="1" s="98">
      <c r="A60" s="20" t="n">
        <v>53</v>
      </c>
      <c r="B60" s="76" t="inlineStr">
        <is>
          <t>23ETCCS053</t>
        </is>
      </c>
      <c r="C60" s="77" t="inlineStr">
        <is>
          <t>JAY SHARMA</t>
        </is>
      </c>
      <c r="D60" s="81" t="n">
        <v>26</v>
      </c>
      <c r="E60" s="81" t="n">
        <v>24</v>
      </c>
      <c r="F60" s="81">
        <f>D60+E60</f>
        <v/>
      </c>
      <c r="G60" s="22">
        <f>IF((D60/$D$6)&gt;=$D$7,1,0)</f>
        <v/>
      </c>
      <c r="H60" s="23">
        <f>IF((E60/$E$6)&gt;=$E$7,1,0)</f>
        <v/>
      </c>
    </row>
    <row r="61" ht="19.5" customHeight="1" s="98">
      <c r="A61" s="20" t="n">
        <v>54</v>
      </c>
      <c r="B61" s="79" t="inlineStr">
        <is>
          <t>23ETCCS054</t>
        </is>
      </c>
      <c r="C61" s="78" t="inlineStr">
        <is>
          <t>JAY SINGHVI</t>
        </is>
      </c>
      <c r="D61" s="81" t="n">
        <v>44</v>
      </c>
      <c r="E61" s="81" t="n">
        <v>25</v>
      </c>
      <c r="F61" s="81">
        <f>D61+E61</f>
        <v/>
      </c>
      <c r="G61" s="22">
        <f>IF((D61/$D$6)&gt;=$D$7,1,0)</f>
        <v/>
      </c>
      <c r="H61" s="23">
        <f>IF((E61/$E$6)&gt;=$E$7,1,0)</f>
        <v/>
      </c>
    </row>
    <row r="62" ht="19.5" customHeight="1" s="98">
      <c r="A62" s="20" t="n">
        <v>55</v>
      </c>
      <c r="B62" s="76" t="inlineStr">
        <is>
          <t>23ETCCS055</t>
        </is>
      </c>
      <c r="C62" s="77" t="inlineStr">
        <is>
          <t>JAYA SINGH</t>
        </is>
      </c>
      <c r="D62" s="81" t="n">
        <v>31</v>
      </c>
      <c r="E62" s="81" t="n">
        <v>24</v>
      </c>
      <c r="F62" s="81">
        <f>D62+E62</f>
        <v/>
      </c>
      <c r="G62" s="22">
        <f>IF((D62/$D$6)&gt;=$D$7,1,0)</f>
        <v/>
      </c>
      <c r="H62" s="23">
        <f>IF((E62/$E$6)&gt;=$E$7,1,0)</f>
        <v/>
      </c>
    </row>
    <row r="63" ht="19.5" customHeight="1" s="98">
      <c r="A63" s="20" t="n">
        <v>56</v>
      </c>
      <c r="B63" s="76" t="inlineStr">
        <is>
          <t>23ETCCS056</t>
        </is>
      </c>
      <c r="C63" s="77" t="inlineStr">
        <is>
          <t>JAYAM JAIN</t>
        </is>
      </c>
      <c r="D63" s="81" t="n">
        <v>35</v>
      </c>
      <c r="E63" s="81" t="n">
        <v>23</v>
      </c>
      <c r="F63" s="81">
        <f>D63+E63</f>
        <v/>
      </c>
      <c r="G63" s="22">
        <f>IF((D63/$D$6)&gt;=$D$7,1,0)</f>
        <v/>
      </c>
      <c r="H63" s="23">
        <f>IF((E63/$E$6)&gt;=$E$7,1,0)</f>
        <v/>
      </c>
    </row>
    <row r="64" ht="19.5" customHeight="1" s="98">
      <c r="A64" s="20" t="n">
        <v>57</v>
      </c>
      <c r="B64" s="76" t="inlineStr">
        <is>
          <t>23ETCCS057</t>
        </is>
      </c>
      <c r="C64" s="77" t="inlineStr">
        <is>
          <t>JAYESH GAYRI</t>
        </is>
      </c>
      <c r="D64" s="81" t="n">
        <v>23</v>
      </c>
      <c r="E64" s="81" t="n">
        <v>25</v>
      </c>
      <c r="F64" s="81">
        <f>D64+E64</f>
        <v/>
      </c>
      <c r="G64" s="22">
        <f>IF((D64/$D$6)&gt;=$D$7,1,0)</f>
        <v/>
      </c>
      <c r="H64" s="23">
        <f>IF((E64/$E$6)&gt;=$E$7,1,0)</f>
        <v/>
      </c>
    </row>
    <row r="65" ht="19.5" customHeight="1" s="98">
      <c r="A65" s="20" t="n">
        <v>58</v>
      </c>
      <c r="B65" s="76" t="inlineStr">
        <is>
          <t>23ETCCS058</t>
        </is>
      </c>
      <c r="C65" s="77" t="inlineStr">
        <is>
          <t>JAYESH KALYANA</t>
        </is>
      </c>
      <c r="D65" s="81" t="n">
        <v>24</v>
      </c>
      <c r="E65" s="81" t="n">
        <v>24</v>
      </c>
      <c r="F65" s="81">
        <f>D65+E65</f>
        <v/>
      </c>
      <c r="G65" s="22">
        <f>IF((D65/$D$6)&gt;=$D$7,1,0)</f>
        <v/>
      </c>
      <c r="H65" s="23">
        <f>IF((E65/$E$6)&gt;=$E$7,1,0)</f>
        <v/>
      </c>
    </row>
    <row r="66" ht="19.5" customHeight="1" s="98">
      <c r="A66" s="20" t="n">
        <v>59</v>
      </c>
      <c r="B66" s="76" t="inlineStr">
        <is>
          <t>23ETCCS059</t>
        </is>
      </c>
      <c r="C66" s="77" t="inlineStr">
        <is>
          <t>KANISHK RAJAWAT</t>
        </is>
      </c>
      <c r="D66" s="81" t="n">
        <v>28</v>
      </c>
      <c r="E66" s="81" t="n">
        <v>27</v>
      </c>
      <c r="F66" s="81">
        <f>D66+E66</f>
        <v/>
      </c>
      <c r="G66" s="22">
        <f>IF((D66/$D$6)&gt;=$D$7,1,0)</f>
        <v/>
      </c>
      <c r="H66" s="23">
        <f>IF((E66/$E$6)&gt;=$E$7,1,0)</f>
        <v/>
      </c>
    </row>
    <row r="67" ht="19.5" customHeight="1" s="98">
      <c r="A67" s="20" t="n">
        <v>60</v>
      </c>
      <c r="B67" s="76" t="inlineStr">
        <is>
          <t>23ETCCS060</t>
        </is>
      </c>
      <c r="C67" s="77" t="inlineStr">
        <is>
          <t>KAVISH PATEL</t>
        </is>
      </c>
      <c r="D67" s="81" t="n">
        <v>24</v>
      </c>
      <c r="E67" s="81" t="n">
        <v>26</v>
      </c>
      <c r="F67" s="81">
        <f>D67+E67</f>
        <v/>
      </c>
      <c r="G67" s="22">
        <f>IF((D67/$D$6)&gt;=$D$7,1,0)</f>
        <v/>
      </c>
      <c r="H67" s="23">
        <f>IF((E67/$E$6)&gt;=$E$7,1,0)</f>
        <v/>
      </c>
    </row>
    <row r="68" ht="19.5" customHeight="1" s="98">
      <c r="A68" s="20" t="n">
        <v>61</v>
      </c>
      <c r="B68" s="76" t="inlineStr">
        <is>
          <t>23ETCCS061</t>
        </is>
      </c>
      <c r="C68" s="77" t="inlineStr">
        <is>
          <t>KHUSHAL DAK</t>
        </is>
      </c>
      <c r="D68" s="81" t="n">
        <v>49</v>
      </c>
      <c r="E68" s="81" t="n">
        <v>23</v>
      </c>
      <c r="F68" s="81">
        <f>D68+E68</f>
        <v/>
      </c>
      <c r="G68" s="22">
        <f>IF((D68/$D$6)&gt;=$D$7,1,0)</f>
        <v/>
      </c>
      <c r="H68" s="23">
        <f>IF((E68/$E$6)&gt;=$E$7,1,0)</f>
        <v/>
      </c>
    </row>
    <row r="69" ht="19.5" customHeight="1" s="98">
      <c r="A69" s="20" t="n">
        <v>62</v>
      </c>
      <c r="B69" s="76" t="inlineStr">
        <is>
          <t>23ETCCS062</t>
        </is>
      </c>
      <c r="C69" s="77" t="inlineStr">
        <is>
          <t>KHUSHAL TAMBAR</t>
        </is>
      </c>
      <c r="D69" s="81" t="n">
        <v>27</v>
      </c>
      <c r="E69" s="81" t="n">
        <v>22</v>
      </c>
      <c r="F69" s="81">
        <f>D69+E69</f>
        <v/>
      </c>
      <c r="G69" s="22">
        <f>IF((D69/$D$6)&gt;=$D$7,1,0)</f>
        <v/>
      </c>
      <c r="H69" s="23">
        <f>IF((E69/$E$6)&gt;=$E$7,1,0)</f>
        <v/>
      </c>
    </row>
    <row r="70" ht="19.5" customHeight="1" s="98">
      <c r="A70" s="20" t="n">
        <v>63</v>
      </c>
      <c r="B70" s="76" t="inlineStr">
        <is>
          <t>23ETCCS063</t>
        </is>
      </c>
      <c r="C70" s="77" t="inlineStr">
        <is>
          <t>KHUSHBU BISHT</t>
        </is>
      </c>
      <c r="D70" s="81" t="n">
        <v>55</v>
      </c>
      <c r="E70" s="81" t="n">
        <v>27</v>
      </c>
      <c r="F70" s="81">
        <f>D70+E70</f>
        <v/>
      </c>
      <c r="G70" s="22">
        <f>IF((D70/$D$6)&gt;=$D$7,1,0)</f>
        <v/>
      </c>
      <c r="H70" s="23">
        <f>IF((E70/$E$6)&gt;=$E$7,1,0)</f>
        <v/>
      </c>
    </row>
    <row r="71" ht="19.5" customHeight="1" s="98">
      <c r="A71" s="20" t="n">
        <v>64</v>
      </c>
      <c r="B71" s="76" t="inlineStr">
        <is>
          <t>23ETCCS064</t>
        </is>
      </c>
      <c r="C71" s="77" t="inlineStr">
        <is>
          <t>KHUSHI JAIN</t>
        </is>
      </c>
      <c r="D71" s="81" t="n">
        <v>54</v>
      </c>
      <c r="E71" s="81" t="n">
        <v>30</v>
      </c>
      <c r="F71" s="81">
        <f>D71+E71</f>
        <v/>
      </c>
      <c r="G71" s="22">
        <f>IF((D71/$D$6)&gt;=$D$7,1,0)</f>
        <v/>
      </c>
      <c r="H71" s="23">
        <f>IF((E71/$E$6)&gt;=$E$7,1,0)</f>
        <v/>
      </c>
    </row>
    <row r="72" ht="19.5" customHeight="1" s="98">
      <c r="A72" s="20" t="n">
        <v>65</v>
      </c>
      <c r="B72" s="76" t="inlineStr">
        <is>
          <t>23ETCCS065</t>
        </is>
      </c>
      <c r="C72" s="77" t="inlineStr">
        <is>
          <t>KOMAL SHARMA</t>
        </is>
      </c>
      <c r="D72" s="81" t="n">
        <v>43</v>
      </c>
      <c r="E72" s="81" t="n">
        <v>27</v>
      </c>
      <c r="F72" s="81">
        <f>D72+E72</f>
        <v/>
      </c>
      <c r="G72" s="22">
        <f>IF((D72/$D$6)&gt;=$D$7,1,0)</f>
        <v/>
      </c>
      <c r="H72" s="23">
        <f>IF((E72/$E$6)&gt;=$E$7,1,0)</f>
        <v/>
      </c>
    </row>
    <row r="73" ht="19.5" customHeight="1" s="98">
      <c r="A73" s="20" t="n">
        <v>66</v>
      </c>
      <c r="B73" s="76" t="inlineStr">
        <is>
          <t>23ETCCS066</t>
        </is>
      </c>
      <c r="C73" s="77" t="inlineStr">
        <is>
          <t>KRATIK SHARMA</t>
        </is>
      </c>
      <c r="D73" s="81" t="n">
        <v>34</v>
      </c>
      <c r="E73" s="81" t="n">
        <v>28</v>
      </c>
      <c r="F73" s="81">
        <f>D73+E73</f>
        <v/>
      </c>
      <c r="G73" s="22">
        <f>IF((D73/$D$6)&gt;=$D$7,1,0)</f>
        <v/>
      </c>
      <c r="H73" s="23">
        <f>IF((E73/$E$6)&gt;=$E$7,1,0)</f>
        <v/>
      </c>
    </row>
    <row r="74" ht="19.5" customHeight="1" s="98">
      <c r="A74" s="20" t="n">
        <v>67</v>
      </c>
      <c r="B74" s="76" t="inlineStr">
        <is>
          <t>23ETCCS067</t>
        </is>
      </c>
      <c r="C74" s="77" t="inlineStr">
        <is>
          <t>KRISHNA DOSHI</t>
        </is>
      </c>
      <c r="D74" s="81" t="n">
        <v>38</v>
      </c>
      <c r="E74" s="81" t="n">
        <v>29</v>
      </c>
      <c r="F74" s="81">
        <f>D74+E74</f>
        <v/>
      </c>
      <c r="G74" s="22">
        <f>IF((D74/$D$6)&gt;=$D$7,1,0)</f>
        <v/>
      </c>
      <c r="H74" s="23">
        <f>IF((E74/$E$6)&gt;=$E$7,1,0)</f>
        <v/>
      </c>
    </row>
    <row r="75" ht="19.5" customHeight="1" s="98">
      <c r="A75" s="20" t="n">
        <v>68</v>
      </c>
      <c r="B75" s="76" t="inlineStr">
        <is>
          <t>23ETCCS068</t>
        </is>
      </c>
      <c r="C75" s="77" t="inlineStr">
        <is>
          <t>KUASHAL KUMAWAT</t>
        </is>
      </c>
      <c r="D75" s="81" t="n">
        <v>48</v>
      </c>
      <c r="E75" s="81" t="n">
        <v>24</v>
      </c>
      <c r="F75" s="81">
        <f>D75+E75</f>
        <v/>
      </c>
      <c r="G75" s="22">
        <f>IF((D75/$D$6)&gt;=$D$7,1,0)</f>
        <v/>
      </c>
      <c r="H75" s="23">
        <f>IF((E75/$E$6)&gt;=$E$7,1,0)</f>
        <v/>
      </c>
    </row>
    <row r="76" ht="19.5" customHeight="1" s="98">
      <c r="A76" s="20" t="n">
        <v>69</v>
      </c>
      <c r="B76" s="76" t="inlineStr">
        <is>
          <t>23ETCCS069</t>
        </is>
      </c>
      <c r="C76" s="77" t="inlineStr">
        <is>
          <t>LAKSH PATEL</t>
        </is>
      </c>
      <c r="D76" s="81" t="n">
        <v>29</v>
      </c>
      <c r="E76" s="81" t="n">
        <v>27</v>
      </c>
      <c r="F76" s="81">
        <f>D76+E76</f>
        <v/>
      </c>
      <c r="G76" s="22">
        <f>IF((D76/$D$6)&gt;=$D$7,1,0)</f>
        <v/>
      </c>
      <c r="H76" s="23">
        <f>IF((E76/$E$6)&gt;=$E$7,1,0)</f>
        <v/>
      </c>
    </row>
    <row r="77" ht="19.5" customHeight="1" s="98">
      <c r="A77" s="20" t="n">
        <v>70</v>
      </c>
      <c r="B77" s="76" t="inlineStr">
        <is>
          <t>23ETCCS070</t>
        </is>
      </c>
      <c r="C77" s="77" t="inlineStr">
        <is>
          <t>LAKSHITA CHUNDAWAT</t>
        </is>
      </c>
      <c r="D77" s="81" t="n">
        <v>17</v>
      </c>
      <c r="E77" s="81" t="n">
        <v>24</v>
      </c>
      <c r="F77" s="81">
        <f>D77+E77</f>
        <v/>
      </c>
      <c r="G77" s="22">
        <f>IF((D77/$D$6)&gt;=$D$7,1,0)</f>
        <v/>
      </c>
      <c r="H77" s="23">
        <f>IF((E77/$E$6)&gt;=$E$7,1,0)</f>
        <v/>
      </c>
    </row>
    <row r="78" ht="19.5" customHeight="1" s="98">
      <c r="A78" s="20" t="n">
        <v>71</v>
      </c>
      <c r="B78" s="76" t="inlineStr">
        <is>
          <t>23ETCCS071</t>
        </is>
      </c>
      <c r="C78" s="77" t="inlineStr">
        <is>
          <t>LAKSHYARAJ PURBIA</t>
        </is>
      </c>
      <c r="D78" s="81" t="n">
        <v>29</v>
      </c>
      <c r="E78" s="81" t="n">
        <v>24</v>
      </c>
      <c r="F78" s="81">
        <f>D78+E78</f>
        <v/>
      </c>
      <c r="G78" s="22">
        <f>IF((D78/$D$6)&gt;=$D$7,1,0)</f>
        <v/>
      </c>
      <c r="H78" s="23">
        <f>IF((E78/$E$6)&gt;=$E$7,1,0)</f>
        <v/>
      </c>
    </row>
    <row r="79" ht="19.5" customHeight="1" s="98">
      <c r="A79" s="20" t="n">
        <v>72</v>
      </c>
      <c r="B79" s="76" t="inlineStr">
        <is>
          <t>23ETCCS072</t>
        </is>
      </c>
      <c r="C79" s="77" t="inlineStr">
        <is>
          <t>LALIT SUTHAR</t>
        </is>
      </c>
      <c r="D79" s="81" t="n">
        <v>33</v>
      </c>
      <c r="E79" s="81" t="n">
        <v>28</v>
      </c>
      <c r="F79" s="81">
        <f>D79+E79</f>
        <v/>
      </c>
      <c r="G79" s="22">
        <f>IF((D79/$D$6)&gt;=$D$7,1,0)</f>
        <v/>
      </c>
      <c r="H79" s="23">
        <f>IF((E79/$E$6)&gt;=$E$7,1,0)</f>
        <v/>
      </c>
    </row>
    <row r="80" ht="19.5" customHeight="1" s="98">
      <c r="A80" s="20" t="n">
        <v>73</v>
      </c>
      <c r="B80" s="76" t="inlineStr">
        <is>
          <t>23ETCCS073</t>
        </is>
      </c>
      <c r="C80" s="77" t="inlineStr">
        <is>
          <t>MANAN JAIN</t>
        </is>
      </c>
      <c r="D80" s="81" t="n">
        <v>21</v>
      </c>
      <c r="E80" s="81" t="n">
        <v>29</v>
      </c>
      <c r="F80" s="81">
        <f>D80+E80</f>
        <v/>
      </c>
      <c r="G80" s="22">
        <f>IF((D80/$D$6)&gt;=$D$7,1,0)</f>
        <v/>
      </c>
      <c r="H80" s="23">
        <f>IF((E80/$E$6)&gt;=$E$7,1,0)</f>
        <v/>
      </c>
    </row>
    <row r="81" ht="19.5" customHeight="1" s="98">
      <c r="A81" s="20" t="n">
        <v>74</v>
      </c>
      <c r="B81" s="76" t="inlineStr">
        <is>
          <t>23ETCCS074</t>
        </is>
      </c>
      <c r="C81" s="77" t="inlineStr">
        <is>
          <t>MANAN MEHTA</t>
        </is>
      </c>
      <c r="D81" s="81" t="n">
        <v>25</v>
      </c>
      <c r="E81" s="81" t="n">
        <v>22</v>
      </c>
      <c r="F81" s="81">
        <f>D81+E81</f>
        <v/>
      </c>
      <c r="G81" s="22">
        <f>IF((D81/$D$6)&gt;=$D$7,1,0)</f>
        <v/>
      </c>
      <c r="H81" s="23">
        <f>IF((E81/$E$6)&gt;=$E$7,1,0)</f>
        <v/>
      </c>
    </row>
    <row r="82" ht="19.5" customHeight="1" s="98">
      <c r="A82" s="20" t="n">
        <v>75</v>
      </c>
      <c r="B82" s="76" t="inlineStr">
        <is>
          <t>23ETCCS075</t>
        </is>
      </c>
      <c r="C82" s="77" t="inlineStr">
        <is>
          <t>MANISH SUTHAR</t>
        </is>
      </c>
      <c r="D82" s="81" t="n">
        <v>21</v>
      </c>
      <c r="E82" s="81" t="n">
        <v>25</v>
      </c>
      <c r="F82" s="81">
        <f>D82+E82</f>
        <v/>
      </c>
      <c r="G82" s="22">
        <f>IF((D82/$D$6)&gt;=$D$7,1,0)</f>
        <v/>
      </c>
      <c r="H82" s="23">
        <f>IF((E82/$E$6)&gt;=$E$7,1,0)</f>
        <v/>
      </c>
    </row>
    <row r="83" ht="19.5" customHeight="1" s="98">
      <c r="A83" s="20" t="n">
        <v>76</v>
      </c>
      <c r="B83" s="76" t="inlineStr">
        <is>
          <t>23ETCCS076</t>
        </is>
      </c>
      <c r="C83" s="77" t="inlineStr">
        <is>
          <t>MANRAJ SINGH CHOUHAN</t>
        </is>
      </c>
      <c r="D83" s="81" t="n">
        <v>34</v>
      </c>
      <c r="E83" s="81" t="n">
        <v>16</v>
      </c>
      <c r="F83" s="81">
        <f>D83+E83</f>
        <v/>
      </c>
      <c r="G83" s="22">
        <f>IF((D83/$D$6)&gt;=$D$7,1,0)</f>
        <v/>
      </c>
      <c r="H83" s="23">
        <f>IF((E83/$E$6)&gt;=$E$7,1,0)</f>
        <v/>
      </c>
    </row>
    <row r="84" ht="19.5" customHeight="1" s="98">
      <c r="A84" s="20" t="n">
        <v>77</v>
      </c>
      <c r="B84" s="76" t="inlineStr">
        <is>
          <t>23ETCCS077</t>
        </is>
      </c>
      <c r="C84" s="77" t="inlineStr">
        <is>
          <t>MAYANK KUMAR GAUTAM</t>
        </is>
      </c>
      <c r="D84" s="81" t="n">
        <v>43</v>
      </c>
      <c r="E84" s="81" t="n">
        <v>28</v>
      </c>
      <c r="F84" s="81">
        <f>D84+E84</f>
        <v/>
      </c>
      <c r="G84" s="22">
        <f>IF((D84/$D$6)&gt;=$D$7,1,0)</f>
        <v/>
      </c>
      <c r="H84" s="23">
        <f>IF((E84/$E$6)&gt;=$E$7,1,0)</f>
        <v/>
      </c>
    </row>
    <row r="85" ht="19.5" customHeight="1" s="98">
      <c r="A85" s="20" t="n">
        <v>78</v>
      </c>
      <c r="B85" s="76" t="inlineStr">
        <is>
          <t>23ETCCS078</t>
        </is>
      </c>
      <c r="C85" s="77" t="inlineStr">
        <is>
          <t>MAYANK LOHAR</t>
        </is>
      </c>
      <c r="D85" s="81" t="n">
        <v>45</v>
      </c>
      <c r="E85" s="81" t="n">
        <v>29</v>
      </c>
      <c r="F85" s="81">
        <f>D85+E85</f>
        <v/>
      </c>
      <c r="G85" s="22">
        <f>IF((D85/$D$6)&gt;=$D$7,1,0)</f>
        <v/>
      </c>
      <c r="H85" s="23">
        <f>IF((E85/$E$6)&gt;=$E$7,1,0)</f>
        <v/>
      </c>
    </row>
    <row r="86" ht="19.5" customHeight="1" s="98">
      <c r="A86" s="20" t="n">
        <v>79</v>
      </c>
      <c r="B86" s="79" t="inlineStr">
        <is>
          <t>23ETCCS079</t>
        </is>
      </c>
      <c r="C86" s="78" t="inlineStr">
        <is>
          <t>MEET SHARMA</t>
        </is>
      </c>
      <c r="D86" s="81" t="n">
        <v>36</v>
      </c>
      <c r="E86" s="81" t="n">
        <v>26</v>
      </c>
      <c r="F86" s="81">
        <f>D86+E86</f>
        <v/>
      </c>
      <c r="G86" s="22">
        <f>IF((D86/$D$6)&gt;=$D$7,1,0)</f>
        <v/>
      </c>
      <c r="H86" s="23">
        <f>IF((E86/$E$6)&gt;=$E$7,1,0)</f>
        <v/>
      </c>
    </row>
    <row r="87" ht="19.5" customHeight="1" s="98">
      <c r="A87" s="20" t="n">
        <v>80</v>
      </c>
      <c r="B87" s="76" t="inlineStr">
        <is>
          <t>23ETCCS080</t>
        </is>
      </c>
      <c r="C87" s="77" t="inlineStr">
        <is>
          <t>MISHIKA PARIKH</t>
        </is>
      </c>
      <c r="D87" s="81" t="n">
        <v>23</v>
      </c>
      <c r="E87" s="81" t="n">
        <v>25</v>
      </c>
      <c r="F87" s="81">
        <f>D87+E87</f>
        <v/>
      </c>
      <c r="G87" s="22">
        <f>IF((D87/$D$6)&gt;=$D$7,1,0)</f>
        <v/>
      </c>
      <c r="H87" s="23">
        <f>IF((E87/$E$6)&gt;=$E$7,1,0)</f>
        <v/>
      </c>
    </row>
    <row r="88" ht="19.5" customHeight="1" s="98">
      <c r="A88" s="20" t="n">
        <v>81</v>
      </c>
      <c r="B88" s="76" t="inlineStr">
        <is>
          <t>23ETCCS081</t>
        </is>
      </c>
      <c r="C88" s="77" t="inlineStr">
        <is>
          <t>MOHIT KUMAR KALAL</t>
        </is>
      </c>
      <c r="D88" s="81" t="n">
        <v>12</v>
      </c>
      <c r="E88" s="81" t="n">
        <v>22</v>
      </c>
      <c r="F88" s="81">
        <f>D88+E88</f>
        <v/>
      </c>
      <c r="G88" s="22">
        <f>IF((D88/$D$6)&gt;=$D$7,1,0)</f>
        <v/>
      </c>
      <c r="H88" s="23">
        <f>IF((E88/$E$6)&gt;=$E$7,1,0)</f>
        <v/>
      </c>
    </row>
    <row r="89" ht="19.5" customHeight="1" s="98">
      <c r="A89" s="20" t="n">
        <v>82</v>
      </c>
      <c r="B89" s="76" t="inlineStr">
        <is>
          <t>23ETCCS082</t>
        </is>
      </c>
      <c r="C89" s="77" t="inlineStr">
        <is>
          <t>MOHIT MALI</t>
        </is>
      </c>
      <c r="D89" s="81" t="n">
        <v>22</v>
      </c>
      <c r="E89" s="81" t="n">
        <v>27</v>
      </c>
      <c r="F89" s="81">
        <f>D89+E89</f>
        <v/>
      </c>
      <c r="G89" s="22">
        <f>IF((D89/$D$6)&gt;=$D$7,1,0)</f>
        <v/>
      </c>
      <c r="H89" s="23">
        <f>IF((E89/$E$6)&gt;=$E$7,1,0)</f>
        <v/>
      </c>
    </row>
    <row r="90" ht="19.5" customHeight="1" s="98">
      <c r="A90" s="20" t="n">
        <v>83</v>
      </c>
      <c r="B90" s="76" t="inlineStr">
        <is>
          <t>23ETCCS083</t>
        </is>
      </c>
      <c r="C90" s="77" t="inlineStr">
        <is>
          <t>MRADUL BAHETI</t>
        </is>
      </c>
      <c r="D90" s="81" t="n">
        <v>41</v>
      </c>
      <c r="E90" s="81" t="n">
        <v>29</v>
      </c>
      <c r="F90" s="81">
        <f>D90+E90</f>
        <v/>
      </c>
      <c r="G90" s="22">
        <f>IF((D90/$D$6)&gt;=$D$7,1,0)</f>
        <v/>
      </c>
      <c r="H90" s="23">
        <f>IF((E90/$E$6)&gt;=$E$7,1,0)</f>
        <v/>
      </c>
    </row>
    <row r="91" ht="19.5" customHeight="1" s="98">
      <c r="A91" s="20" t="n">
        <v>84</v>
      </c>
      <c r="B91" s="76" t="inlineStr">
        <is>
          <t>23ETCCS084</t>
        </is>
      </c>
      <c r="C91" s="77" t="inlineStr">
        <is>
          <t>MS.BHAVYA SAHU</t>
        </is>
      </c>
      <c r="D91" s="81" t="n">
        <v>52</v>
      </c>
      <c r="E91" s="81" t="n">
        <v>29</v>
      </c>
      <c r="F91" s="81">
        <f>D91+E91</f>
        <v/>
      </c>
      <c r="G91" s="22">
        <f>IF((D91/$D$6)&gt;=$D$7,1,0)</f>
        <v/>
      </c>
      <c r="H91" s="23">
        <f>IF((E91/$E$6)&gt;=$E$7,1,0)</f>
        <v/>
      </c>
    </row>
    <row r="92" ht="19.5" customHeight="1" s="98">
      <c r="A92" s="20" t="n">
        <v>85</v>
      </c>
      <c r="B92" s="79" t="inlineStr">
        <is>
          <t>23ETCCS085</t>
        </is>
      </c>
      <c r="C92" s="78" t="inlineStr">
        <is>
          <t>MS.BHUVIKA SHARMA</t>
        </is>
      </c>
      <c r="D92" s="81" t="n">
        <v>33</v>
      </c>
      <c r="E92" s="81" t="n">
        <v>25</v>
      </c>
      <c r="F92" s="81">
        <f>D92+E92</f>
        <v/>
      </c>
      <c r="G92" s="22">
        <f>IF((D92/$D$6)&gt;=$D$7,1,0)</f>
        <v/>
      </c>
      <c r="H92" s="23">
        <f>IF((E92/$E$6)&gt;=$E$7,1,0)</f>
        <v/>
      </c>
    </row>
    <row r="93" ht="19.5" customHeight="1" s="98">
      <c r="A93" s="20" t="n">
        <v>86</v>
      </c>
      <c r="B93" s="76" t="inlineStr">
        <is>
          <t>23ETCCS086</t>
        </is>
      </c>
      <c r="C93" s="77" t="inlineStr">
        <is>
          <t>MS.CHARU MALI</t>
        </is>
      </c>
      <c r="D93" s="81" t="n">
        <v>31</v>
      </c>
      <c r="E93" s="81" t="n">
        <v>25</v>
      </c>
      <c r="F93" s="81">
        <f>D93+E93</f>
        <v/>
      </c>
      <c r="G93" s="22">
        <f>IF((D93/$D$6)&gt;=$D$7,1,0)</f>
        <v/>
      </c>
      <c r="H93" s="23">
        <f>IF((E93/$E$6)&gt;=$E$7,1,0)</f>
        <v/>
      </c>
    </row>
    <row r="94" ht="19.5" customHeight="1" s="98">
      <c r="A94" s="20" t="n">
        <v>87</v>
      </c>
      <c r="B94" s="76" t="inlineStr">
        <is>
          <t>23ETCCS087</t>
        </is>
      </c>
      <c r="C94" s="77" t="inlineStr">
        <is>
          <t>MS.EKTA JOSHI</t>
        </is>
      </c>
      <c r="D94" s="81" t="n">
        <v>21</v>
      </c>
      <c r="E94" s="81" t="n">
        <v>21</v>
      </c>
      <c r="F94" s="81">
        <f>D94+E94</f>
        <v/>
      </c>
      <c r="G94" s="22">
        <f>IF((D94/$D$6)&gt;=$D$7,1,0)</f>
        <v/>
      </c>
      <c r="H94" s="23">
        <f>IF((E94/$E$6)&gt;=$E$7,1,0)</f>
        <v/>
      </c>
    </row>
    <row r="95" ht="19.5" customHeight="1" s="98">
      <c r="A95" s="20" t="n">
        <v>88</v>
      </c>
      <c r="B95" s="76" t="inlineStr">
        <is>
          <t>23ETCCS088</t>
        </is>
      </c>
      <c r="C95" s="77" t="inlineStr">
        <is>
          <t>MS.ISHI BHAVSAR</t>
        </is>
      </c>
      <c r="D95" s="81" t="n">
        <v>47</v>
      </c>
      <c r="E95" s="81" t="n">
        <v>29</v>
      </c>
      <c r="F95" s="81">
        <f>D95+E95</f>
        <v/>
      </c>
      <c r="G95" s="22">
        <f>IF((D95/$D$6)&gt;=$D$7,1,0)</f>
        <v/>
      </c>
      <c r="H95" s="23">
        <f>IF((E95/$E$6)&gt;=$E$7,1,0)</f>
        <v/>
      </c>
    </row>
    <row r="96" ht="19.5" customHeight="1" s="98">
      <c r="A96" s="20" t="n">
        <v>89</v>
      </c>
      <c r="B96" s="76" t="inlineStr">
        <is>
          <t>23ETCCS089</t>
        </is>
      </c>
      <c r="C96" s="77" t="inlineStr">
        <is>
          <t>MS.KAJAL JOSHI</t>
        </is>
      </c>
      <c r="D96" s="81" t="n">
        <v>28</v>
      </c>
      <c r="E96" s="81" t="n">
        <v>25</v>
      </c>
      <c r="F96" s="81">
        <f>D96+E96</f>
        <v/>
      </c>
      <c r="G96" s="22">
        <f>IF((D96/$D$6)&gt;=$D$7,1,0)</f>
        <v/>
      </c>
      <c r="H96" s="23">
        <f>IF((E96/$E$6)&gt;=$E$7,1,0)</f>
        <v/>
      </c>
    </row>
    <row r="97" ht="19.5" customHeight="1" s="98">
      <c r="A97" s="20" t="n">
        <v>90</v>
      </c>
      <c r="B97" s="76" t="inlineStr">
        <is>
          <t>23ETCCS090</t>
        </is>
      </c>
      <c r="C97" s="77" t="inlineStr">
        <is>
          <t>MS.KASHISH SONI</t>
        </is>
      </c>
      <c r="D97" s="81" t="n">
        <v>45</v>
      </c>
      <c r="E97" s="81" t="n">
        <v>25</v>
      </c>
      <c r="F97" s="81">
        <f>D97+E97</f>
        <v/>
      </c>
      <c r="G97" s="22">
        <f>IF((D97/$D$6)&gt;=$D$7,1,0)</f>
        <v/>
      </c>
      <c r="H97" s="23">
        <f>IF((E97/$E$6)&gt;=$E$7,1,0)</f>
        <v/>
      </c>
    </row>
    <row r="98" ht="19.5" customHeight="1" s="98">
      <c r="A98" s="20" t="n">
        <v>91</v>
      </c>
      <c r="B98" s="76" t="inlineStr">
        <is>
          <t>23ETCCS091</t>
        </is>
      </c>
      <c r="C98" s="77" t="inlineStr">
        <is>
          <t>MS.KINSHUL YADAV</t>
        </is>
      </c>
      <c r="D98" s="81" t="n">
        <v>45</v>
      </c>
      <c r="E98" s="81" t="n">
        <v>26</v>
      </c>
      <c r="F98" s="81">
        <f>D98+E98</f>
        <v/>
      </c>
      <c r="G98" s="22">
        <f>IF((D98/$D$6)&gt;=$D$7,1,0)</f>
        <v/>
      </c>
      <c r="H98" s="23">
        <f>IF((E98/$E$6)&gt;=$E$7,1,0)</f>
        <v/>
      </c>
    </row>
    <row r="99" ht="19.5" customHeight="1" s="98">
      <c r="A99" s="20" t="n">
        <v>92</v>
      </c>
      <c r="B99" s="76" t="inlineStr">
        <is>
          <t>23ETCCS092</t>
        </is>
      </c>
      <c r="C99" s="77" t="inlineStr">
        <is>
          <t>MS.KUMKUM LOHIYA</t>
        </is>
      </c>
      <c r="D99" s="81" t="n">
        <v>51</v>
      </c>
      <c r="E99" s="81" t="n">
        <v>30</v>
      </c>
      <c r="F99" s="81">
        <f>D99+E99</f>
        <v/>
      </c>
      <c r="G99" s="22">
        <f>IF((D99/$D$6)&gt;=$D$7,1,0)</f>
        <v/>
      </c>
      <c r="H99" s="23">
        <f>IF((E99/$E$6)&gt;=$E$7,1,0)</f>
        <v/>
      </c>
    </row>
    <row r="100" ht="19.5" customHeight="1" s="98">
      <c r="A100" s="20" t="n">
        <v>93</v>
      </c>
      <c r="B100" s="76" t="inlineStr">
        <is>
          <t>23ETCCS093</t>
        </is>
      </c>
      <c r="C100" s="77" t="inlineStr">
        <is>
          <t>MS.LUBHANSHI RATHORE</t>
        </is>
      </c>
      <c r="D100" s="81" t="n">
        <v>32</v>
      </c>
      <c r="E100" s="81" t="n">
        <v>22</v>
      </c>
      <c r="F100" s="81">
        <f>D100+E100</f>
        <v/>
      </c>
      <c r="G100" s="22">
        <f>IF((D100/$D$6)&gt;=$D$7,1,0)</f>
        <v/>
      </c>
      <c r="H100" s="23">
        <f>IF((E100/$E$6)&gt;=$E$7,1,0)</f>
        <v/>
      </c>
    </row>
    <row r="101" ht="19.5" customHeight="1" s="98">
      <c r="A101" s="20" t="n">
        <v>94</v>
      </c>
      <c r="B101" s="76" t="inlineStr">
        <is>
          <t>23ETCCS094</t>
        </is>
      </c>
      <c r="C101" s="77" t="inlineStr">
        <is>
          <t>MS.LUCKY OJHA</t>
        </is>
      </c>
      <c r="D101" s="81" t="n">
        <v>37</v>
      </c>
      <c r="E101" s="81" t="n">
        <v>28</v>
      </c>
      <c r="F101" s="81">
        <f>D101+E101</f>
        <v/>
      </c>
      <c r="G101" s="22">
        <f>IF((D101/$D$6)&gt;=$D$7,1,0)</f>
        <v/>
      </c>
      <c r="H101" s="23">
        <f>IF((E101/$E$6)&gt;=$E$7,1,0)</f>
        <v/>
      </c>
    </row>
    <row r="102" ht="19.5" customHeight="1" s="98">
      <c r="A102" s="20" t="n">
        <v>95</v>
      </c>
      <c r="B102" s="76" t="inlineStr">
        <is>
          <t>23ETCCS095</t>
        </is>
      </c>
      <c r="C102" s="77" t="inlineStr">
        <is>
          <t>MS.MAHIMA KUMAWAT</t>
        </is>
      </c>
      <c r="D102" s="81" t="n">
        <v>48</v>
      </c>
      <c r="E102" s="81" t="n">
        <v>29</v>
      </c>
      <c r="F102" s="81">
        <f>D102+E102</f>
        <v/>
      </c>
      <c r="G102" s="22">
        <f>IF((D102/$D$6)&gt;=$D$7,1,0)</f>
        <v/>
      </c>
      <c r="H102" s="23">
        <f>IF((E102/$E$6)&gt;=$E$7,1,0)</f>
        <v/>
      </c>
    </row>
    <row r="103" ht="19.5" customHeight="1" s="98">
      <c r="A103" s="20" t="n">
        <v>96</v>
      </c>
      <c r="B103" s="76" t="inlineStr">
        <is>
          <t>23ETCCS096</t>
        </is>
      </c>
      <c r="C103" s="77" t="inlineStr">
        <is>
          <t>MS.MAHIMA RAO</t>
        </is>
      </c>
      <c r="D103" s="81" t="n">
        <v>55</v>
      </c>
      <c r="E103" s="81" t="n">
        <v>28</v>
      </c>
      <c r="F103" s="81">
        <f>D103+E103</f>
        <v/>
      </c>
      <c r="G103" s="22">
        <f>IF((D103/$D$6)&gt;=$D$7,1,0)</f>
        <v/>
      </c>
      <c r="H103" s="23">
        <f>IF((E103/$E$6)&gt;=$E$7,1,0)</f>
        <v/>
      </c>
    </row>
    <row r="104" ht="19.5" customHeight="1" s="98">
      <c r="A104" s="20" t="n">
        <v>97</v>
      </c>
      <c r="B104" s="76" t="inlineStr">
        <is>
          <t>23ETCCS097</t>
        </is>
      </c>
      <c r="C104" s="77" t="inlineStr">
        <is>
          <t>MS.MANSI LOHAR</t>
        </is>
      </c>
      <c r="D104" s="81" t="n">
        <v>36</v>
      </c>
      <c r="E104" s="81" t="n">
        <v>22</v>
      </c>
      <c r="F104" s="81">
        <f>D104+E104</f>
        <v/>
      </c>
      <c r="G104" s="22">
        <f>IF((D104/$D$6)&gt;=$D$7,1,0)</f>
        <v/>
      </c>
      <c r="H104" s="23">
        <f>IF((E104/$E$6)&gt;=$E$7,1,0)</f>
        <v/>
      </c>
    </row>
    <row r="105" ht="19.5" customHeight="1" s="98">
      <c r="A105" s="20" t="n">
        <v>98</v>
      </c>
      <c r="B105" s="76" t="inlineStr">
        <is>
          <t>23ETCCS098</t>
        </is>
      </c>
      <c r="C105" s="77" t="inlineStr">
        <is>
          <t>MS.MONIKA PATEL</t>
        </is>
      </c>
      <c r="D105" s="81" t="n">
        <v>36</v>
      </c>
      <c r="E105" s="81" t="n">
        <v>25</v>
      </c>
      <c r="F105" s="81">
        <f>D105+E105</f>
        <v/>
      </c>
      <c r="G105" s="22">
        <f>IF((D105/$D$6)&gt;=$D$7,1,0)</f>
        <v/>
      </c>
      <c r="H105" s="23">
        <f>IF((E105/$E$6)&gt;=$E$7,1,0)</f>
        <v/>
      </c>
    </row>
    <row r="106" ht="19.5" customHeight="1" s="98">
      <c r="A106" s="20" t="n">
        <v>99</v>
      </c>
      <c r="B106" s="76" t="inlineStr">
        <is>
          <t>23ETCCS099</t>
        </is>
      </c>
      <c r="C106" s="77" t="inlineStr">
        <is>
          <t>MS.MOXI TAK</t>
        </is>
      </c>
      <c r="D106" s="81" t="n">
        <v>48</v>
      </c>
      <c r="E106" s="81" t="n">
        <v>30</v>
      </c>
      <c r="F106" s="81">
        <f>D106+E106</f>
        <v/>
      </c>
      <c r="G106" s="22">
        <f>IF((D106/$D$6)&gt;=$D$7,1,0)</f>
        <v/>
      </c>
      <c r="H106" s="23">
        <f>IF((E106/$E$6)&gt;=$E$7,1,0)</f>
        <v/>
      </c>
    </row>
    <row r="107" ht="19.5" customHeight="1" s="98">
      <c r="A107" s="20" t="n">
        <v>100</v>
      </c>
      <c r="B107" s="76" t="inlineStr">
        <is>
          <t>23ETCCS100</t>
        </is>
      </c>
      <c r="C107" s="77" t="inlineStr">
        <is>
          <t>MS.REENA AUDICHYA</t>
        </is>
      </c>
      <c r="D107" s="81" t="n">
        <v>30</v>
      </c>
      <c r="E107" s="81" t="n">
        <v>29</v>
      </c>
      <c r="F107" s="81">
        <f>D107+E107</f>
        <v/>
      </c>
      <c r="G107" s="22">
        <f>IF((D107/$D$6)&gt;=$D$7,1,0)</f>
        <v/>
      </c>
      <c r="H107" s="23">
        <f>IF((E107/$E$6)&gt;=$E$7,1,0)</f>
        <v/>
      </c>
    </row>
    <row r="108" ht="19.5" customHeight="1" s="98">
      <c r="A108" s="20" t="n">
        <v>101</v>
      </c>
      <c r="B108" s="76" t="inlineStr">
        <is>
          <t>23ETCCS101</t>
        </is>
      </c>
      <c r="C108" s="77" t="inlineStr">
        <is>
          <t>MS.TAYSIDDHI MADHVI BHAVSAR</t>
        </is>
      </c>
      <c r="D108" s="81" t="n">
        <v>40</v>
      </c>
      <c r="E108" s="81" t="n">
        <v>25</v>
      </c>
      <c r="F108" s="81">
        <f>D108+E108</f>
        <v/>
      </c>
      <c r="G108" s="22">
        <f>IF((D108/$D$6)&gt;=$D$7,1,0)</f>
        <v/>
      </c>
      <c r="H108" s="23">
        <f>IF((E108/$E$6)&gt;=$E$7,1,0)</f>
        <v/>
      </c>
    </row>
    <row r="109" ht="19.5" customHeight="1" s="98">
      <c r="A109" s="20" t="n">
        <v>102</v>
      </c>
      <c r="B109" s="76" t="inlineStr">
        <is>
          <t>23ETCCS102</t>
        </is>
      </c>
      <c r="C109" s="77" t="inlineStr">
        <is>
          <t>MS.USHA KUNWAR CHUNDAWAT</t>
        </is>
      </c>
      <c r="D109" s="81" t="n">
        <v>42</v>
      </c>
      <c r="E109" s="81" t="n">
        <v>29</v>
      </c>
      <c r="F109" s="81">
        <f>D109+E109</f>
        <v/>
      </c>
      <c r="G109" s="22">
        <f>IF((D109/$D$6)&gt;=$D$7,1,0)</f>
        <v/>
      </c>
      <c r="H109" s="23">
        <f>IF((E109/$E$6)&gt;=$E$7,1,0)</f>
        <v/>
      </c>
    </row>
    <row r="110" ht="19.5" customHeight="1" s="98">
      <c r="A110" s="20" t="n">
        <v>103</v>
      </c>
      <c r="B110" s="76" t="inlineStr">
        <is>
          <t>23ETCCS103</t>
        </is>
      </c>
      <c r="C110" s="77" t="inlineStr">
        <is>
          <t>MUDIT GUPTA</t>
        </is>
      </c>
      <c r="D110" s="81" t="n">
        <v>25</v>
      </c>
      <c r="E110" s="81" t="n">
        <v>26</v>
      </c>
      <c r="F110" s="81">
        <f>D110+E110</f>
        <v/>
      </c>
      <c r="G110" s="22">
        <f>IF((D110/$D$6)&gt;=$D$7,1,0)</f>
        <v/>
      </c>
      <c r="H110" s="23">
        <f>IF((E110/$E$6)&gt;=$E$7,1,0)</f>
        <v/>
      </c>
    </row>
    <row r="111" ht="19.5" customHeight="1" s="98">
      <c r="A111" s="20" t="n">
        <v>104</v>
      </c>
      <c r="B111" s="76" t="inlineStr">
        <is>
          <t>23ETCCS104</t>
        </is>
      </c>
      <c r="C111" s="77" t="inlineStr">
        <is>
          <t>NARESH SINGH BAGHEL</t>
        </is>
      </c>
      <c r="D111" s="81" t="n">
        <v>54</v>
      </c>
      <c r="E111" s="81" t="n">
        <v>30</v>
      </c>
      <c r="F111" s="81">
        <f>D111+E111</f>
        <v/>
      </c>
      <c r="G111" s="22">
        <f>IF((D111/$D$6)&gt;=$D$7,1,0)</f>
        <v/>
      </c>
      <c r="H111" s="23">
        <f>IF((E111/$E$6)&gt;=$E$7,1,0)</f>
        <v/>
      </c>
    </row>
    <row r="112" ht="19.5" customHeight="1" s="98">
      <c r="A112" s="20" t="n">
        <v>105</v>
      </c>
      <c r="B112" s="76" t="inlineStr">
        <is>
          <t>23ETCCS105</t>
        </is>
      </c>
      <c r="C112" s="77" t="inlineStr">
        <is>
          <t>NASRAT ANSARI</t>
        </is>
      </c>
      <c r="D112" s="81" t="n">
        <v>13</v>
      </c>
      <c r="E112" s="81" t="n">
        <v>20</v>
      </c>
      <c r="F112" s="81">
        <f>D112+E112</f>
        <v/>
      </c>
      <c r="G112" s="22">
        <f>IF((D112/$D$6)&gt;=$D$7,1,0)</f>
        <v/>
      </c>
      <c r="H112" s="23">
        <f>IF((E112/$E$6)&gt;=$E$7,1,0)</f>
        <v/>
      </c>
    </row>
    <row r="113" ht="19.5" customHeight="1" s="98">
      <c r="A113" s="20" t="n">
        <v>106</v>
      </c>
      <c r="B113" s="76" t="inlineStr">
        <is>
          <t>23ETCCS106</t>
        </is>
      </c>
      <c r="C113" s="77" t="inlineStr">
        <is>
          <t>NIKHIL SHARMA</t>
        </is>
      </c>
      <c r="D113" s="81" t="n">
        <v>30</v>
      </c>
      <c r="E113" s="81" t="n">
        <v>21</v>
      </c>
      <c r="F113" s="81">
        <f>D113+E113</f>
        <v/>
      </c>
      <c r="G113" s="22">
        <f>IF((D113/$D$6)&gt;=$D$7,1,0)</f>
        <v/>
      </c>
      <c r="H113" s="23">
        <f>IF((E113/$E$6)&gt;=$E$7,1,0)</f>
        <v/>
      </c>
    </row>
    <row r="114" ht="19.5" customHeight="1" s="98">
      <c r="A114" s="20" t="n">
        <v>107</v>
      </c>
      <c r="B114" s="76" t="inlineStr">
        <is>
          <t>23ETCCS107</t>
        </is>
      </c>
      <c r="C114" s="77" t="inlineStr">
        <is>
          <t>NIKHIL SUTHAR</t>
        </is>
      </c>
      <c r="D114" s="81" t="n">
        <v>41</v>
      </c>
      <c r="E114" s="81" t="n">
        <v>27</v>
      </c>
      <c r="F114" s="81">
        <f>D114+E114</f>
        <v/>
      </c>
      <c r="G114" s="22">
        <f>IF((D114/$D$6)&gt;=$D$7,1,0)</f>
        <v/>
      </c>
      <c r="H114" s="23">
        <f>IF((E114/$E$6)&gt;=$E$7,1,0)</f>
        <v/>
      </c>
    </row>
    <row r="115" ht="19.5" customHeight="1" s="98">
      <c r="A115" s="20" t="n">
        <v>108</v>
      </c>
      <c r="B115" s="76" t="inlineStr">
        <is>
          <t>23ETCCS108</t>
        </is>
      </c>
      <c r="C115" s="77" t="inlineStr">
        <is>
          <t>NIKITA DANGI</t>
        </is>
      </c>
      <c r="D115" s="81" t="n">
        <v>50</v>
      </c>
      <c r="E115" s="81" t="n">
        <v>28</v>
      </c>
      <c r="F115" s="81">
        <f>D115+E115</f>
        <v/>
      </c>
      <c r="G115" s="22">
        <f>IF((D115/$D$6)&gt;=$D$7,1,0)</f>
        <v/>
      </c>
      <c r="H115" s="23">
        <f>IF((E115/$E$6)&gt;=$E$7,1,0)</f>
        <v/>
      </c>
    </row>
    <row r="116" ht="19.5" customHeight="1" s="98">
      <c r="A116" s="20" t="n">
        <v>109</v>
      </c>
      <c r="B116" s="76" t="inlineStr">
        <is>
          <t>23ETCCS109</t>
        </is>
      </c>
      <c r="C116" s="77" t="inlineStr">
        <is>
          <t>NILESH PURI</t>
        </is>
      </c>
      <c r="D116" s="81" t="n">
        <v>21</v>
      </c>
      <c r="E116" s="81" t="n">
        <v>24</v>
      </c>
      <c r="F116" s="81">
        <f>D116+E116</f>
        <v/>
      </c>
      <c r="G116" s="22">
        <f>IF((D116/$D$6)&gt;=$D$7,1,0)</f>
        <v/>
      </c>
      <c r="H116" s="23">
        <f>IF((E116/$E$6)&gt;=$E$7,1,0)</f>
        <v/>
      </c>
    </row>
    <row r="117" ht="19.5" customHeight="1" s="98">
      <c r="A117" s="20" t="n">
        <v>110</v>
      </c>
      <c r="B117" s="76" t="inlineStr">
        <is>
          <t>23ETCCS110</t>
        </is>
      </c>
      <c r="C117" s="77" t="inlineStr">
        <is>
          <t>NISHTHA SONI</t>
        </is>
      </c>
      <c r="D117" s="81" t="n">
        <v>47</v>
      </c>
      <c r="E117" s="81" t="n">
        <v>24</v>
      </c>
      <c r="F117" s="81">
        <f>D117+E117</f>
        <v/>
      </c>
      <c r="G117" s="22">
        <f>IF((D117/$D$6)&gt;=$D$7,1,0)</f>
        <v/>
      </c>
      <c r="H117" s="23">
        <f>IF((E117/$E$6)&gt;=$E$7,1,0)</f>
        <v/>
      </c>
    </row>
    <row r="118" ht="19.5" customHeight="1" s="98">
      <c r="A118" s="20" t="n">
        <v>111</v>
      </c>
      <c r="B118" s="76" t="inlineStr">
        <is>
          <t>23ETCCS111</t>
        </is>
      </c>
      <c r="C118" s="77" t="inlineStr">
        <is>
          <t>PALAK JAIN</t>
        </is>
      </c>
      <c r="D118" s="81" t="n">
        <v>40</v>
      </c>
      <c r="E118" s="81" t="n">
        <v>28</v>
      </c>
      <c r="F118" s="81">
        <f>D118+E118</f>
        <v/>
      </c>
      <c r="G118" s="22">
        <f>IF((D118/$D$6)&gt;=$D$7,1,0)</f>
        <v/>
      </c>
      <c r="H118" s="23">
        <f>IF((E118/$E$6)&gt;=$E$7,1,0)</f>
        <v/>
      </c>
    </row>
    <row r="119" ht="19.5" customHeight="1" s="98">
      <c r="A119" s="20" t="n">
        <v>112</v>
      </c>
      <c r="B119" s="76" t="inlineStr">
        <is>
          <t>23ETCCS112</t>
        </is>
      </c>
      <c r="C119" s="77" t="inlineStr">
        <is>
          <t>PALAK NAGORI</t>
        </is>
      </c>
      <c r="D119" s="81" t="n">
        <v>27</v>
      </c>
      <c r="E119" s="81" t="n">
        <v>25</v>
      </c>
      <c r="F119" s="81">
        <f>D119+E119</f>
        <v/>
      </c>
      <c r="G119" s="22">
        <f>IF((D119/$D$6)&gt;=$D$7,1,0)</f>
        <v/>
      </c>
      <c r="H119" s="23">
        <f>IF((E119/$E$6)&gt;=$E$7,1,0)</f>
        <v/>
      </c>
    </row>
    <row r="120" ht="19.5" customHeight="1" s="98">
      <c r="A120" s="20" t="n">
        <v>113</v>
      </c>
      <c r="B120" s="76" t="inlineStr">
        <is>
          <t>23ETCCS113</t>
        </is>
      </c>
      <c r="C120" s="77" t="inlineStr">
        <is>
          <t>PANKAJ DANGI</t>
        </is>
      </c>
      <c r="D120" s="81" t="n">
        <v>37</v>
      </c>
      <c r="E120" s="81" t="n">
        <v>30</v>
      </c>
      <c r="F120" s="81">
        <f>D120+E120</f>
        <v/>
      </c>
      <c r="G120" s="22">
        <f>IF((D120/$D$6)&gt;=$D$7,1,0)</f>
        <v/>
      </c>
      <c r="H120" s="23">
        <f>IF((E120/$E$6)&gt;=$E$7,1,0)</f>
        <v/>
      </c>
    </row>
    <row r="121" ht="19.5" customHeight="1" s="98">
      <c r="A121" s="20" t="n">
        <v>114</v>
      </c>
      <c r="B121" s="79" t="inlineStr">
        <is>
          <t>23ETCCS114</t>
        </is>
      </c>
      <c r="C121" s="78" t="inlineStr">
        <is>
          <t>PANKAJ JOSHI</t>
        </is>
      </c>
      <c r="D121" s="81" t="n">
        <v>41</v>
      </c>
      <c r="E121" s="81" t="n">
        <v>26</v>
      </c>
      <c r="F121" s="81">
        <f>D121+E121</f>
        <v/>
      </c>
      <c r="G121" s="22">
        <f>IF((D121/$D$6)&gt;=$D$7,1,0)</f>
        <v/>
      </c>
      <c r="H121" s="23">
        <f>IF((E121/$E$6)&gt;=$E$7,1,0)</f>
        <v/>
      </c>
    </row>
    <row r="122" ht="19.5" customHeight="1" s="98">
      <c r="A122" s="20" t="n">
        <v>115</v>
      </c>
      <c r="B122" s="76" t="inlineStr">
        <is>
          <t>23ETCCS115</t>
        </is>
      </c>
      <c r="C122" s="77" t="inlineStr">
        <is>
          <t>PARIDHI MEHRA</t>
        </is>
      </c>
      <c r="D122" s="81" t="n">
        <v>29</v>
      </c>
      <c r="E122" s="81" t="n">
        <v>25</v>
      </c>
      <c r="F122" s="81">
        <f>D122+E122</f>
        <v/>
      </c>
      <c r="G122" s="22">
        <f>IF((D122/$D$6)&gt;=$D$7,1,0)</f>
        <v/>
      </c>
      <c r="H122" s="23">
        <f>IF((E122/$E$6)&gt;=$E$7,1,0)</f>
        <v/>
      </c>
    </row>
    <row r="123" ht="19.5" customHeight="1" s="98">
      <c r="A123" s="20" t="n">
        <v>116</v>
      </c>
      <c r="B123" s="76" t="inlineStr">
        <is>
          <t>23ETCCS116</t>
        </is>
      </c>
      <c r="C123" s="77" t="inlineStr">
        <is>
          <t>PATEL TISHANGKUMAR RAKESHKUMAR</t>
        </is>
      </c>
      <c r="D123" s="81" t="n">
        <v>45</v>
      </c>
      <c r="E123" s="81" t="n">
        <v>28</v>
      </c>
      <c r="F123" s="81">
        <f>D123+E123</f>
        <v/>
      </c>
      <c r="G123" s="22">
        <f>IF((D123/$D$6)&gt;=$D$7,1,0)</f>
        <v/>
      </c>
      <c r="H123" s="23">
        <f>IF((E123/$E$6)&gt;=$E$7,1,0)</f>
        <v/>
      </c>
    </row>
    <row r="124" ht="19.5" customHeight="1" s="98">
      <c r="A124" s="20" t="n">
        <v>117</v>
      </c>
      <c r="B124" s="76" t="inlineStr">
        <is>
          <t>23ETCCS117</t>
        </is>
      </c>
      <c r="C124" s="77" t="inlineStr">
        <is>
          <t>PIYUSH YADAV</t>
        </is>
      </c>
      <c r="D124" s="81" t="n">
        <v>29</v>
      </c>
      <c r="E124" s="81" t="n">
        <v>23</v>
      </c>
      <c r="F124" s="81">
        <f>D124+E124</f>
        <v/>
      </c>
      <c r="G124" s="22">
        <f>IF((D124/$D$6)&gt;=$D$7,1,0)</f>
        <v/>
      </c>
      <c r="H124" s="23">
        <f>IF((E124/$E$6)&gt;=$E$7,1,0)</f>
        <v/>
      </c>
    </row>
    <row r="125" ht="19.5" customHeight="1" s="98">
      <c r="A125" s="20" t="n">
        <v>118</v>
      </c>
      <c r="B125" s="79" t="inlineStr">
        <is>
          <t>23ETCCS118</t>
        </is>
      </c>
      <c r="C125" s="78" t="inlineStr">
        <is>
          <t>PRACHI KOTHARI</t>
        </is>
      </c>
      <c r="D125" s="81" t="n">
        <v>59</v>
      </c>
      <c r="E125" s="81" t="n">
        <v>30</v>
      </c>
      <c r="F125" s="81">
        <f>D125+E125</f>
        <v/>
      </c>
      <c r="G125" s="22">
        <f>IF((D125/$D$6)&gt;=$D$7,1,0)</f>
        <v/>
      </c>
      <c r="H125" s="23">
        <f>IF((E125/$E$6)&gt;=$E$7,1,0)</f>
        <v/>
      </c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9.5" customHeight="1" s="98">
      <c r="A126" s="20" t="n">
        <v>119</v>
      </c>
      <c r="B126" s="76" t="inlineStr">
        <is>
          <t>23ETCCS119</t>
        </is>
      </c>
      <c r="C126" s="77" t="inlineStr">
        <is>
          <t>PRANAV CHAKRAVORTY</t>
        </is>
      </c>
      <c r="D126" s="81" t="n">
        <v>33</v>
      </c>
      <c r="E126" s="81" t="n">
        <v>22</v>
      </c>
      <c r="F126" s="81">
        <f>D126+E126</f>
        <v/>
      </c>
      <c r="G126" s="22">
        <f>IF((D126/$D$6)&gt;=$D$7,1,0)</f>
        <v/>
      </c>
      <c r="H126" s="23">
        <f>IF((E126/$E$6)&gt;=$E$7,1,0)</f>
        <v/>
      </c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9.5" customHeight="1" s="98">
      <c r="A127" s="20" t="n">
        <v>120</v>
      </c>
      <c r="B127" s="76" t="inlineStr">
        <is>
          <t>23ETCCS121</t>
        </is>
      </c>
      <c r="C127" s="77" t="inlineStr">
        <is>
          <t>PRANAV RAJ SINGH RANAWAT</t>
        </is>
      </c>
      <c r="D127" s="81" t="n">
        <v>27</v>
      </c>
      <c r="E127" s="81" t="n">
        <v>23</v>
      </c>
      <c r="F127" s="81">
        <f>D127+E127</f>
        <v/>
      </c>
      <c r="G127" s="22">
        <f>IF((D127/$D$6)&gt;=$D$7,1,0)</f>
        <v/>
      </c>
      <c r="H127" s="23">
        <f>IF((E127/$E$6)&gt;=$E$7,1,0)</f>
        <v/>
      </c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9.5" customHeight="1" s="98">
      <c r="A128" s="20" t="n">
        <v>121</v>
      </c>
      <c r="B128" s="76" t="inlineStr">
        <is>
          <t>23ETCCS122</t>
        </is>
      </c>
      <c r="C128" s="77" t="inlineStr">
        <is>
          <t>PRANAY TAILOR</t>
        </is>
      </c>
      <c r="D128" s="81" t="n">
        <v>52</v>
      </c>
      <c r="E128" s="81" t="n">
        <v>22</v>
      </c>
      <c r="F128" s="81">
        <f>D128+E128</f>
        <v/>
      </c>
      <c r="G128" s="22">
        <f>IF((D128/$D$6)&gt;=$D$7,1,0)</f>
        <v/>
      </c>
      <c r="H128" s="23">
        <f>IF((E128/$E$6)&gt;=$E$7,1,0)</f>
        <v/>
      </c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9.5" customHeight="1" s="98">
      <c r="A129" s="20" t="n">
        <v>122</v>
      </c>
      <c r="B129" s="76" t="inlineStr">
        <is>
          <t>23ETCCS123</t>
        </is>
      </c>
      <c r="C129" s="77" t="inlineStr">
        <is>
          <t>PRASHANT MENARIA</t>
        </is>
      </c>
      <c r="D129" s="81" t="n">
        <v>30</v>
      </c>
      <c r="E129" s="81" t="n">
        <v>25</v>
      </c>
      <c r="F129" s="81">
        <f>D129+E129</f>
        <v/>
      </c>
      <c r="G129" s="22">
        <f>IF((D129/$D$6)&gt;=$D$7,1,0)</f>
        <v/>
      </c>
      <c r="H129" s="23">
        <f>IF((E129/$E$6)&gt;=$E$7,1,0)</f>
        <v/>
      </c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9.5" customHeight="1" s="98">
      <c r="A130" s="20" t="n">
        <v>123</v>
      </c>
      <c r="B130" s="76" t="inlineStr">
        <is>
          <t>23ETCCS124</t>
        </is>
      </c>
      <c r="C130" s="77" t="inlineStr">
        <is>
          <t>PRIYANI JAIN</t>
        </is>
      </c>
      <c r="D130" s="81" t="n">
        <v>44</v>
      </c>
      <c r="E130" s="81" t="n">
        <v>28</v>
      </c>
      <c r="F130" s="81">
        <f>D130+E130</f>
        <v/>
      </c>
      <c r="G130" s="22">
        <f>IF((D130/$D$6)&gt;=$D$7,1,0)</f>
        <v/>
      </c>
      <c r="H130" s="23">
        <f>IF((E130/$E$6)&gt;=$E$7,1,0)</f>
        <v/>
      </c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9.5" customHeight="1" s="98">
      <c r="A131" s="20" t="n">
        <v>124</v>
      </c>
      <c r="B131" s="76" t="inlineStr">
        <is>
          <t>23ETCCS125</t>
        </is>
      </c>
      <c r="C131" s="77" t="inlineStr">
        <is>
          <t>PRIYANSHU LUHARIA</t>
        </is>
      </c>
      <c r="D131" s="81" t="n">
        <v>35</v>
      </c>
      <c r="E131" s="81" t="n">
        <v>30</v>
      </c>
      <c r="F131" s="81">
        <f>D131+E131</f>
        <v/>
      </c>
      <c r="G131" s="22">
        <f>IF((D131/$D$6)&gt;=$D$7,1,0)</f>
        <v/>
      </c>
      <c r="H131" s="23">
        <f>IF((E131/$E$6)&gt;=$E$7,1,0)</f>
        <v/>
      </c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9.5" customHeight="1" s="98">
      <c r="A132" s="20" t="n">
        <v>125</v>
      </c>
      <c r="B132" s="76" t="inlineStr">
        <is>
          <t>23ETCCS126</t>
        </is>
      </c>
      <c r="C132" s="77" t="inlineStr">
        <is>
          <t>PUNIT TAK</t>
        </is>
      </c>
      <c r="D132" s="81" t="n">
        <v>36</v>
      </c>
      <c r="E132" s="81" t="n">
        <v>27</v>
      </c>
      <c r="F132" s="81">
        <f>D132+E132</f>
        <v/>
      </c>
      <c r="G132" s="22">
        <f>IF((D132/$D$6)&gt;=$D$7,1,0)</f>
        <v/>
      </c>
      <c r="H132" s="23">
        <f>IF((E132/$E$6)&gt;=$E$7,1,0)</f>
        <v/>
      </c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9.5" customHeight="1" s="98">
      <c r="A133" s="20" t="n">
        <v>126</v>
      </c>
      <c r="B133" s="76" t="inlineStr">
        <is>
          <t>23ETCCS127</t>
        </is>
      </c>
      <c r="C133" s="77" t="inlineStr">
        <is>
          <t>PURAN SUTHAR</t>
        </is>
      </c>
      <c r="D133" s="81" t="n">
        <v>28</v>
      </c>
      <c r="E133" s="81" t="n">
        <v>22</v>
      </c>
      <c r="F133" s="81">
        <f>D133+E133</f>
        <v/>
      </c>
      <c r="G133" s="22">
        <f>IF((D133/$D$6)&gt;=$D$7,1,0)</f>
        <v/>
      </c>
      <c r="H133" s="23">
        <f>IF((E133/$E$6)&gt;=$E$7,1,0)</f>
        <v/>
      </c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9.5" customHeight="1" s="98">
      <c r="A134" s="20" t="n">
        <v>127</v>
      </c>
      <c r="B134" s="76" t="inlineStr">
        <is>
          <t>23ETCCS128</t>
        </is>
      </c>
      <c r="C134" s="77" t="inlineStr">
        <is>
          <t>PURVA R VERMA</t>
        </is>
      </c>
      <c r="D134" s="81" t="n">
        <v>26</v>
      </c>
      <c r="E134" s="81" t="n">
        <v>25</v>
      </c>
      <c r="F134" s="81">
        <f>D134+E134</f>
        <v/>
      </c>
      <c r="G134" s="22">
        <f>IF((D134/$D$6)&gt;=$D$7,1,0)</f>
        <v/>
      </c>
      <c r="H134" s="23">
        <f>IF((E134/$E$6)&gt;=$E$7,1,0)</f>
        <v/>
      </c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9.5" customHeight="1" s="98">
      <c r="A135" s="20" t="n">
        <v>128</v>
      </c>
      <c r="B135" s="76" t="inlineStr">
        <is>
          <t>23ETCCS129</t>
        </is>
      </c>
      <c r="C135" s="77" t="inlineStr">
        <is>
          <t>RAGHAV KAUSHIK</t>
        </is>
      </c>
      <c r="D135" s="81" t="n">
        <v>24</v>
      </c>
      <c r="E135" s="81" t="n">
        <v>23</v>
      </c>
      <c r="F135" s="81">
        <f>D135+E135</f>
        <v/>
      </c>
      <c r="G135" s="22">
        <f>IF((D135/$D$6)&gt;=$D$7,1,0)</f>
        <v/>
      </c>
      <c r="H135" s="23">
        <f>IF((E135/$E$6)&gt;=$E$7,1,0)</f>
        <v/>
      </c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9.5" customHeight="1" s="98">
      <c r="A136" s="20" t="n">
        <v>129</v>
      </c>
      <c r="B136" s="76" t="inlineStr">
        <is>
          <t>23ETCCS130</t>
        </is>
      </c>
      <c r="C136" s="77" t="inlineStr">
        <is>
          <t>RAJAT AMETA</t>
        </is>
      </c>
      <c r="D136" s="81" t="n">
        <v>28</v>
      </c>
      <c r="E136" s="81" t="n">
        <v>27</v>
      </c>
      <c r="F136" s="81">
        <f>D136+E136</f>
        <v/>
      </c>
      <c r="G136" s="22">
        <f>IF((D136/$D$6)&gt;=$D$7,1,0)</f>
        <v/>
      </c>
      <c r="H136" s="23">
        <f>IF((E136/$E$6)&gt;=$E$7,1,0)</f>
        <v/>
      </c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9.5" customHeight="1" s="98">
      <c r="A137" s="20" t="n">
        <v>130</v>
      </c>
      <c r="B137" s="76" t="inlineStr">
        <is>
          <t>23ETCCS131</t>
        </is>
      </c>
      <c r="C137" s="77" t="inlineStr">
        <is>
          <t>REAL JAIN</t>
        </is>
      </c>
      <c r="D137" s="81" t="n">
        <v>33</v>
      </c>
      <c r="E137" s="81" t="n">
        <v>29</v>
      </c>
      <c r="F137" s="81">
        <f>D137+E137</f>
        <v/>
      </c>
      <c r="G137" s="22">
        <f>IF((D137/$D$6)&gt;=$D$7,1,0)</f>
        <v/>
      </c>
      <c r="H137" s="23">
        <f>IF((E137/$E$6)&gt;=$E$7,1,0)</f>
        <v/>
      </c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9.5" customHeight="1" s="98">
      <c r="A138" s="20" t="n">
        <v>131</v>
      </c>
      <c r="B138" s="76" t="inlineStr">
        <is>
          <t>23ETCCS133</t>
        </is>
      </c>
      <c r="C138" s="77" t="inlineStr">
        <is>
          <t>RISHI MENARIA</t>
        </is>
      </c>
      <c r="D138" s="81" t="n">
        <v>50</v>
      </c>
      <c r="E138" s="81" t="n">
        <v>30</v>
      </c>
      <c r="F138" s="81">
        <f>D138+E138</f>
        <v/>
      </c>
      <c r="G138" s="22">
        <f>IF((D138/$D$6)&gt;=$D$7,1,0)</f>
        <v/>
      </c>
      <c r="H138" s="23">
        <f>IF((E138/$E$6)&gt;=$E$7,1,0)</f>
        <v/>
      </c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9.5" customHeight="1" s="98">
      <c r="A139" s="20" t="n">
        <v>132</v>
      </c>
      <c r="B139" s="76" t="inlineStr">
        <is>
          <t>23ETCCS134</t>
        </is>
      </c>
      <c r="C139" s="77" t="inlineStr">
        <is>
          <t>ROHIT RAJPUT</t>
        </is>
      </c>
      <c r="D139" s="81" t="n">
        <v>46</v>
      </c>
      <c r="E139" s="81" t="n">
        <v>25</v>
      </c>
      <c r="F139" s="81">
        <f>D139+E139</f>
        <v/>
      </c>
      <c r="G139" s="22">
        <f>IF((D139/$D$6)&gt;=$D$7,1,0)</f>
        <v/>
      </c>
      <c r="H139" s="23">
        <f>IF((E139/$E$6)&gt;=$E$7,1,0)</f>
        <v/>
      </c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9.5" customHeight="1" s="98">
      <c r="A140" s="20" t="n">
        <v>133</v>
      </c>
      <c r="B140" s="76" t="inlineStr">
        <is>
          <t>23ETCCS135</t>
        </is>
      </c>
      <c r="C140" s="77" t="inlineStr">
        <is>
          <t>RUDRA PRATAP SINGH RATHORE</t>
        </is>
      </c>
      <c r="D140" s="81" t="n">
        <v>45</v>
      </c>
      <c r="E140" s="81" t="n">
        <v>28</v>
      </c>
      <c r="F140" s="81">
        <f>D140+E140</f>
        <v/>
      </c>
      <c r="G140" s="22">
        <f>IF((D140/$D$6)&gt;=$D$7,1,0)</f>
        <v/>
      </c>
      <c r="H140" s="23">
        <f>IF((E140/$E$6)&gt;=$E$7,1,0)</f>
        <v/>
      </c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9.5" customHeight="1" s="98">
      <c r="A141" s="20" t="n">
        <v>134</v>
      </c>
      <c r="B141" s="76" t="inlineStr">
        <is>
          <t>23ETCCS136</t>
        </is>
      </c>
      <c r="C141" s="77" t="inlineStr">
        <is>
          <t>RUDRAKSH CHITTORA</t>
        </is>
      </c>
      <c r="D141" s="81" t="n">
        <v>46</v>
      </c>
      <c r="E141" s="81" t="n">
        <v>30</v>
      </c>
      <c r="F141" s="81">
        <f>D141+E141</f>
        <v/>
      </c>
      <c r="G141" s="22">
        <f>IF((D141/$D$6)&gt;=$D$7,1,0)</f>
        <v/>
      </c>
      <c r="H141" s="23">
        <f>IF((E141/$E$6)&gt;=$E$7,1,0)</f>
        <v/>
      </c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9.5" customHeight="1" s="98">
      <c r="A142" s="20" t="n">
        <v>135</v>
      </c>
      <c r="B142" s="76" t="inlineStr">
        <is>
          <t>23ETCCS137</t>
        </is>
      </c>
      <c r="C142" s="77" t="inlineStr">
        <is>
          <t>SANJAY JAT</t>
        </is>
      </c>
      <c r="D142" s="81" t="n">
        <v>51</v>
      </c>
      <c r="E142" s="81" t="n">
        <v>23</v>
      </c>
      <c r="F142" s="81">
        <f>D142+E142</f>
        <v/>
      </c>
      <c r="G142" s="22">
        <f>IF((D142/$D$6)&gt;=$D$7,1,0)</f>
        <v/>
      </c>
      <c r="H142" s="23">
        <f>IF((E142/$E$6)&gt;=$E$7,1,0)</f>
        <v/>
      </c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9.5" customHeight="1" s="98">
      <c r="A143" s="20" t="n"/>
      <c r="B143" s="76" t="n"/>
      <c r="C143" s="77" t="n"/>
      <c r="D143" s="81" t="n"/>
      <c r="E143" s="81" t="n"/>
      <c r="F143" s="81">
        <f>D143+E143</f>
        <v/>
      </c>
      <c r="G143" s="22">
        <f>IF((D143/$D$6)&gt;=$D$7,1,0)</f>
        <v/>
      </c>
      <c r="H143" s="23">
        <f>IF((E143/$E$6)&gt;=$E$7,1,0)</f>
        <v/>
      </c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9.5" customHeight="1" s="98">
      <c r="A144" s="20" t="n">
        <v>137</v>
      </c>
      <c r="B144" s="76" t="inlineStr">
        <is>
          <t>23ETCCS139</t>
        </is>
      </c>
      <c r="C144" s="77" t="inlineStr">
        <is>
          <t>SANYAM ARORA</t>
        </is>
      </c>
      <c r="D144" s="81" t="n">
        <v>21</v>
      </c>
      <c r="E144" s="81" t="n">
        <v>16</v>
      </c>
      <c r="F144" s="81">
        <f>D144+E144</f>
        <v/>
      </c>
      <c r="G144" s="22">
        <f>IF((D144/$D$6)&gt;=$D$7,1,0)</f>
        <v/>
      </c>
      <c r="H144" s="23">
        <f>IF((E144/$E$6)&gt;=$E$7,1,0)</f>
        <v/>
      </c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9.5" customHeight="1" s="98">
      <c r="A145" s="20" t="n">
        <v>138</v>
      </c>
      <c r="B145" s="76" t="inlineStr">
        <is>
          <t>23ETCCS140</t>
        </is>
      </c>
      <c r="C145" s="77" t="inlineStr">
        <is>
          <t>SARANSH WADHWANI</t>
        </is>
      </c>
      <c r="D145" s="81" t="n">
        <v>55</v>
      </c>
      <c r="E145" s="81" t="n">
        <v>30</v>
      </c>
      <c r="F145" s="81">
        <f>D145+E145</f>
        <v/>
      </c>
      <c r="G145" s="22">
        <f>IF((D145/$D$6)&gt;=$D$7,1,0)</f>
        <v/>
      </c>
      <c r="H145" s="23">
        <f>IF((E145/$E$6)&gt;=$E$7,1,0)</f>
        <v/>
      </c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9.5" customHeight="1" s="98">
      <c r="A146" s="20" t="n">
        <v>139</v>
      </c>
      <c r="B146" s="76" t="inlineStr">
        <is>
          <t>23ETCCS141</t>
        </is>
      </c>
      <c r="C146" s="77" t="inlineStr">
        <is>
          <t>SEJAL DASHORA</t>
        </is>
      </c>
      <c r="D146" s="81" t="n">
        <v>46</v>
      </c>
      <c r="E146" s="81" t="n">
        <v>23</v>
      </c>
      <c r="F146" s="81">
        <f>D146+E146</f>
        <v/>
      </c>
      <c r="G146" s="22">
        <f>IF((D146/$D$6)&gt;=$D$7,1,0)</f>
        <v/>
      </c>
      <c r="H146" s="23">
        <f>IF((E146/$E$6)&gt;=$E$7,1,0)</f>
        <v/>
      </c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9.5" customHeight="1" s="98">
      <c r="A147" s="20" t="n">
        <v>140</v>
      </c>
      <c r="B147" s="76" t="inlineStr">
        <is>
          <t>23ETCCS142</t>
        </is>
      </c>
      <c r="C147" s="77" t="inlineStr">
        <is>
          <t>SHASHANK SONI</t>
        </is>
      </c>
      <c r="D147" s="81" t="n">
        <v>41</v>
      </c>
      <c r="E147" s="81" t="n">
        <v>27</v>
      </c>
      <c r="F147" s="81">
        <f>D147+E147</f>
        <v/>
      </c>
      <c r="G147" s="22">
        <f>IF((D147/$D$6)&gt;=$D$7,1,0)</f>
        <v/>
      </c>
      <c r="H147" s="23">
        <f>IF((E147/$E$6)&gt;=$E$7,1,0)</f>
        <v/>
      </c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9.5" customHeight="1" s="98">
      <c r="A148" s="20" t="n">
        <v>141</v>
      </c>
      <c r="B148" s="76" t="inlineStr">
        <is>
          <t>23ETCCS143</t>
        </is>
      </c>
      <c r="C148" s="77" t="inlineStr">
        <is>
          <t>SHAWIL BHARGAVA</t>
        </is>
      </c>
      <c r="D148" s="81" t="n">
        <v>30</v>
      </c>
      <c r="E148" s="81" t="n">
        <v>27</v>
      </c>
      <c r="F148" s="81">
        <f>D148+E148</f>
        <v/>
      </c>
      <c r="G148" s="22">
        <f>IF((D148/$D$6)&gt;=$D$7,1,0)</f>
        <v/>
      </c>
      <c r="H148" s="23">
        <f>IF((E148/$E$6)&gt;=$E$7,1,0)</f>
        <v/>
      </c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9.5" customHeight="1" s="98">
      <c r="A149" s="20" t="n">
        <v>142</v>
      </c>
      <c r="B149" s="76" t="inlineStr">
        <is>
          <t>23ETCCS144</t>
        </is>
      </c>
      <c r="C149" s="77" t="inlineStr">
        <is>
          <t>SHIKHAR JOSHI</t>
        </is>
      </c>
      <c r="D149" s="81" t="n">
        <v>16</v>
      </c>
      <c r="E149" s="81" t="n">
        <v>23</v>
      </c>
      <c r="F149" s="81">
        <f>D149+E149</f>
        <v/>
      </c>
      <c r="G149" s="22">
        <f>IF((D149/$D$6)&gt;=$D$7,1,0)</f>
        <v/>
      </c>
      <c r="H149" s="23">
        <f>IF((E149/$E$6)&gt;=$E$7,1,0)</f>
        <v/>
      </c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9.5" customHeight="1" s="98">
      <c r="A150" s="20" t="n">
        <v>143</v>
      </c>
      <c r="B150" s="76" t="inlineStr">
        <is>
          <t>23ETCCS145</t>
        </is>
      </c>
      <c r="C150" s="77" t="inlineStr">
        <is>
          <t>SNEHA DADHICH</t>
        </is>
      </c>
      <c r="D150" s="81" t="n">
        <v>30</v>
      </c>
      <c r="E150" s="81" t="n">
        <v>26</v>
      </c>
      <c r="F150" s="81">
        <f>D150+E150</f>
        <v/>
      </c>
      <c r="G150" s="22">
        <f>IF((D150/$D$6)&gt;=$D$7,1,0)</f>
        <v/>
      </c>
      <c r="H150" s="23">
        <f>IF((E150/$E$6)&gt;=$E$7,1,0)</f>
        <v/>
      </c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9.5" customHeight="1" s="98">
      <c r="A151" s="20" t="n">
        <v>144</v>
      </c>
      <c r="B151" s="76" t="inlineStr">
        <is>
          <t>23ETCCS146</t>
        </is>
      </c>
      <c r="C151" s="77" t="inlineStr">
        <is>
          <t>SONAL RAJWANI</t>
        </is>
      </c>
      <c r="D151" s="81" t="n">
        <v>54</v>
      </c>
      <c r="E151" s="81" t="n">
        <v>30</v>
      </c>
      <c r="F151" s="81">
        <f>D151+E151</f>
        <v/>
      </c>
      <c r="G151" s="22">
        <f>IF((D151/$D$6)&gt;=$D$7,1,0)</f>
        <v/>
      </c>
      <c r="H151" s="23">
        <f>IF((E151/$E$6)&gt;=$E$7,1,0)</f>
        <v/>
      </c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9.5" customHeight="1" s="98">
      <c r="A152" s="20" t="n">
        <v>145</v>
      </c>
      <c r="B152" s="76" t="inlineStr">
        <is>
          <t>23ETCCS147</t>
        </is>
      </c>
      <c r="C152" s="77" t="inlineStr">
        <is>
          <t>SOUMYA JAIN</t>
        </is>
      </c>
      <c r="D152" s="81" t="n">
        <v>43</v>
      </c>
      <c r="E152" s="81" t="n">
        <v>27</v>
      </c>
      <c r="F152" s="81">
        <f>D152+E152</f>
        <v/>
      </c>
      <c r="G152" s="22">
        <f>IF((D152/$D$6)&gt;=$D$7,1,0)</f>
        <v/>
      </c>
      <c r="H152" s="23">
        <f>IF((E152/$E$6)&gt;=$E$7,1,0)</f>
        <v/>
      </c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9.5" customHeight="1" s="98">
      <c r="A153" s="20" t="n">
        <v>146</v>
      </c>
      <c r="B153" s="76" t="inlineStr">
        <is>
          <t>23ETCCS148</t>
        </is>
      </c>
      <c r="C153" s="77" t="inlineStr">
        <is>
          <t>SUMER SINGH RAO</t>
        </is>
      </c>
      <c r="D153" s="81" t="n">
        <v>34</v>
      </c>
      <c r="E153" s="81" t="n">
        <v>29</v>
      </c>
      <c r="F153" s="81">
        <f>D153+E153</f>
        <v/>
      </c>
      <c r="G153" s="22">
        <f>IF((D153/$D$6)&gt;=$D$7,1,0)</f>
        <v/>
      </c>
      <c r="H153" s="23">
        <f>IF((E153/$E$6)&gt;=$E$7,1,0)</f>
        <v/>
      </c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9.5" customHeight="1" s="98">
      <c r="A154" s="20" t="n">
        <v>147</v>
      </c>
      <c r="B154" s="76" t="inlineStr">
        <is>
          <t>23ETCCS149</t>
        </is>
      </c>
      <c r="C154" s="77" t="inlineStr">
        <is>
          <t>SURYABHAN SINGH RATHORE</t>
        </is>
      </c>
      <c r="D154" s="81" t="n">
        <v>41</v>
      </c>
      <c r="E154" s="81" t="n">
        <v>23</v>
      </c>
      <c r="F154" s="81">
        <f>D154+E154</f>
        <v/>
      </c>
      <c r="G154" s="22">
        <f>IF((D154/$D$6)&gt;=$D$7,1,0)</f>
        <v/>
      </c>
      <c r="H154" s="23">
        <f>IF((E154/$E$6)&gt;=$E$7,1,0)</f>
        <v/>
      </c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9.5" customHeight="1" s="98">
      <c r="A155" s="20" t="n">
        <v>148</v>
      </c>
      <c r="B155" s="76" t="inlineStr">
        <is>
          <t>23ETCCS150</t>
        </is>
      </c>
      <c r="C155" s="77" t="inlineStr">
        <is>
          <t>TAKSH PANERI</t>
        </is>
      </c>
      <c r="D155" s="81" t="n">
        <v>23</v>
      </c>
      <c r="E155" s="81" t="n">
        <v>24</v>
      </c>
      <c r="F155" s="81">
        <f>D155+E155</f>
        <v/>
      </c>
      <c r="G155" s="22">
        <f>IF((D155/$D$6)&gt;=$D$7,1,0)</f>
        <v/>
      </c>
      <c r="H155" s="23">
        <f>IF((E155/$E$6)&gt;=$E$7,1,0)</f>
        <v/>
      </c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9.5" customHeight="1" s="98">
      <c r="A156" s="20" t="n">
        <v>149</v>
      </c>
      <c r="B156" s="76" t="inlineStr">
        <is>
          <t>23ETCCS151</t>
        </is>
      </c>
      <c r="C156" s="77" t="inlineStr">
        <is>
          <t>TANISH JAIN</t>
        </is>
      </c>
      <c r="D156" s="81" t="n">
        <v>48</v>
      </c>
      <c r="E156" s="81" t="n">
        <v>26</v>
      </c>
      <c r="F156" s="81">
        <f>D156+E156</f>
        <v/>
      </c>
      <c r="G156" s="22">
        <f>IF((D156/$D$6)&gt;=$D$7,1,0)</f>
        <v/>
      </c>
      <c r="H156" s="23">
        <f>IF((E156/$E$6)&gt;=$E$7,1,0)</f>
        <v/>
      </c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9.5" customHeight="1" s="98">
      <c r="A157" s="20" t="n">
        <v>150</v>
      </c>
      <c r="B157" s="76" t="inlineStr">
        <is>
          <t>23ETCCS152</t>
        </is>
      </c>
      <c r="C157" s="77" t="inlineStr">
        <is>
          <t>TANISHKA JAIN</t>
        </is>
      </c>
      <c r="D157" s="81" t="n">
        <v>46</v>
      </c>
      <c r="E157" s="81" t="n">
        <v>29</v>
      </c>
      <c r="F157" s="81">
        <f>D157+E157</f>
        <v/>
      </c>
      <c r="G157" s="22">
        <f>IF((D157/$D$6)&gt;=$D$7,1,0)</f>
        <v/>
      </c>
      <c r="H157" s="23">
        <f>IF((E157/$E$6)&gt;=$E$7,1,0)</f>
        <v/>
      </c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9.5" customHeight="1" s="98">
      <c r="A158" s="20" t="n">
        <v>151</v>
      </c>
      <c r="B158" s="76" t="inlineStr">
        <is>
          <t>23ETCCS153</t>
        </is>
      </c>
      <c r="C158" s="77" t="inlineStr">
        <is>
          <t>TANMAY BANSAL</t>
        </is>
      </c>
      <c r="D158" s="81" t="n">
        <v>38</v>
      </c>
      <c r="E158" s="81" t="n">
        <v>27</v>
      </c>
      <c r="F158" s="81">
        <f>D158+E158</f>
        <v/>
      </c>
      <c r="G158" s="22">
        <f>IF((D158/$D$6)&gt;=$D$7,1,0)</f>
        <v/>
      </c>
      <c r="H158" s="23">
        <f>IF((E158/$E$6)&gt;=$E$7,1,0)</f>
        <v/>
      </c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9.5" customHeight="1" s="98">
      <c r="A159" s="20" t="n">
        <v>152</v>
      </c>
      <c r="B159" s="76" t="inlineStr">
        <is>
          <t>23ETCCS154</t>
        </is>
      </c>
      <c r="C159" s="77" t="inlineStr">
        <is>
          <t>TUHINA BHADURI</t>
        </is>
      </c>
      <c r="D159" s="81" t="n">
        <v>34</v>
      </c>
      <c r="E159" s="81" t="n">
        <v>25</v>
      </c>
      <c r="F159" s="81">
        <f>D159+E159</f>
        <v/>
      </c>
      <c r="G159" s="22">
        <f>IF((D159/$D$6)&gt;=$D$7,1,0)</f>
        <v/>
      </c>
      <c r="H159" s="23">
        <f>IF((E159/$E$6)&gt;=$E$7,1,0)</f>
        <v/>
      </c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9.5" customHeight="1" s="98">
      <c r="A160" s="20" t="n">
        <v>153</v>
      </c>
      <c r="B160" s="76" t="inlineStr">
        <is>
          <t>23ETCCS155</t>
        </is>
      </c>
      <c r="C160" s="77" t="inlineStr">
        <is>
          <t>TUSHAR OJHA</t>
        </is>
      </c>
      <c r="D160" s="81" t="n">
        <v>45</v>
      </c>
      <c r="E160" s="81" t="n">
        <v>24</v>
      </c>
      <c r="F160" s="81">
        <f>D160+E160</f>
        <v/>
      </c>
      <c r="G160" s="22">
        <f>IF((D160/$D$6)&gt;=$D$7,1,0)</f>
        <v/>
      </c>
      <c r="H160" s="23">
        <f>IF((E160/$E$6)&gt;=$E$7,1,0)</f>
        <v/>
      </c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9.5" customHeight="1" s="98">
      <c r="A161" s="20" t="n">
        <v>154</v>
      </c>
      <c r="B161" s="76" t="inlineStr">
        <is>
          <t>23ETCCS156</t>
        </is>
      </c>
      <c r="C161" s="77" t="inlineStr">
        <is>
          <t>UMANG LADHA</t>
        </is>
      </c>
      <c r="D161" s="81" t="n">
        <v>49</v>
      </c>
      <c r="E161" s="81" t="n">
        <v>26</v>
      </c>
      <c r="F161" s="81">
        <f>D161+E161</f>
        <v/>
      </c>
      <c r="G161" s="22">
        <f>IF((D161/$D$6)&gt;=$D$7,1,0)</f>
        <v/>
      </c>
      <c r="H161" s="23">
        <f>IF((E161/$E$6)&gt;=$E$7,1,0)</f>
        <v/>
      </c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9.5" customHeight="1" s="98">
      <c r="A162" s="20" t="n">
        <v>155</v>
      </c>
      <c r="B162" s="76" t="inlineStr">
        <is>
          <t>23ETCCS157</t>
        </is>
      </c>
      <c r="C162" s="77" t="inlineStr">
        <is>
          <t>VAIBHAV KUMAWAT</t>
        </is>
      </c>
      <c r="D162" s="81" t="n">
        <v>32</v>
      </c>
      <c r="E162" s="81" t="n">
        <v>29</v>
      </c>
      <c r="F162" s="81">
        <f>D162+E162</f>
        <v/>
      </c>
      <c r="G162" s="22">
        <f>IF((D162/$D$6)&gt;=$D$7,1,0)</f>
        <v/>
      </c>
      <c r="H162" s="23">
        <f>IF((E162/$E$6)&gt;=$E$7,1,0)</f>
        <v/>
      </c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9.5" customHeight="1" s="98">
      <c r="A163" s="20" t="n">
        <v>156</v>
      </c>
      <c r="B163" s="76" t="inlineStr">
        <is>
          <t>23ETCCS158</t>
        </is>
      </c>
      <c r="C163" s="77" t="inlineStr">
        <is>
          <t>VAIBHAV MENARIA</t>
        </is>
      </c>
      <c r="D163" s="81" t="n">
        <v>34</v>
      </c>
      <c r="E163" s="81" t="n">
        <v>23</v>
      </c>
      <c r="F163" s="81">
        <f>D163+E163</f>
        <v/>
      </c>
      <c r="G163" s="22">
        <f>IF((D163/$D$6)&gt;=$D$7,1,0)</f>
        <v/>
      </c>
      <c r="H163" s="23">
        <f>IF((E163/$E$6)&gt;=$E$7,1,0)</f>
        <v/>
      </c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9.5" customHeight="1" s="98">
      <c r="A164" s="20" t="n">
        <v>157</v>
      </c>
      <c r="B164" s="76" t="inlineStr">
        <is>
          <t>23ETCCS159</t>
        </is>
      </c>
      <c r="C164" s="77" t="inlineStr">
        <is>
          <t>VARUN PANERI</t>
        </is>
      </c>
      <c r="D164" s="81" t="n">
        <v>25</v>
      </c>
      <c r="E164" s="81" t="n">
        <v>21</v>
      </c>
      <c r="F164" s="81">
        <f>D164+E164</f>
        <v/>
      </c>
      <c r="G164" s="22">
        <f>IF((D164/$D$6)&gt;=$D$7,1,0)</f>
        <v/>
      </c>
      <c r="H164" s="23">
        <f>IF((E164/$E$6)&gt;=$E$7,1,0)</f>
        <v/>
      </c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9.5" customHeight="1" s="98">
      <c r="A165" s="20" t="n">
        <v>158</v>
      </c>
      <c r="B165" s="76" t="inlineStr">
        <is>
          <t>23ETCCS160</t>
        </is>
      </c>
      <c r="C165" s="77" t="inlineStr">
        <is>
          <t>VASHISHTH SHARMA</t>
        </is>
      </c>
      <c r="D165" s="81" t="n">
        <v>39</v>
      </c>
      <c r="E165" s="81" t="n">
        <v>23</v>
      </c>
      <c r="F165" s="81">
        <f>D165+E165</f>
        <v/>
      </c>
      <c r="G165" s="22">
        <f>IF((D165/$D$6)&gt;=$D$7,1,0)</f>
        <v/>
      </c>
      <c r="H165" s="23">
        <f>IF((E165/$E$6)&gt;=$E$7,1,0)</f>
        <v/>
      </c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9.5" customHeight="1" s="98">
      <c r="A166" s="20" t="n">
        <v>159</v>
      </c>
      <c r="B166" s="76" t="inlineStr">
        <is>
          <t>23ETCCS161</t>
        </is>
      </c>
      <c r="C166" s="77" t="inlineStr">
        <is>
          <t>VIBHANSHI JAIN</t>
        </is>
      </c>
      <c r="D166" s="81" t="n">
        <v>51</v>
      </c>
      <c r="E166" s="81" t="n">
        <v>29</v>
      </c>
      <c r="F166" s="81">
        <f>D166+E166</f>
        <v/>
      </c>
      <c r="G166" s="22">
        <f>IF((D166/$D$6)&gt;=$D$7,1,0)</f>
        <v/>
      </c>
      <c r="H166" s="23">
        <f>IF((E166/$E$6)&gt;=$E$7,1,0)</f>
        <v/>
      </c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9.5" customHeight="1" s="98">
      <c r="A167" s="20" t="n">
        <v>160</v>
      </c>
      <c r="B167" s="76" t="inlineStr">
        <is>
          <t>23ETCCS162</t>
        </is>
      </c>
      <c r="C167" s="77" t="inlineStr">
        <is>
          <t>VINAYAK MAHESHWARI</t>
        </is>
      </c>
      <c r="D167" s="81" t="n">
        <v>33</v>
      </c>
      <c r="E167" s="81" t="n">
        <v>27</v>
      </c>
      <c r="F167" s="81">
        <f>D167+E167</f>
        <v/>
      </c>
      <c r="G167" s="22">
        <f>IF((D167/$D$6)&gt;=$D$7,1,0)</f>
        <v/>
      </c>
      <c r="H167" s="23">
        <f>IF((E167/$E$6)&gt;=$E$7,1,0)</f>
        <v/>
      </c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9.5" customHeight="1" s="98">
      <c r="A168" s="20" t="n">
        <v>161</v>
      </c>
      <c r="B168" s="76" t="inlineStr">
        <is>
          <t>23ETCCS163</t>
        </is>
      </c>
      <c r="C168" s="77" t="inlineStr">
        <is>
          <t>VINIT INTODIA</t>
        </is>
      </c>
      <c r="D168" s="81" t="n">
        <v>39</v>
      </c>
      <c r="E168" s="81" t="n">
        <v>24</v>
      </c>
      <c r="F168" s="81">
        <f>D168+E168</f>
        <v/>
      </c>
      <c r="G168" s="22">
        <f>IF((D168/$D$6)&gt;=$D$7,1,0)</f>
        <v/>
      </c>
      <c r="H168" s="23">
        <f>IF((E168/$E$6)&gt;=$E$7,1,0)</f>
        <v/>
      </c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9.5" customHeight="1" s="98">
      <c r="A169" s="20" t="n">
        <v>162</v>
      </c>
      <c r="B169" s="76" t="inlineStr">
        <is>
          <t>23ETCCS164</t>
        </is>
      </c>
      <c r="C169" s="77" t="inlineStr">
        <is>
          <t>VINIT JAIN</t>
        </is>
      </c>
      <c r="D169" s="81" t="n">
        <v>34</v>
      </c>
      <c r="E169" s="81" t="n">
        <v>28</v>
      </c>
      <c r="F169" s="81">
        <f>D169+E169</f>
        <v/>
      </c>
      <c r="G169" s="22">
        <f>IF((D169/$D$6)&gt;=$D$7,1,0)</f>
        <v/>
      </c>
      <c r="H169" s="23">
        <f>IF((E169/$E$6)&gt;=$E$7,1,0)</f>
        <v/>
      </c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9.5" customHeight="1" s="98">
      <c r="A170" s="20" t="n">
        <v>163</v>
      </c>
      <c r="B170" s="76" t="inlineStr">
        <is>
          <t>23ETCCS165</t>
        </is>
      </c>
      <c r="C170" s="77" t="inlineStr">
        <is>
          <t>VIPANSHU PALIWAL</t>
        </is>
      </c>
      <c r="D170" s="81" t="n">
        <v>15</v>
      </c>
      <c r="E170" s="81" t="n">
        <v>24</v>
      </c>
      <c r="F170" s="81">
        <f>D170+E170</f>
        <v/>
      </c>
      <c r="G170" s="22">
        <f>IF((D170/$D$6)&gt;=$D$7,1,0)</f>
        <v/>
      </c>
      <c r="H170" s="23">
        <f>IF((E170/$E$6)&gt;=$E$7,1,0)</f>
        <v/>
      </c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9.5" customHeight="1" s="98">
      <c r="A171" s="20" t="n">
        <v>164</v>
      </c>
      <c r="B171" s="79" t="inlineStr">
        <is>
          <t>23ETCCS166</t>
        </is>
      </c>
      <c r="C171" s="78" t="inlineStr">
        <is>
          <t>VISHESH JAIN</t>
        </is>
      </c>
      <c r="D171" s="81" t="n">
        <v>64</v>
      </c>
      <c r="E171" s="81" t="n">
        <v>30</v>
      </c>
      <c r="F171" s="81">
        <f>D171+E171</f>
        <v/>
      </c>
      <c r="G171" s="22">
        <f>IF((D171/$D$6)&gt;=$D$7,1,0)</f>
        <v/>
      </c>
      <c r="H171" s="23">
        <f>IF((E171/$E$6)&gt;=$E$7,1,0)</f>
        <v/>
      </c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9.5" customHeight="1" s="98">
      <c r="A172" s="20" t="n">
        <v>165</v>
      </c>
      <c r="B172" s="76" t="inlineStr">
        <is>
          <t>23ETCCS167</t>
        </is>
      </c>
      <c r="C172" s="77" t="inlineStr">
        <is>
          <t>YAKSH JAIN</t>
        </is>
      </c>
      <c r="D172" s="81" t="n">
        <v>42</v>
      </c>
      <c r="E172" s="81" t="n">
        <v>24</v>
      </c>
      <c r="F172" s="81">
        <f>D172+E172</f>
        <v/>
      </c>
      <c r="G172" s="22">
        <f>IF((D172/$D$6)&gt;=$D$7,1,0)</f>
        <v/>
      </c>
      <c r="H172" s="23">
        <f>IF((E172/$E$6)&gt;=$E$7,1,0)</f>
        <v/>
      </c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9.5" customHeight="1" s="98">
      <c r="A173" s="20" t="n">
        <v>166</v>
      </c>
      <c r="B173" s="76" t="inlineStr">
        <is>
          <t>23ETCCS168</t>
        </is>
      </c>
      <c r="C173" s="77" t="inlineStr">
        <is>
          <t>YAKSHIT SHARMA</t>
        </is>
      </c>
      <c r="D173" s="81" t="n">
        <v>30</v>
      </c>
      <c r="E173" s="81" t="n">
        <v>22</v>
      </c>
      <c r="F173" s="81">
        <f>D173+E173</f>
        <v/>
      </c>
      <c r="G173" s="22">
        <f>IF((D173/$D$6)&gt;=$D$7,1,0)</f>
        <v/>
      </c>
      <c r="H173" s="23">
        <f>IF((E173/$E$6)&gt;=$E$7,1,0)</f>
        <v/>
      </c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9.5" customHeight="1" s="98">
      <c r="A174" s="20" t="n">
        <v>167</v>
      </c>
      <c r="B174" s="76" t="inlineStr">
        <is>
          <t>23ETCCS169</t>
        </is>
      </c>
      <c r="C174" s="77" t="inlineStr">
        <is>
          <t>YASH DAVE</t>
        </is>
      </c>
      <c r="D174" s="81" t="n">
        <v>30</v>
      </c>
      <c r="E174" s="81" t="n">
        <v>28</v>
      </c>
      <c r="F174" s="81">
        <f>D174+E174</f>
        <v/>
      </c>
      <c r="G174" s="22">
        <f>IF((D174/$D$6)&gt;=$D$7,1,0)</f>
        <v/>
      </c>
      <c r="H174" s="23">
        <f>IF((E174/$E$6)&gt;=$E$7,1,0)</f>
        <v/>
      </c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9.5" customHeight="1" s="98">
      <c r="A175" s="20" t="n">
        <v>168</v>
      </c>
      <c r="B175" s="76" t="inlineStr">
        <is>
          <t>23ETCCS170</t>
        </is>
      </c>
      <c r="C175" s="77" t="inlineStr">
        <is>
          <t>YASH JAIN</t>
        </is>
      </c>
      <c r="D175" s="81" t="n">
        <v>49</v>
      </c>
      <c r="E175" s="81" t="n">
        <v>29</v>
      </c>
      <c r="F175" s="81">
        <f>D175+E175</f>
        <v/>
      </c>
      <c r="G175" s="22">
        <f>IF((D175/$D$6)&gt;=$D$7,1,0)</f>
        <v/>
      </c>
      <c r="H175" s="23">
        <f>IF((E175/$E$6)&gt;=$E$7,1,0)</f>
        <v/>
      </c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9.5" customHeight="1" s="98">
      <c r="A176" s="20" t="n">
        <v>169</v>
      </c>
      <c r="B176" s="76" t="inlineStr">
        <is>
          <t>23ETCCS171</t>
        </is>
      </c>
      <c r="C176" s="77" t="inlineStr">
        <is>
          <t>YASH KHERODIYA</t>
        </is>
      </c>
      <c r="D176" s="81" t="n">
        <v>32</v>
      </c>
      <c r="E176" s="81" t="n">
        <v>25</v>
      </c>
      <c r="F176" s="81">
        <f>D176+E176</f>
        <v/>
      </c>
      <c r="G176" s="22">
        <f>IF((D176/$D$6)&gt;=$D$7,1,0)</f>
        <v/>
      </c>
      <c r="H176" s="23">
        <f>IF((E176/$E$6)&gt;=$E$7,1,0)</f>
        <v/>
      </c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9.5" customHeight="1" s="98">
      <c r="A177" s="20" t="n">
        <v>170</v>
      </c>
      <c r="B177" s="76" t="inlineStr">
        <is>
          <t>23ETCCS172</t>
        </is>
      </c>
      <c r="C177" s="77" t="inlineStr">
        <is>
          <t>YASH KUMAR</t>
        </is>
      </c>
      <c r="D177" s="81" t="n">
        <v>46</v>
      </c>
      <c r="E177" s="81" t="n">
        <v>28</v>
      </c>
      <c r="F177" s="81">
        <f>D177+E177</f>
        <v/>
      </c>
      <c r="G177" s="22">
        <f>IF((D177/$D$6)&gt;=$D$7,1,0)</f>
        <v/>
      </c>
      <c r="H177" s="23">
        <f>IF((E177/$E$6)&gt;=$E$7,1,0)</f>
        <v/>
      </c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9.5" customHeight="1" s="98">
      <c r="A178" s="20" t="n">
        <v>171</v>
      </c>
      <c r="B178" s="76" t="inlineStr">
        <is>
          <t>23ETCCS174</t>
        </is>
      </c>
      <c r="C178" s="77" t="inlineStr">
        <is>
          <t>YASHSWI JHALA</t>
        </is>
      </c>
      <c r="D178" s="81" t="n">
        <v>29</v>
      </c>
      <c r="E178" s="81" t="n">
        <v>24</v>
      </c>
      <c r="F178" s="81">
        <f>D178+E178</f>
        <v/>
      </c>
      <c r="G178" s="22">
        <f>IF((D178/$D$6)&gt;=$D$7,1,0)</f>
        <v/>
      </c>
      <c r="H178" s="23">
        <f>IF((E178/$E$6)&gt;=$E$7,1,0)</f>
        <v/>
      </c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9.5" customHeight="1" s="98">
      <c r="A179" s="20" t="n">
        <v>172</v>
      </c>
      <c r="B179" s="76" t="inlineStr">
        <is>
          <t>23ETCCS175</t>
        </is>
      </c>
      <c r="C179" s="77" t="inlineStr">
        <is>
          <t>YATHARTH UPADHYAY</t>
        </is>
      </c>
      <c r="D179" s="81" t="n">
        <v>37</v>
      </c>
      <c r="E179" s="81" t="n">
        <v>24</v>
      </c>
      <c r="F179" s="81">
        <f>D179+E179</f>
        <v/>
      </c>
      <c r="G179" s="22">
        <f>IF((D179/$D$6)&gt;=$D$7,1,0)</f>
        <v/>
      </c>
      <c r="H179" s="23">
        <f>IF((E179/$E$6)&gt;=$E$7,1,0)</f>
        <v/>
      </c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9.5" customHeight="1" s="98">
      <c r="A180" s="20" t="n">
        <v>173</v>
      </c>
      <c r="B180" s="76" t="inlineStr">
        <is>
          <t>23ETCCS176</t>
        </is>
      </c>
      <c r="C180" s="77" t="inlineStr">
        <is>
          <t>YUVRAJ SINGH GOUR</t>
        </is>
      </c>
      <c r="D180" s="81" t="n">
        <v>39</v>
      </c>
      <c r="E180" s="81" t="n">
        <v>28</v>
      </c>
      <c r="F180" s="81">
        <f>D180+E180</f>
        <v/>
      </c>
      <c r="G180" s="22">
        <f>IF((D180/$D$6)&gt;=$D$7,1,0)</f>
        <v/>
      </c>
      <c r="H180" s="23">
        <f>IF((E180/$E$6)&gt;=$E$7,1,0)</f>
        <v/>
      </c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9.5" customHeight="1" s="98">
      <c r="A181" s="20" t="n">
        <v>174</v>
      </c>
      <c r="B181" s="76" t="inlineStr">
        <is>
          <t>23ETCCS177</t>
        </is>
      </c>
      <c r="C181" s="77" t="inlineStr">
        <is>
          <t>ZOHER ZARI</t>
        </is>
      </c>
      <c r="D181" s="81" t="n">
        <v>65</v>
      </c>
      <c r="E181" s="81" t="n">
        <v>28</v>
      </c>
      <c r="F181" s="81">
        <f>D181+E181</f>
        <v/>
      </c>
      <c r="G181" s="22">
        <f>IF((D181/$D$6)&gt;=$D$7,1,0)</f>
        <v/>
      </c>
      <c r="H181" s="23">
        <f>IF((E181/$E$6)&gt;=$E$7,1,0)</f>
        <v/>
      </c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9.5" customHeight="1" s="98">
      <c r="A182" s="20" t="n">
        <v>175</v>
      </c>
      <c r="B182" s="76" t="inlineStr">
        <is>
          <t>24ETCCS200</t>
        </is>
      </c>
      <c r="C182" s="77" t="inlineStr">
        <is>
          <t>JAY SINGH</t>
        </is>
      </c>
      <c r="D182" s="81" t="n">
        <v>27</v>
      </c>
      <c r="E182" s="81" t="n">
        <v>16</v>
      </c>
      <c r="F182" s="81">
        <f>D182+E182</f>
        <v/>
      </c>
      <c r="G182" s="22">
        <f>IF((D182/$D$6)&gt;=$D$7,1,0)</f>
        <v/>
      </c>
      <c r="H182" s="23">
        <f>IF((E182/$E$6)&gt;=$E$7,1,0)</f>
        <v/>
      </c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9.5" customHeight="1" s="98">
      <c r="A183" s="20" t="n">
        <v>176</v>
      </c>
      <c r="B183" s="76" t="inlineStr">
        <is>
          <t>24ETCCS201</t>
        </is>
      </c>
      <c r="C183" s="77" t="inlineStr">
        <is>
          <t>SNEHA GAJENDRA BAGHEL</t>
        </is>
      </c>
      <c r="D183" s="81" t="n">
        <v>34</v>
      </c>
      <c r="E183" s="81" t="n">
        <v>27</v>
      </c>
      <c r="F183" s="81">
        <f>D183+E183</f>
        <v/>
      </c>
      <c r="G183" s="22">
        <f>IF((D183/$D$6)&gt;=$D$7,1,0)</f>
        <v/>
      </c>
      <c r="H183" s="23">
        <f>IF((E183/$E$6)&gt;=$E$7,1,0)</f>
        <v/>
      </c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9.5" customHeight="1" s="98">
      <c r="A184" s="20" t="n"/>
      <c r="B184" s="76" t="n"/>
      <c r="C184" s="77" t="n"/>
      <c r="D184" s="81" t="n"/>
      <c r="E184" s="81" t="n"/>
      <c r="F184" s="81">
        <f>D184+E184</f>
        <v/>
      </c>
      <c r="G184" s="22">
        <f>IF((D184/$D$6)&gt;=$D$7,1,0)</f>
        <v/>
      </c>
      <c r="H184" s="23">
        <f>IF((E184/$E$6)&gt;=$E$7,1,0)</f>
        <v/>
      </c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9.5" customHeight="1" s="98">
      <c r="A185" s="20" t="n"/>
      <c r="B185" s="76" t="n"/>
      <c r="C185" s="77" t="n"/>
      <c r="D185" s="81" t="n"/>
      <c r="E185" s="81" t="n"/>
      <c r="F185" s="81">
        <f>D185+E185</f>
        <v/>
      </c>
      <c r="G185" s="22">
        <f>IF((D185/$D$6)&gt;=$D$7,1,0)</f>
        <v/>
      </c>
      <c r="H185" s="23">
        <f>IF((E185/$E$6)&gt;=$E$7,1,0)</f>
        <v/>
      </c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9.5" customHeight="1" s="98">
      <c r="A186" s="20" t="n"/>
      <c r="B186" s="76" t="n"/>
      <c r="C186" s="77" t="n"/>
      <c r="D186" s="81" t="n"/>
      <c r="E186" s="81" t="n"/>
      <c r="F186" s="81">
        <f>D186+E186</f>
        <v/>
      </c>
      <c r="G186" s="22">
        <f>IF((D186/$D$6)&gt;=$D$7,1,0)</f>
        <v/>
      </c>
      <c r="H186" s="23">
        <f>IF((E186/$E$6)&gt;=$E$7,1,0)</f>
        <v/>
      </c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9.5" customHeight="1" s="98">
      <c r="A187" s="20" t="n"/>
      <c r="B187" s="76" t="n"/>
      <c r="C187" s="77" t="n"/>
      <c r="D187" s="81" t="n"/>
      <c r="E187" s="81" t="n"/>
      <c r="F187" s="81">
        <f>D187+E187</f>
        <v/>
      </c>
      <c r="G187" s="22">
        <f>IF((D187/$D$6)&gt;=$D$7,1,0)</f>
        <v/>
      </c>
      <c r="H187" s="23">
        <f>IF((E187/$E$6)&gt;=$E$7,1,0)</f>
        <v/>
      </c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9.5" customHeight="1" s="98">
      <c r="A188" s="20" t="n"/>
      <c r="B188" s="79" t="n"/>
      <c r="C188" s="78" t="n"/>
      <c r="D188" s="81" t="n"/>
      <c r="E188" s="81" t="n"/>
      <c r="F188" s="81">
        <f>D188+E188</f>
        <v/>
      </c>
      <c r="G188" s="22">
        <f>IF((D188/$D$6)&gt;=$D$7,1,0)</f>
        <v/>
      </c>
      <c r="H188" s="23">
        <f>IF((E188/$E$6)&gt;=$E$7,1,0)</f>
        <v/>
      </c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9.5" customHeight="1" s="98">
      <c r="A189" s="20" t="n"/>
      <c r="B189" s="76" t="n"/>
      <c r="C189" s="77" t="n"/>
      <c r="D189" s="81" t="n"/>
      <c r="E189" s="81" t="n"/>
      <c r="F189" s="81">
        <f>D189+E189</f>
        <v/>
      </c>
      <c r="G189" s="22">
        <f>IF((D189/$D$6)&gt;=$D$7,1,0)</f>
        <v/>
      </c>
      <c r="H189" s="23">
        <f>IF((E189/$E$6)&gt;=$E$7,1,0)</f>
        <v/>
      </c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9.5" customHeight="1" s="98">
      <c r="A190" s="20" t="n"/>
      <c r="B190" s="76" t="n"/>
      <c r="C190" s="77" t="n"/>
      <c r="D190" s="81" t="n"/>
      <c r="E190" s="81" t="n"/>
      <c r="F190" s="81">
        <f>D190+E190</f>
        <v/>
      </c>
      <c r="G190" s="22">
        <f>IF((D190/$D$6)&gt;=$D$7,1,0)</f>
        <v/>
      </c>
      <c r="H190" s="23">
        <f>IF((E190/$E$6)&gt;=$E$7,1,0)</f>
        <v/>
      </c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9.5" customHeight="1" s="98">
      <c r="A191" s="20" t="n"/>
      <c r="B191" s="76" t="n"/>
      <c r="C191" s="77" t="n"/>
      <c r="D191" s="81" t="n"/>
      <c r="E191" s="81" t="n"/>
      <c r="F191" s="81">
        <f>D191+E191</f>
        <v/>
      </c>
      <c r="G191" s="22">
        <f>IF((D191/$D$6)&gt;=$D$7,1,0)</f>
        <v/>
      </c>
      <c r="H191" s="23">
        <f>IF((E191/$E$6)&gt;=$E$7,1,0)</f>
        <v/>
      </c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9.5" customHeight="1" s="98">
      <c r="A192" s="20" t="n"/>
      <c r="B192" s="79" t="n"/>
      <c r="C192" s="78" t="n"/>
      <c r="D192" s="81" t="n"/>
      <c r="E192" s="81" t="n"/>
      <c r="F192" s="81">
        <f>D192+E192</f>
        <v/>
      </c>
      <c r="G192" s="22">
        <f>IF((D192/$D$6)&gt;=$D$7,1,0)</f>
        <v/>
      </c>
      <c r="H192" s="23">
        <f>IF((E192/$E$6)&gt;=$E$7,1,0)</f>
        <v/>
      </c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9.5" customHeight="1" s="98">
      <c r="A193" s="20" t="n"/>
      <c r="B193" s="76" t="n"/>
      <c r="C193" s="77" t="n"/>
      <c r="D193" s="81" t="n"/>
      <c r="E193" s="81" t="n"/>
      <c r="F193" s="81">
        <f>D193+E193</f>
        <v/>
      </c>
      <c r="G193" s="22">
        <f>IF((D193/$D$6)&gt;=$D$7,1,0)</f>
        <v/>
      </c>
      <c r="H193" s="23">
        <f>IF((E193/$E$6)&gt;=$E$7,1,0)</f>
        <v/>
      </c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9.5" customHeight="1" s="98">
      <c r="A194" s="20" t="n"/>
      <c r="B194" s="76" t="n"/>
      <c r="C194" s="77" t="n"/>
      <c r="D194" s="81" t="n"/>
      <c r="E194" s="81" t="n"/>
      <c r="F194" s="81">
        <f>D194+E194</f>
        <v/>
      </c>
      <c r="G194" s="22">
        <f>IF((D194/$D$6)&gt;=$D$7,1,0)</f>
        <v/>
      </c>
      <c r="H194" s="23">
        <f>IF((E194/$E$6)&gt;=$E$7,1,0)</f>
        <v/>
      </c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9.5" customHeight="1" s="98">
      <c r="A195" s="20" t="n"/>
      <c r="B195" s="76" t="n"/>
      <c r="C195" s="77" t="n"/>
      <c r="D195" s="81" t="n"/>
      <c r="E195" s="81" t="n"/>
      <c r="F195" s="81">
        <f>D195+E195</f>
        <v/>
      </c>
      <c r="G195" s="22">
        <f>IF((D195/$D$6)&gt;=$D$7,1,0)</f>
        <v/>
      </c>
      <c r="H195" s="23">
        <f>IF((E195/$E$6)&gt;=$E$7,1,0)</f>
        <v/>
      </c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9.5" customHeight="1" s="98">
      <c r="A196" s="20" t="n"/>
      <c r="B196" s="76" t="n"/>
      <c r="C196" s="77" t="n"/>
      <c r="D196" s="81" t="n"/>
      <c r="E196" s="81" t="n"/>
      <c r="F196" s="81">
        <f>D196+E196</f>
        <v/>
      </c>
      <c r="G196" s="22">
        <f>IF((D196/$D$6)&gt;=$D$7,1,0)</f>
        <v/>
      </c>
      <c r="H196" s="23">
        <f>IF((E196/$E$6)&gt;=$E$7,1,0)</f>
        <v/>
      </c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9.5" customHeight="1" s="98">
      <c r="A197" s="20" t="n"/>
      <c r="B197" s="76" t="n"/>
      <c r="C197" s="77" t="n"/>
      <c r="D197" s="81" t="n"/>
      <c r="E197" s="81" t="n"/>
      <c r="F197" s="81">
        <f>D197+E197</f>
        <v/>
      </c>
      <c r="G197" s="22">
        <f>IF((D197/$D$6)&gt;=$D$7,1,0)</f>
        <v/>
      </c>
      <c r="H197" s="23">
        <f>IF((E197/$E$6)&gt;=$E$7,1,0)</f>
        <v/>
      </c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9.5" customHeight="1" s="98">
      <c r="A198" s="20" t="n"/>
      <c r="B198" s="76" t="n"/>
      <c r="C198" s="77" t="n"/>
      <c r="D198" s="81" t="n"/>
      <c r="E198" s="81" t="n"/>
      <c r="F198" s="81">
        <f>D198+E198</f>
        <v/>
      </c>
      <c r="G198" s="22">
        <f>IF((D198/$D$6)&gt;=$D$7,1,0)</f>
        <v/>
      </c>
      <c r="H198" s="23">
        <f>IF((E198/$E$6)&gt;=$E$7,1,0)</f>
        <v/>
      </c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9.5" customHeight="1" s="98">
      <c r="A199" s="20" t="n"/>
      <c r="B199" s="76" t="n"/>
      <c r="C199" s="77" t="n"/>
      <c r="D199" s="81" t="n"/>
      <c r="E199" s="81" t="n"/>
      <c r="F199" s="81">
        <f>D199+E199</f>
        <v/>
      </c>
      <c r="G199" s="22">
        <f>IF((D199/$D$6)&gt;=$D$7,1,0)</f>
        <v/>
      </c>
      <c r="H199" s="23">
        <f>IF((E199/$E$6)&gt;=$E$7,1,0)</f>
        <v/>
      </c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9.5" customHeight="1" s="98">
      <c r="A200" s="20" t="n"/>
      <c r="B200" s="76" t="n"/>
      <c r="C200" s="77" t="n"/>
      <c r="D200" s="81" t="n"/>
      <c r="E200" s="81" t="n"/>
      <c r="F200" s="81">
        <f>D200+E200</f>
        <v/>
      </c>
      <c r="G200" s="22">
        <f>IF((D200/$D$6)&gt;=$D$7,1,0)</f>
        <v/>
      </c>
      <c r="H200" s="23">
        <f>IF((E200/$E$6)&gt;=$E$7,1,0)</f>
        <v/>
      </c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9.5" customHeight="1" s="98">
      <c r="A201" s="20" t="n"/>
      <c r="B201" s="76" t="n"/>
      <c r="C201" s="77" t="n"/>
      <c r="D201" s="81" t="n"/>
      <c r="E201" s="81" t="n"/>
      <c r="F201" s="81">
        <f>D201+E201</f>
        <v/>
      </c>
      <c r="G201" s="22">
        <f>IF((D201/$D$6)&gt;=$D$7,1,0)</f>
        <v/>
      </c>
      <c r="H201" s="23">
        <f>IF((E201/$E$6)&gt;=$E$7,1,0)</f>
        <v/>
      </c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9.5" customHeight="1" s="98">
      <c r="A202" s="20" t="n"/>
      <c r="B202" s="76" t="n"/>
      <c r="C202" s="77" t="n"/>
      <c r="D202" s="81" t="n"/>
      <c r="E202" s="81" t="n"/>
      <c r="F202" s="81">
        <f>D202+E202</f>
        <v/>
      </c>
      <c r="G202" s="22">
        <f>IF((D202/$D$6)&gt;=$D$7,1,0)</f>
        <v/>
      </c>
      <c r="H202" s="23">
        <f>IF((E202/$E$6)&gt;=$E$7,1,0)</f>
        <v/>
      </c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9.5" customHeight="1" s="98">
      <c r="A203" s="20" t="n"/>
      <c r="B203" s="76" t="n"/>
      <c r="C203" s="77" t="n"/>
      <c r="D203" s="81" t="n"/>
      <c r="E203" s="81" t="n"/>
      <c r="F203" s="81">
        <f>D203+E203</f>
        <v/>
      </c>
      <c r="G203" s="22">
        <f>IF((D203/$D$6)&gt;=$D$7,1,0)</f>
        <v/>
      </c>
      <c r="H203" s="23">
        <f>IF((E203/$E$6)&gt;=$E$7,1,0)</f>
        <v/>
      </c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9.5" customHeight="1" s="98">
      <c r="A204" s="20" t="n"/>
      <c r="B204" s="76" t="n"/>
      <c r="C204" s="77" t="n"/>
      <c r="D204" s="81" t="n"/>
      <c r="E204" s="81" t="n"/>
      <c r="F204" s="81">
        <f>D204+E204</f>
        <v/>
      </c>
      <c r="G204" s="22">
        <f>IF((D204/$D$6)&gt;=$D$7,1,0)</f>
        <v/>
      </c>
      <c r="H204" s="23">
        <f>IF((E204/$E$6)&gt;=$E$7,1,0)</f>
        <v/>
      </c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9.5" customHeight="1" s="98">
      <c r="A205" s="20" t="n"/>
      <c r="B205" s="76" t="n"/>
      <c r="C205" s="77" t="n"/>
      <c r="D205" s="81" t="n"/>
      <c r="E205" s="81" t="n"/>
      <c r="F205" s="81">
        <f>D205+E205</f>
        <v/>
      </c>
      <c r="G205" s="22">
        <f>IF((D205/$D$6)&gt;=$D$7,1,0)</f>
        <v/>
      </c>
      <c r="H205" s="23">
        <f>IF((E205/$E$6)&gt;=$E$7,1,0)</f>
        <v/>
      </c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9.5" customHeight="1" s="98">
      <c r="A206" s="20" t="n"/>
      <c r="B206" s="76" t="n"/>
      <c r="C206" s="77" t="n"/>
      <c r="D206" s="81" t="n"/>
      <c r="E206" s="81" t="n"/>
      <c r="F206" s="81">
        <f>D206+E206</f>
        <v/>
      </c>
      <c r="G206" s="22">
        <f>IF((D206/$D$6)&gt;=$D$7,1,0)</f>
        <v/>
      </c>
      <c r="H206" s="23">
        <f>IF((E206/$E$6)&gt;=$E$7,1,0)</f>
        <v/>
      </c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9.5" customHeight="1" s="98">
      <c r="A207" s="20" t="n"/>
      <c r="B207" s="76" t="n"/>
      <c r="C207" s="77" t="n"/>
      <c r="D207" s="81" t="n"/>
      <c r="E207" s="81" t="n"/>
      <c r="F207" s="81">
        <f>D207+E207</f>
        <v/>
      </c>
      <c r="G207" s="22">
        <f>IF((D207/$D$6)&gt;=$D$7,1,0)</f>
        <v/>
      </c>
      <c r="H207" s="23">
        <f>IF((E207/$E$6)&gt;=$E$7,1,0)</f>
        <v/>
      </c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9.5" customHeight="1" s="98">
      <c r="A208" s="20" t="n"/>
      <c r="B208" s="76" t="n"/>
      <c r="C208" s="77" t="n"/>
      <c r="D208" s="81" t="n"/>
      <c r="E208" s="81" t="n"/>
      <c r="F208" s="81">
        <f>D208+E208</f>
        <v/>
      </c>
      <c r="G208" s="22">
        <f>IF((D208/$D$6)&gt;=$D$7,1,0)</f>
        <v/>
      </c>
      <c r="H208" s="23">
        <f>IF((E208/$E$6)&gt;=$E$7,1,0)</f>
        <v/>
      </c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9.5" customHeight="1" s="98">
      <c r="A209" s="20" t="n"/>
      <c r="B209" s="76" t="n"/>
      <c r="C209" s="77" t="n"/>
      <c r="D209" s="81" t="n"/>
      <c r="E209" s="81" t="n"/>
      <c r="F209" s="81">
        <f>D209+E209</f>
        <v/>
      </c>
      <c r="G209" s="22">
        <f>IF((D209/$D$6)&gt;=$D$7,1,0)</f>
        <v/>
      </c>
      <c r="H209" s="23">
        <f>IF((E209/$E$6)&gt;=$E$7,1,0)</f>
        <v/>
      </c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9.5" customHeight="1" s="98">
      <c r="A210" s="20" t="n"/>
      <c r="B210" s="79" t="n"/>
      <c r="C210" s="78" t="n"/>
      <c r="D210" s="81" t="n"/>
      <c r="E210" s="81" t="n"/>
      <c r="F210" s="81">
        <f>D210+E210</f>
        <v/>
      </c>
      <c r="G210" s="22">
        <f>IF((D210/$D$6)&gt;=$D$7,1,0)</f>
        <v/>
      </c>
      <c r="H210" s="23">
        <f>IF((E210/$E$6)&gt;=$E$7,1,0)</f>
        <v/>
      </c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9.5" customHeight="1" s="98">
      <c r="A211" s="20" t="n"/>
      <c r="B211" s="76" t="n"/>
      <c r="C211" s="77" t="n"/>
      <c r="D211" s="81" t="n"/>
      <c r="E211" s="81" t="n"/>
      <c r="F211" s="81">
        <f>D211+E211</f>
        <v/>
      </c>
      <c r="G211" s="22">
        <f>IF((D211/$D$6)&gt;=$D$7,1,0)</f>
        <v/>
      </c>
      <c r="H211" s="23">
        <f>IF((E211/$E$6)&gt;=$E$7,1,0)</f>
        <v/>
      </c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9.5" customHeight="1" s="98">
      <c r="A212" s="20" t="n"/>
      <c r="B212" s="76" t="n"/>
      <c r="C212" s="77" t="n"/>
      <c r="D212" s="81" t="n"/>
      <c r="E212" s="81" t="n"/>
      <c r="F212" s="81">
        <f>D212+E212</f>
        <v/>
      </c>
      <c r="G212" s="22">
        <f>IF((D212/$D$6)&gt;=$D$7,1,0)</f>
        <v/>
      </c>
      <c r="H212" s="23">
        <f>IF((E212/$E$6)&gt;=$E$7,1,0)</f>
        <v/>
      </c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9.5" customHeight="1" s="98">
      <c r="A213" s="20" t="n"/>
      <c r="B213" s="76" t="n"/>
      <c r="C213" s="77" t="n"/>
      <c r="D213" s="81" t="n"/>
      <c r="E213" s="81" t="n"/>
      <c r="F213" s="81">
        <f>D213+E213</f>
        <v/>
      </c>
      <c r="G213" s="22">
        <f>IF((D213/$D$6)&gt;=$D$7,1,0)</f>
        <v/>
      </c>
      <c r="H213" s="23">
        <f>IF((E213/$E$6)&gt;=$E$7,1,0)</f>
        <v/>
      </c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9.5" customHeight="1" s="98">
      <c r="A214" s="20" t="n"/>
      <c r="B214" s="76" t="n"/>
      <c r="C214" s="77" t="n"/>
      <c r="D214" s="81" t="n"/>
      <c r="E214" s="81" t="n"/>
      <c r="F214" s="81">
        <f>D214+E214</f>
        <v/>
      </c>
      <c r="G214" s="22">
        <f>IF((D214/$D$6)&gt;=$D$7,1,0)</f>
        <v/>
      </c>
      <c r="H214" s="23">
        <f>IF((E214/$E$6)&gt;=$E$7,1,0)</f>
        <v/>
      </c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9.5" customHeight="1" s="98">
      <c r="A215" s="20" t="n"/>
      <c r="B215" s="76" t="n"/>
      <c r="C215" s="77" t="n"/>
      <c r="D215" s="81" t="n"/>
      <c r="E215" s="81" t="n"/>
      <c r="F215" s="81">
        <f>D215+E215</f>
        <v/>
      </c>
      <c r="G215" s="22">
        <f>IF((D215/$D$6)&gt;=$D$7,1,0)</f>
        <v/>
      </c>
      <c r="H215" s="23">
        <f>IF((E215/$E$6)&gt;=$E$7,1,0)</f>
        <v/>
      </c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9.5" customHeight="1" s="98">
      <c r="A216" s="20" t="n"/>
      <c r="B216" s="76" t="n"/>
      <c r="C216" s="77" t="n"/>
      <c r="D216" s="81" t="n"/>
      <c r="E216" s="81" t="n"/>
      <c r="F216" s="81">
        <f>D216+E216</f>
        <v/>
      </c>
      <c r="G216" s="22">
        <f>IF((D216/$D$6)&gt;=$D$7,1,0)</f>
        <v/>
      </c>
      <c r="H216" s="23">
        <f>IF((E216/$E$6)&gt;=$E$7,1,0)</f>
        <v/>
      </c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9.5" customHeight="1" s="98">
      <c r="A217" s="20" t="n"/>
      <c r="B217" s="76" t="n"/>
      <c r="C217" s="77" t="n"/>
      <c r="D217" s="81" t="n"/>
      <c r="E217" s="81" t="n"/>
      <c r="F217" s="81">
        <f>D217+E217</f>
        <v/>
      </c>
      <c r="G217" s="22">
        <f>IF((D217/$D$6)&gt;=$D$7,1,0)</f>
        <v/>
      </c>
      <c r="H217" s="23">
        <f>IF((E217/$E$6)&gt;=$E$7,1,0)</f>
        <v/>
      </c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9.5" customHeight="1" s="98">
      <c r="A218" s="20" t="n"/>
      <c r="B218" s="79" t="n"/>
      <c r="C218" s="78" t="n"/>
      <c r="D218" s="81" t="n"/>
      <c r="E218" s="81" t="n"/>
      <c r="F218" s="81">
        <f>D218+E218</f>
        <v/>
      </c>
      <c r="G218" s="22">
        <f>IF((D218/$D$6)&gt;=$D$7,1,0)</f>
        <v/>
      </c>
      <c r="H218" s="23">
        <f>IF((E218/$E$6)&gt;=$E$7,1,0)</f>
        <v/>
      </c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9.5" customHeight="1" s="98">
      <c r="A219" s="20" t="n"/>
      <c r="B219" s="76" t="n"/>
      <c r="C219" s="77" t="n"/>
      <c r="D219" s="81" t="n"/>
      <c r="E219" s="81" t="n"/>
      <c r="F219" s="81">
        <f>D219+E219</f>
        <v/>
      </c>
      <c r="G219" s="22">
        <f>IF((D219/$D$6)&gt;=$D$7,1,0)</f>
        <v/>
      </c>
      <c r="H219" s="23">
        <f>IF((E219/$E$6)&gt;=$E$7,1,0)</f>
        <v/>
      </c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9.5" customHeight="1" s="98">
      <c r="A220" s="25" t="n"/>
      <c r="B220" s="26" t="n"/>
      <c r="C220" s="27" t="n"/>
      <c r="D220" s="28" t="n">
        <v>212</v>
      </c>
      <c r="E220" s="28" t="n">
        <v>212</v>
      </c>
      <c r="F220" s="25" t="n"/>
      <c r="G220" s="15">
        <f>COUNTIF(G8:G219,1)</f>
        <v/>
      </c>
      <c r="H220" s="15">
        <f>COUNTIF(H8:H219,1)</f>
        <v/>
      </c>
    </row>
    <row r="221" ht="15.75" customHeight="1" s="98">
      <c r="A221" s="29" t="inlineStr">
        <is>
          <t>CO Attainment Calculation</t>
        </is>
      </c>
      <c r="B221" s="30" t="n"/>
      <c r="C221" s="31" t="n"/>
      <c r="D221" s="32" t="inlineStr">
        <is>
          <t>% of students get &gt;= Target %</t>
        </is>
      </c>
      <c r="E221" s="32" t="inlineStr">
        <is>
          <t>CO Attainment Level</t>
        </is>
      </c>
      <c r="F221" s="32" t="inlineStr">
        <is>
          <t>Signature Subject Teacher</t>
        </is>
      </c>
      <c r="G221" s="125" t="n"/>
      <c r="H221" s="126" t="n"/>
    </row>
    <row r="222" ht="19.5" customHeight="1" s="98">
      <c r="A222" s="29" t="inlineStr">
        <is>
          <t>Attainment of End Term Exam</t>
        </is>
      </c>
      <c r="B222" s="30" t="n"/>
      <c r="C222" s="31" t="n"/>
      <c r="D222" s="33">
        <f>ROUND((G220/D220*100),0)</f>
        <v/>
      </c>
      <c r="E222" s="32">
        <f>IF(D222&gt;100,"ERROR",IF(D222&gt;=61,3,IF(D222&gt;=46,2,IF(D222&gt;=16,1,IF(D222&gt;15,0,0)))))</f>
        <v/>
      </c>
      <c r="F222" s="34" t="n"/>
      <c r="G222" s="35" t="n"/>
      <c r="H222" s="36" t="n"/>
    </row>
    <row r="223" ht="19.5" customHeight="1" s="98">
      <c r="A223" s="29" t="inlineStr">
        <is>
          <t>Attainment of Sessional Exam</t>
        </is>
      </c>
      <c r="B223" s="30" t="n"/>
      <c r="C223" s="31" t="n"/>
      <c r="D223" s="33">
        <f>ROUND((H220/E220*100),0)</f>
        <v/>
      </c>
      <c r="E223" s="33">
        <f>IF(D223&gt;100,"ERROR",IF(D223&gt;=61,3,IF(D223&gt;=46,2,IF(D223&gt;=16,1,IF(D223&gt;15,0,0)))))</f>
        <v/>
      </c>
      <c r="F223" s="37" t="n"/>
      <c r="G223" s="38" t="n"/>
      <c r="H223" s="39" t="n"/>
    </row>
    <row r="224" ht="15.75" customHeight="1" s="98">
      <c r="D224" s="40" t="n"/>
      <c r="E224" s="40" t="n"/>
    </row>
    <row r="225" ht="15.75" customHeight="1" s="98">
      <c r="D225" s="40" t="n"/>
      <c r="E225" s="40" t="n"/>
    </row>
    <row r="226" ht="15.75" customHeight="1" s="98">
      <c r="D226" s="40" t="n"/>
      <c r="E226" s="40" t="n"/>
    </row>
    <row r="227" ht="15.75" customHeight="1" s="98">
      <c r="D227" s="40" t="n"/>
      <c r="E227" s="40" t="n"/>
    </row>
    <row r="228" ht="15.75" customHeight="1" s="98">
      <c r="D228" s="40" t="n"/>
      <c r="E228" s="40" t="n"/>
    </row>
    <row r="229" ht="15.75" customHeight="1" s="98">
      <c r="D229" s="40" t="n"/>
      <c r="E229" s="40" t="n"/>
    </row>
    <row r="230" ht="15.75" customHeight="1" s="98">
      <c r="D230" s="40" t="n"/>
      <c r="E230" s="40" t="n"/>
    </row>
    <row r="231" ht="15.75" customHeight="1" s="98">
      <c r="D231" s="40" t="n"/>
      <c r="E231" s="40" t="n"/>
    </row>
    <row r="232" ht="15.75" customHeight="1" s="98">
      <c r="D232" s="40" t="n"/>
      <c r="E232" s="40" t="n"/>
    </row>
    <row r="233" ht="15.75" customHeight="1" s="98">
      <c r="D233" s="40" t="n"/>
      <c r="E233" s="40" t="n"/>
    </row>
    <row r="234" ht="15.75" customHeight="1" s="98">
      <c r="D234" s="40" t="n"/>
      <c r="E234" s="40" t="n"/>
    </row>
    <row r="235" ht="15.75" customHeight="1" s="98">
      <c r="D235" s="40" t="n"/>
      <c r="E235" s="40" t="n"/>
    </row>
    <row r="236" ht="15.75" customHeight="1" s="98">
      <c r="D236" s="40" t="n"/>
      <c r="E236" s="40" t="n"/>
    </row>
    <row r="237" ht="15.75" customHeight="1" s="98">
      <c r="D237" s="40" t="n"/>
      <c r="E237" s="40" t="n"/>
    </row>
    <row r="238" ht="15.75" customHeight="1" s="98">
      <c r="D238" s="40" t="n"/>
      <c r="E238" s="40" t="n"/>
    </row>
    <row r="239" ht="15.75" customHeight="1" s="98">
      <c r="D239" s="40" t="n"/>
      <c r="E239" s="40" t="n"/>
    </row>
    <row r="240" ht="15.75" customHeight="1" s="98">
      <c r="D240" s="40" t="n"/>
      <c r="E240" s="40" t="n"/>
    </row>
    <row r="241" ht="15.75" customHeight="1" s="98">
      <c r="D241" s="40" t="n"/>
      <c r="E241" s="40" t="n"/>
    </row>
    <row r="242" ht="15.75" customHeight="1" s="98">
      <c r="D242" s="40" t="n"/>
      <c r="E242" s="40" t="n"/>
    </row>
    <row r="243" ht="15.75" customHeight="1" s="98">
      <c r="D243" s="40" t="n"/>
      <c r="E243" s="40" t="n"/>
    </row>
    <row r="244" ht="15.75" customHeight="1" s="98">
      <c r="D244" s="40" t="n"/>
      <c r="E244" s="40" t="n"/>
    </row>
    <row r="245" ht="15.75" customHeight="1" s="98">
      <c r="D245" s="40" t="n"/>
      <c r="E245" s="40" t="n"/>
    </row>
    <row r="246" ht="15.75" customHeight="1" s="98">
      <c r="D246" s="40" t="n"/>
      <c r="E246" s="40" t="n"/>
    </row>
    <row r="247" ht="15.75" customHeight="1" s="98">
      <c r="D247" s="40" t="n"/>
      <c r="E247" s="40" t="n"/>
    </row>
    <row r="248" ht="15.75" customHeight="1" s="98">
      <c r="D248" s="40" t="n"/>
      <c r="E248" s="40" t="n"/>
    </row>
    <row r="249" ht="15.75" customHeight="1" s="98">
      <c r="D249" s="40" t="n"/>
      <c r="E249" s="40" t="n"/>
    </row>
    <row r="250" ht="15.75" customHeight="1" s="98">
      <c r="D250" s="40" t="n"/>
      <c r="E250" s="40" t="n"/>
    </row>
    <row r="251" ht="15.75" customHeight="1" s="98">
      <c r="D251" s="40" t="n"/>
      <c r="E251" s="40" t="n"/>
    </row>
    <row r="252" ht="15.75" customHeight="1" s="98">
      <c r="D252" s="40" t="n"/>
      <c r="E252" s="40" t="n"/>
    </row>
    <row r="253" ht="15.75" customHeight="1" s="98">
      <c r="D253" s="40" t="n"/>
      <c r="E253" s="40" t="n"/>
    </row>
    <row r="254" ht="15.75" customHeight="1" s="98">
      <c r="D254" s="40" t="n"/>
      <c r="E254" s="40" t="n"/>
    </row>
    <row r="255" ht="15.75" customHeight="1" s="98">
      <c r="D255" s="40" t="n"/>
      <c r="E255" s="40" t="n"/>
    </row>
    <row r="256" ht="15.75" customHeight="1" s="98">
      <c r="D256" s="40" t="n"/>
      <c r="E256" s="40" t="n"/>
    </row>
    <row r="257" ht="15.75" customHeight="1" s="98">
      <c r="D257" s="40" t="n"/>
      <c r="E257" s="40" t="n"/>
    </row>
    <row r="258" ht="15.75" customHeight="1" s="98">
      <c r="D258" s="40" t="n"/>
      <c r="E258" s="40" t="n"/>
    </row>
    <row r="259" ht="15.75" customHeight="1" s="98">
      <c r="D259" s="40" t="n"/>
      <c r="E259" s="40" t="n"/>
    </row>
    <row r="260" ht="15.75" customHeight="1" s="98">
      <c r="D260" s="40" t="n"/>
      <c r="E260" s="40" t="n"/>
    </row>
    <row r="261" ht="15.75" customHeight="1" s="98">
      <c r="D261" s="40" t="n"/>
      <c r="E261" s="40" t="n"/>
    </row>
    <row r="262" ht="15.75" customHeight="1" s="98">
      <c r="D262" s="40" t="n"/>
      <c r="E262" s="40" t="n"/>
    </row>
    <row r="263" ht="15.75" customHeight="1" s="98">
      <c r="D263" s="40" t="n"/>
      <c r="E263" s="40" t="n"/>
    </row>
    <row r="264" ht="15.75" customHeight="1" s="98">
      <c r="D264" s="40" t="n"/>
      <c r="E264" s="40" t="n"/>
    </row>
    <row r="265" ht="15.75" customHeight="1" s="98">
      <c r="D265" s="40" t="n"/>
      <c r="E265" s="40" t="n"/>
    </row>
    <row r="266" ht="15.75" customHeight="1" s="98">
      <c r="D266" s="40" t="n"/>
      <c r="E266" s="40" t="n"/>
    </row>
    <row r="267" ht="15.75" customHeight="1" s="98">
      <c r="D267" s="40" t="n"/>
      <c r="E267" s="40" t="n"/>
    </row>
    <row r="268" ht="15.75" customHeight="1" s="98">
      <c r="D268" s="40" t="n"/>
      <c r="E268" s="40" t="n"/>
    </row>
    <row r="269" ht="15.75" customHeight="1" s="98">
      <c r="D269" s="40" t="n"/>
      <c r="E269" s="40" t="n"/>
    </row>
    <row r="270" ht="15.75" customHeight="1" s="98">
      <c r="D270" s="40" t="n"/>
      <c r="E270" s="40" t="n"/>
    </row>
    <row r="271" ht="15.75" customHeight="1" s="98">
      <c r="D271" s="40" t="n"/>
      <c r="E271" s="40" t="n"/>
    </row>
    <row r="272" ht="15.75" customHeight="1" s="98">
      <c r="D272" s="40" t="n"/>
      <c r="E272" s="40" t="n"/>
    </row>
    <row r="273" ht="15.75" customHeight="1" s="98">
      <c r="D273" s="40" t="n"/>
      <c r="E273" s="40" t="n"/>
    </row>
    <row r="274" ht="15.75" customHeight="1" s="98">
      <c r="D274" s="40" t="n"/>
      <c r="E274" s="40" t="n"/>
    </row>
    <row r="275" ht="15.75" customHeight="1" s="98">
      <c r="D275" s="40" t="n"/>
      <c r="E275" s="40" t="n"/>
    </row>
    <row r="276" ht="15.75" customHeight="1" s="98">
      <c r="D276" s="40" t="n"/>
      <c r="E276" s="40" t="n"/>
    </row>
    <row r="277" ht="15.75" customHeight="1" s="98">
      <c r="D277" s="40" t="n"/>
      <c r="E277" s="40" t="n"/>
    </row>
    <row r="278" ht="15.75" customHeight="1" s="98">
      <c r="D278" s="40" t="n"/>
      <c r="E278" s="40" t="n"/>
    </row>
    <row r="279" ht="15.75" customHeight="1" s="98">
      <c r="D279" s="40" t="n"/>
      <c r="E279" s="40" t="n"/>
    </row>
    <row r="280" ht="15.75" customHeight="1" s="98">
      <c r="D280" s="40" t="n"/>
      <c r="E280" s="40" t="n"/>
    </row>
    <row r="281" ht="15.75" customHeight="1" s="98">
      <c r="D281" s="40" t="n"/>
      <c r="E281" s="40" t="n"/>
    </row>
    <row r="282" ht="15.75" customHeight="1" s="98">
      <c r="D282" s="40" t="n"/>
      <c r="E282" s="40" t="n"/>
    </row>
    <row r="283" ht="15.75" customHeight="1" s="98">
      <c r="D283" s="40" t="n"/>
      <c r="E283" s="40" t="n"/>
    </row>
    <row r="284" ht="15.75" customHeight="1" s="98">
      <c r="D284" s="40" t="n"/>
      <c r="E284" s="40" t="n"/>
    </row>
    <row r="285" ht="15.75" customHeight="1" s="98">
      <c r="D285" s="40" t="n"/>
      <c r="E285" s="40" t="n"/>
    </row>
    <row r="286" ht="15.75" customHeight="1" s="98">
      <c r="D286" s="40" t="n"/>
      <c r="E286" s="40" t="n"/>
    </row>
    <row r="287" ht="15.75" customHeight="1" s="98">
      <c r="D287" s="40" t="n"/>
      <c r="E287" s="40" t="n"/>
    </row>
    <row r="288" ht="15.75" customHeight="1" s="98">
      <c r="D288" s="40" t="n"/>
      <c r="E288" s="40" t="n"/>
    </row>
    <row r="289" ht="15.75" customHeight="1" s="98">
      <c r="D289" s="40" t="n"/>
      <c r="E289" s="40" t="n"/>
    </row>
    <row r="290" ht="15.75" customHeight="1" s="98">
      <c r="D290" s="40" t="n"/>
      <c r="E290" s="40" t="n"/>
    </row>
    <row r="291" ht="15.75" customHeight="1" s="98">
      <c r="D291" s="40" t="n"/>
      <c r="E291" s="40" t="n"/>
    </row>
    <row r="292" ht="15.75" customHeight="1" s="98">
      <c r="D292" s="40" t="n"/>
      <c r="E292" s="40" t="n"/>
    </row>
    <row r="293" ht="15.75" customHeight="1" s="98">
      <c r="D293" s="40" t="n"/>
      <c r="E293" s="40" t="n"/>
    </row>
    <row r="294" ht="15.75" customHeight="1" s="98">
      <c r="D294" s="40" t="n"/>
      <c r="E294" s="40" t="n"/>
    </row>
    <row r="295" ht="15.75" customHeight="1" s="98">
      <c r="D295" s="40" t="n"/>
      <c r="E295" s="40" t="n"/>
    </row>
    <row r="296" ht="15.75" customHeight="1" s="98">
      <c r="D296" s="40" t="n"/>
      <c r="E296" s="40" t="n"/>
    </row>
    <row r="297" ht="15.75" customHeight="1" s="98">
      <c r="D297" s="40" t="n"/>
      <c r="E297" s="40" t="n"/>
    </row>
    <row r="298" ht="15.75" customHeight="1" s="98">
      <c r="D298" s="40" t="n"/>
      <c r="E298" s="40" t="n"/>
    </row>
    <row r="299" ht="15.75" customHeight="1" s="98">
      <c r="D299" s="40" t="n"/>
      <c r="E299" s="40" t="n"/>
    </row>
    <row r="300" ht="15.75" customHeight="1" s="98">
      <c r="D300" s="40" t="n"/>
      <c r="E300" s="40" t="n"/>
    </row>
    <row r="301" ht="15.75" customHeight="1" s="98">
      <c r="D301" s="40" t="n"/>
      <c r="E301" s="40" t="n"/>
    </row>
    <row r="302" ht="15.75" customHeight="1" s="98">
      <c r="D302" s="40" t="n"/>
      <c r="E302" s="40" t="n"/>
    </row>
    <row r="303" ht="15.75" customHeight="1" s="98">
      <c r="D303" s="40" t="n"/>
      <c r="E303" s="40" t="n"/>
    </row>
    <row r="304" ht="15.75" customHeight="1" s="98">
      <c r="D304" s="40" t="n"/>
      <c r="E304" s="40" t="n"/>
    </row>
    <row r="305" ht="15.75" customHeight="1" s="98">
      <c r="D305" s="40" t="n"/>
      <c r="E305" s="40" t="n"/>
    </row>
    <row r="306" ht="15.75" customHeight="1" s="98">
      <c r="D306" s="40" t="n"/>
      <c r="E306" s="40" t="n"/>
    </row>
    <row r="307" ht="15.75" customHeight="1" s="98">
      <c r="D307" s="40" t="n"/>
      <c r="E307" s="40" t="n"/>
    </row>
    <row r="308" ht="15.75" customHeight="1" s="98">
      <c r="D308" s="40" t="n"/>
      <c r="E308" s="40" t="n"/>
    </row>
    <row r="309" ht="15.75" customHeight="1" s="98">
      <c r="D309" s="40" t="n"/>
      <c r="E309" s="40" t="n"/>
    </row>
    <row r="310" ht="15.75" customHeight="1" s="98">
      <c r="D310" s="40" t="n"/>
      <c r="E310" s="40" t="n"/>
    </row>
    <row r="311" ht="15.75" customHeight="1" s="98">
      <c r="D311" s="40" t="n"/>
      <c r="E311" s="40" t="n"/>
    </row>
    <row r="312" ht="15.75" customHeight="1" s="98">
      <c r="D312" s="40" t="n"/>
      <c r="E312" s="40" t="n"/>
    </row>
    <row r="313" ht="15.75" customHeight="1" s="98">
      <c r="D313" s="40" t="n"/>
      <c r="E313" s="40" t="n"/>
    </row>
    <row r="314" ht="15.75" customHeight="1" s="98">
      <c r="D314" s="40" t="n"/>
      <c r="E314" s="40" t="n"/>
    </row>
    <row r="315" ht="15.75" customHeight="1" s="98">
      <c r="D315" s="40" t="n"/>
      <c r="E315" s="40" t="n"/>
    </row>
    <row r="316" ht="15.75" customHeight="1" s="98">
      <c r="D316" s="40" t="n"/>
      <c r="E316" s="40" t="n"/>
    </row>
    <row r="317" ht="15.75" customHeight="1" s="98">
      <c r="D317" s="40" t="n"/>
      <c r="E317" s="40" t="n"/>
    </row>
    <row r="318" ht="15.75" customHeight="1" s="98">
      <c r="D318" s="40" t="n"/>
      <c r="E318" s="40" t="n"/>
    </row>
    <row r="319" ht="15.75" customHeight="1" s="98">
      <c r="D319" s="40" t="n"/>
      <c r="E319" s="40" t="n"/>
    </row>
    <row r="320" ht="15.75" customHeight="1" s="98">
      <c r="D320" s="40" t="n"/>
      <c r="E320" s="40" t="n"/>
    </row>
    <row r="321" ht="15.75" customHeight="1" s="98">
      <c r="D321" s="40" t="n"/>
      <c r="E321" s="40" t="n"/>
    </row>
    <row r="322" ht="15.75" customHeight="1" s="98">
      <c r="D322" s="40" t="n"/>
      <c r="E322" s="40" t="n"/>
    </row>
    <row r="323" ht="15.75" customHeight="1" s="98">
      <c r="D323" s="40" t="n"/>
      <c r="E323" s="40" t="n"/>
    </row>
    <row r="324" ht="15.75" customHeight="1" s="98">
      <c r="D324" s="40" t="n"/>
      <c r="E324" s="40" t="n"/>
    </row>
    <row r="325" ht="15.75" customHeight="1" s="98">
      <c r="D325" s="40" t="n"/>
      <c r="E325" s="40" t="n"/>
    </row>
    <row r="326" ht="15.75" customHeight="1" s="98">
      <c r="D326" s="40" t="n"/>
      <c r="E326" s="40" t="n"/>
    </row>
    <row r="327" ht="15.75" customHeight="1" s="98">
      <c r="D327" s="40" t="n"/>
      <c r="E327" s="40" t="n"/>
    </row>
    <row r="328" ht="15.75" customHeight="1" s="98">
      <c r="D328" s="40" t="n"/>
      <c r="E328" s="40" t="n"/>
    </row>
    <row r="329" ht="15.75" customHeight="1" s="98">
      <c r="D329" s="40" t="n"/>
      <c r="E329" s="40" t="n"/>
    </row>
    <row r="330" ht="15.75" customHeight="1" s="98">
      <c r="D330" s="40" t="n"/>
      <c r="E330" s="40" t="n"/>
    </row>
    <row r="331" ht="15.75" customHeight="1" s="98">
      <c r="D331" s="40" t="n"/>
      <c r="E331" s="40" t="n"/>
    </row>
    <row r="332" ht="15.75" customHeight="1" s="98">
      <c r="D332" s="40" t="n"/>
      <c r="E332" s="40" t="n"/>
    </row>
    <row r="333" ht="15.75" customHeight="1" s="98">
      <c r="D333" s="40" t="n"/>
      <c r="E333" s="40" t="n"/>
    </row>
    <row r="334" ht="15.75" customHeight="1" s="98">
      <c r="D334" s="40" t="n"/>
      <c r="E334" s="40" t="n"/>
    </row>
    <row r="335" ht="15.75" customHeight="1" s="98">
      <c r="D335" s="40" t="n"/>
      <c r="E335" s="40" t="n"/>
    </row>
    <row r="336" ht="15.75" customHeight="1" s="98">
      <c r="D336" s="40" t="n"/>
      <c r="E336" s="40" t="n"/>
    </row>
    <row r="337" ht="15.75" customHeight="1" s="98">
      <c r="D337" s="40" t="n"/>
      <c r="E337" s="40" t="n"/>
    </row>
    <row r="338" ht="15.75" customHeight="1" s="98">
      <c r="D338" s="40" t="n"/>
      <c r="E338" s="40" t="n"/>
    </row>
    <row r="339" ht="15.75" customHeight="1" s="98">
      <c r="D339" s="40" t="n"/>
      <c r="E339" s="40" t="n"/>
    </row>
    <row r="340" ht="15.75" customHeight="1" s="98">
      <c r="D340" s="40" t="n"/>
      <c r="E340" s="40" t="n"/>
    </row>
    <row r="341" ht="15.75" customHeight="1" s="98">
      <c r="D341" s="40" t="n"/>
      <c r="E341" s="40" t="n"/>
    </row>
    <row r="342" ht="15.75" customHeight="1" s="98">
      <c r="D342" s="40" t="n"/>
      <c r="E342" s="40" t="n"/>
    </row>
    <row r="343" ht="15.75" customHeight="1" s="98">
      <c r="D343" s="40" t="n"/>
      <c r="E343" s="40" t="n"/>
    </row>
    <row r="344" ht="15.75" customHeight="1" s="98">
      <c r="D344" s="40" t="n"/>
      <c r="E344" s="40" t="n"/>
    </row>
    <row r="345" ht="15.75" customHeight="1" s="98">
      <c r="D345" s="40" t="n"/>
      <c r="E345" s="40" t="n"/>
    </row>
    <row r="346" ht="15.75" customHeight="1" s="98">
      <c r="D346" s="40" t="n"/>
      <c r="E346" s="40" t="n"/>
    </row>
    <row r="347" ht="15.75" customHeight="1" s="98">
      <c r="D347" s="40" t="n"/>
      <c r="E347" s="40" t="n"/>
    </row>
    <row r="348" ht="15.75" customHeight="1" s="98">
      <c r="D348" s="40" t="n"/>
      <c r="E348" s="40" t="n"/>
    </row>
    <row r="349" ht="15.75" customHeight="1" s="98">
      <c r="D349" s="40" t="n"/>
      <c r="E349" s="40" t="n"/>
    </row>
    <row r="350" ht="15.75" customHeight="1" s="98">
      <c r="D350" s="40" t="n"/>
      <c r="E350" s="40" t="n"/>
    </row>
    <row r="351" ht="15.75" customHeight="1" s="98">
      <c r="D351" s="40" t="n"/>
      <c r="E351" s="40" t="n"/>
    </row>
    <row r="352" ht="15.75" customHeight="1" s="98">
      <c r="D352" s="40" t="n"/>
      <c r="E352" s="40" t="n"/>
    </row>
    <row r="353" ht="15.75" customHeight="1" s="98">
      <c r="D353" s="40" t="n"/>
      <c r="E353" s="40" t="n"/>
    </row>
    <row r="354" ht="15.75" customHeight="1" s="98">
      <c r="D354" s="40" t="n"/>
      <c r="E354" s="40" t="n"/>
    </row>
    <row r="355" ht="15.75" customHeight="1" s="98">
      <c r="D355" s="40" t="n"/>
      <c r="E355" s="40" t="n"/>
    </row>
    <row r="356" ht="15.75" customHeight="1" s="98">
      <c r="D356" s="40" t="n"/>
      <c r="E356" s="40" t="n"/>
    </row>
    <row r="357" ht="15.75" customHeight="1" s="98">
      <c r="D357" s="40" t="n"/>
      <c r="E357" s="40" t="n"/>
    </row>
    <row r="358" ht="15.75" customHeight="1" s="98">
      <c r="D358" s="40" t="n"/>
      <c r="E358" s="40" t="n"/>
    </row>
    <row r="359" ht="15.75" customHeight="1" s="98">
      <c r="D359" s="40" t="n"/>
      <c r="E359" s="40" t="n"/>
    </row>
    <row r="360" ht="15.75" customHeight="1" s="98">
      <c r="D360" s="40" t="n"/>
      <c r="E360" s="40" t="n"/>
    </row>
    <row r="361" ht="15.75" customHeight="1" s="98">
      <c r="D361" s="40" t="n"/>
      <c r="E361" s="40" t="n"/>
    </row>
    <row r="362" ht="15.75" customHeight="1" s="98">
      <c r="D362" s="40" t="n"/>
      <c r="E362" s="40" t="n"/>
    </row>
    <row r="363" ht="15.75" customHeight="1" s="98">
      <c r="D363" s="40" t="n"/>
      <c r="E363" s="40" t="n"/>
    </row>
    <row r="364" ht="15.75" customHeight="1" s="98">
      <c r="D364" s="40" t="n"/>
      <c r="E364" s="40" t="n"/>
    </row>
    <row r="365" ht="15.75" customHeight="1" s="98">
      <c r="D365" s="40" t="n"/>
      <c r="E365" s="40" t="n"/>
    </row>
    <row r="366" ht="15.75" customHeight="1" s="98">
      <c r="D366" s="40" t="n"/>
      <c r="E366" s="40" t="n"/>
    </row>
    <row r="367" ht="15.75" customHeight="1" s="98">
      <c r="D367" s="40" t="n"/>
      <c r="E367" s="40" t="n"/>
    </row>
    <row r="368" ht="15.75" customHeight="1" s="98">
      <c r="D368" s="40" t="n"/>
      <c r="E368" s="40" t="n"/>
    </row>
    <row r="369" ht="15.75" customHeight="1" s="98">
      <c r="D369" s="40" t="n"/>
      <c r="E369" s="40" t="n"/>
    </row>
    <row r="370" ht="15.75" customHeight="1" s="98">
      <c r="D370" s="40" t="n"/>
      <c r="E370" s="40" t="n"/>
    </row>
    <row r="371" ht="15.75" customHeight="1" s="98">
      <c r="D371" s="40" t="n"/>
      <c r="E371" s="40" t="n"/>
    </row>
    <row r="372" ht="15.75" customHeight="1" s="98">
      <c r="D372" s="40" t="n"/>
      <c r="E372" s="40" t="n"/>
    </row>
    <row r="373" ht="15.75" customHeight="1" s="98">
      <c r="D373" s="40" t="n"/>
      <c r="E373" s="40" t="n"/>
    </row>
    <row r="374" ht="15.75" customHeight="1" s="98">
      <c r="D374" s="40" t="n"/>
      <c r="E374" s="40" t="n"/>
    </row>
    <row r="375" ht="15.75" customHeight="1" s="98">
      <c r="D375" s="40" t="n"/>
      <c r="E375" s="40" t="n"/>
    </row>
    <row r="376" ht="15.75" customHeight="1" s="98">
      <c r="D376" s="40" t="n"/>
      <c r="E376" s="40" t="n"/>
    </row>
    <row r="377" ht="15.75" customHeight="1" s="98">
      <c r="D377" s="40" t="n"/>
      <c r="E377" s="40" t="n"/>
    </row>
    <row r="378" ht="15.75" customHeight="1" s="98">
      <c r="D378" s="40" t="n"/>
      <c r="E378" s="40" t="n"/>
    </row>
    <row r="379" ht="15.75" customHeight="1" s="98">
      <c r="D379" s="40" t="n"/>
      <c r="E379" s="40" t="n"/>
    </row>
    <row r="380" ht="15.75" customHeight="1" s="98">
      <c r="D380" s="40" t="n"/>
      <c r="E380" s="40" t="n"/>
    </row>
    <row r="381" ht="15.75" customHeight="1" s="98">
      <c r="D381" s="40" t="n"/>
      <c r="E381" s="40" t="n"/>
    </row>
    <row r="382" ht="15.75" customHeight="1" s="98">
      <c r="D382" s="40" t="n"/>
      <c r="E382" s="40" t="n"/>
    </row>
    <row r="383" ht="15.75" customHeight="1" s="98">
      <c r="D383" s="40" t="n"/>
      <c r="E383" s="40" t="n"/>
    </row>
    <row r="384" ht="15.75" customHeight="1" s="98">
      <c r="D384" s="40" t="n"/>
      <c r="E384" s="40" t="n"/>
    </row>
    <row r="385" ht="15.75" customHeight="1" s="98">
      <c r="D385" s="40" t="n"/>
      <c r="E385" s="40" t="n"/>
    </row>
    <row r="386" ht="15.75" customHeight="1" s="98">
      <c r="D386" s="40" t="n"/>
      <c r="E386" s="40" t="n"/>
    </row>
    <row r="387" ht="15.75" customHeight="1" s="98">
      <c r="D387" s="40" t="n"/>
      <c r="E387" s="40" t="n"/>
    </row>
    <row r="388" ht="15.75" customHeight="1" s="98">
      <c r="D388" s="40" t="n"/>
      <c r="E388" s="40" t="n"/>
    </row>
    <row r="389" ht="15.75" customHeight="1" s="98">
      <c r="D389" s="40" t="n"/>
      <c r="E389" s="40" t="n"/>
    </row>
    <row r="390" ht="15.75" customHeight="1" s="98">
      <c r="D390" s="40" t="n"/>
      <c r="E390" s="40" t="n"/>
    </row>
    <row r="391" ht="15.75" customHeight="1" s="98">
      <c r="D391" s="40" t="n"/>
      <c r="E391" s="40" t="n"/>
    </row>
    <row r="392" ht="15.75" customHeight="1" s="98">
      <c r="D392" s="40" t="n"/>
      <c r="E392" s="40" t="n"/>
    </row>
    <row r="393" ht="15.75" customHeight="1" s="98">
      <c r="D393" s="40" t="n"/>
      <c r="E393" s="40" t="n"/>
    </row>
    <row r="394" ht="15.75" customHeight="1" s="98">
      <c r="D394" s="40" t="n"/>
      <c r="E394" s="40" t="n"/>
    </row>
    <row r="395" ht="15.75" customHeight="1" s="98">
      <c r="D395" s="40" t="n"/>
      <c r="E395" s="40" t="n"/>
    </row>
    <row r="396" ht="15.75" customHeight="1" s="98">
      <c r="D396" s="40" t="n"/>
      <c r="E396" s="40" t="n"/>
    </row>
    <row r="397" ht="15.75" customHeight="1" s="98">
      <c r="D397" s="40" t="n"/>
      <c r="E397" s="40" t="n"/>
    </row>
    <row r="398" ht="15.75" customHeight="1" s="98">
      <c r="D398" s="40" t="n"/>
      <c r="E398" s="40" t="n"/>
    </row>
    <row r="399" ht="15.75" customHeight="1" s="98">
      <c r="D399" s="40" t="n"/>
      <c r="E399" s="40" t="n"/>
    </row>
    <row r="400" ht="15.75" customHeight="1" s="98">
      <c r="D400" s="40" t="n"/>
      <c r="E400" s="40" t="n"/>
    </row>
    <row r="401" ht="15.75" customHeight="1" s="98">
      <c r="D401" s="40" t="n"/>
      <c r="E401" s="40" t="n"/>
    </row>
    <row r="402" ht="15.75" customHeight="1" s="98">
      <c r="D402" s="40" t="n"/>
      <c r="E402" s="40" t="n"/>
    </row>
    <row r="403" ht="15.75" customHeight="1" s="98">
      <c r="D403" s="40" t="n"/>
      <c r="E403" s="40" t="n"/>
    </row>
    <row r="404" ht="15.75" customHeight="1" s="98">
      <c r="D404" s="40" t="n"/>
      <c r="E404" s="40" t="n"/>
    </row>
    <row r="405" ht="15.75" customHeight="1" s="98">
      <c r="D405" s="40" t="n"/>
      <c r="E405" s="40" t="n"/>
    </row>
    <row r="406" ht="15.75" customHeight="1" s="98">
      <c r="D406" s="40" t="n"/>
      <c r="E406" s="40" t="n"/>
    </row>
    <row r="407" ht="15.75" customHeight="1" s="98">
      <c r="D407" s="40" t="n"/>
      <c r="E407" s="40" t="n"/>
    </row>
    <row r="408" ht="15.75" customHeight="1" s="98">
      <c r="D408" s="40" t="n"/>
      <c r="E408" s="40" t="n"/>
    </row>
    <row r="409" ht="15.75" customHeight="1" s="98">
      <c r="D409" s="40" t="n"/>
      <c r="E409" s="40" t="n"/>
    </row>
    <row r="410" ht="15.75" customHeight="1" s="98">
      <c r="D410" s="40" t="n"/>
      <c r="E410" s="40" t="n"/>
    </row>
    <row r="411" ht="15.75" customHeight="1" s="98">
      <c r="D411" s="40" t="n"/>
      <c r="E411" s="40" t="n"/>
    </row>
    <row r="412" ht="15.75" customHeight="1" s="98">
      <c r="D412" s="40" t="n"/>
      <c r="E412" s="40" t="n"/>
    </row>
    <row r="413" ht="15.75" customHeight="1" s="98">
      <c r="D413" s="40" t="n"/>
      <c r="E413" s="40" t="n"/>
    </row>
    <row r="414" ht="15.75" customHeight="1" s="98">
      <c r="D414" s="40" t="n"/>
      <c r="E414" s="40" t="n"/>
    </row>
    <row r="415" ht="15.75" customHeight="1" s="98">
      <c r="D415" s="40" t="n"/>
      <c r="E415" s="40" t="n"/>
    </row>
    <row r="416" ht="15.75" customHeight="1" s="98">
      <c r="D416" s="40" t="n"/>
      <c r="E416" s="40" t="n"/>
    </row>
    <row r="417" ht="15.75" customHeight="1" s="98">
      <c r="D417" s="40" t="n"/>
      <c r="E417" s="40" t="n"/>
    </row>
    <row r="418" ht="15.75" customHeight="1" s="98">
      <c r="D418" s="40" t="n"/>
      <c r="E418" s="40" t="n"/>
    </row>
    <row r="419" ht="15.75" customHeight="1" s="98">
      <c r="D419" s="40" t="n"/>
      <c r="E419" s="40" t="n"/>
    </row>
    <row r="420" ht="15.75" customHeight="1" s="98">
      <c r="D420" s="40" t="n"/>
      <c r="E420" s="40" t="n"/>
    </row>
    <row r="421" ht="15.75" customHeight="1" s="98">
      <c r="D421" s="40" t="n"/>
      <c r="E421" s="40" t="n"/>
    </row>
    <row r="422" ht="15.75" customHeight="1" s="98">
      <c r="D422" s="40" t="n"/>
      <c r="E422" s="40" t="n"/>
    </row>
    <row r="423" ht="15.75" customHeight="1" s="98">
      <c r="D423" s="40" t="n"/>
      <c r="E423" s="40" t="n"/>
    </row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9">
    <mergeCell ref="A5:A6"/>
    <mergeCell ref="A4:H4"/>
    <mergeCell ref="A3:H3"/>
    <mergeCell ref="F221:H221"/>
    <mergeCell ref="A2:H2"/>
    <mergeCell ref="G5:H5"/>
    <mergeCell ref="A1:H1"/>
    <mergeCell ref="A7:C7"/>
    <mergeCell ref="B5:B6"/>
  </mergeCells>
  <conditionalFormatting sqref="D42">
    <cfRule type="cellIs" priority="1" operator="equal" dxfId="0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E8:E219">
    <cfRule type="cellIs" priority="15" operator="equal" dxfId="0">
      <formula>"F"</formula>
    </cfRule>
    <cfRule type="colorScale" priority="16">
      <colorScale>
        <cfvo type="formula" val="F"/>
        <cfvo type="max"/>
        <color rgb="FFFF7128"/>
        <color rgb="FFFFEF9C"/>
      </colorScale>
    </cfRule>
  </conditionalFormatting>
  <conditionalFormatting sqref="F8:F219">
    <cfRule type="containsText" priority="3" operator="containsText" dxfId="1" text="AB">
      <formula>NOT(ISERROR(SEARCH(("AB"),(F8))))</formula>
    </cfRule>
  </conditionalFormatting>
  <conditionalFormatting sqref="G8:H219">
    <cfRule type="cellIs" priority="8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F12" sqref="F12"/>
    </sheetView>
  </sheetViews>
  <sheetFormatPr baseColWidth="8" defaultColWidth="12.59765625" defaultRowHeight="15" customHeight="1"/>
  <cols>
    <col width="10.8984375" customWidth="1" style="98" min="1" max="1"/>
    <col width="8.8984375" customWidth="1" style="98" min="2" max="2"/>
    <col width="12.8984375" customWidth="1" style="98" min="3" max="3"/>
    <col width="13.19921875" customWidth="1" style="98" min="4" max="4"/>
    <col width="11" customWidth="1" style="98" min="5" max="5"/>
    <col width="12.69921875" customWidth="1" style="98" min="6" max="7"/>
    <col width="17.69921875" customWidth="1" style="98" min="8" max="8"/>
    <col width="13.19921875" customWidth="1" style="98" min="9" max="9"/>
    <col width="12.69921875" customWidth="1" style="98" min="10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6" t="n"/>
    </row>
    <row r="2" ht="19.5" customHeight="1" s="98">
      <c r="A2" s="15" t="inlineStr">
        <is>
          <t xml:space="preserve">Attainment of Subject </t>
        </is>
      </c>
      <c r="B2" s="125" t="n"/>
      <c r="C2" s="125" t="n"/>
      <c r="D2" s="125" t="n"/>
      <c r="E2" s="125" t="n"/>
      <c r="F2" s="125" t="n"/>
      <c r="G2" s="125" t="n"/>
      <c r="H2" s="125" t="n"/>
      <c r="I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6" t="n"/>
    </row>
    <row r="5" ht="78" customHeight="1" s="98">
      <c r="A5" s="12" t="inlineStr">
        <is>
          <t>Course code as per NBA</t>
        </is>
      </c>
      <c r="B5" s="12" t="inlineStr">
        <is>
          <t>Subject Code</t>
        </is>
      </c>
      <c r="C5" s="12" t="inlineStr">
        <is>
          <t>% of students securing 60% or more Marks in theory</t>
        </is>
      </c>
      <c r="D5" s="12" t="inlineStr">
        <is>
          <t>Attainment Level</t>
        </is>
      </c>
      <c r="E5" s="12" t="inlineStr">
        <is>
          <t>Attainment Level considering 80% weightage</t>
        </is>
      </c>
      <c r="F5" s="12" t="inlineStr">
        <is>
          <t>% of students securing 75% or more Marks in sessional</t>
        </is>
      </c>
      <c r="G5" s="12" t="inlineStr">
        <is>
          <t>Attainment Level</t>
        </is>
      </c>
      <c r="H5" s="12" t="inlineStr">
        <is>
          <t>Attainment Level considering 20% weightage</t>
        </is>
      </c>
      <c r="I5" s="12" t="inlineStr">
        <is>
          <t>Total Attinment</t>
        </is>
      </c>
    </row>
    <row r="6" ht="19.5" customHeight="1" s="98">
      <c r="A6" s="41">
        <f>'CO-PO Mapping'!A11</f>
        <v/>
      </c>
      <c r="B6" s="41" t="inlineStr">
        <is>
          <t>5CS2-03</t>
        </is>
      </c>
      <c r="C6" s="41">
        <f>'Sessional + End Term Assessment'!D222</f>
        <v/>
      </c>
      <c r="D6" s="41">
        <f>'Sessional + End Term Assessment'!E222</f>
        <v/>
      </c>
      <c r="E6" s="41">
        <f>D6*'Sessional + End Term Assessment'!D6/'Sessional + End Term Assessment'!F6</f>
        <v/>
      </c>
      <c r="F6" s="41">
        <f>'Sessional + End Term Assessment'!D223</f>
        <v/>
      </c>
      <c r="G6" s="41">
        <f>'Sessional + End Term Assessment'!E223</f>
        <v/>
      </c>
      <c r="H6" s="41">
        <f>G6*'Sessional + End Term Assessment'!E6/'Sessional + End Term Assessment'!F6</f>
        <v/>
      </c>
      <c r="I6" s="41">
        <f>E6+H6</f>
        <v/>
      </c>
    </row>
    <row r="7" ht="30.75" customHeight="1" s="98">
      <c r="A7" s="33" t="inlineStr">
        <is>
          <t>Signature HOD</t>
        </is>
      </c>
      <c r="B7" s="128" t="n"/>
      <c r="C7" s="128" t="n"/>
      <c r="D7" s="128" t="n"/>
      <c r="E7" s="128" t="n"/>
      <c r="F7" s="129" t="n"/>
      <c r="G7" s="32" t="inlineStr">
        <is>
          <t>Signature Subject Teacher</t>
        </is>
      </c>
      <c r="H7" s="125" t="n"/>
      <c r="I7" s="126" t="n"/>
    </row>
    <row r="8" ht="13.8" customHeight="1" s="98">
      <c r="A8" s="130" t="n"/>
      <c r="F8" s="131" t="n"/>
      <c r="G8" s="33" t="n"/>
      <c r="H8" s="128" t="n"/>
      <c r="I8" s="129" t="n"/>
    </row>
    <row r="9" ht="13.8" customHeight="1" s="98">
      <c r="A9" s="132" t="n"/>
      <c r="B9" s="133" t="n"/>
      <c r="C9" s="133" t="n"/>
      <c r="D9" s="133" t="n"/>
      <c r="E9" s="133" t="n"/>
      <c r="F9" s="134" t="n"/>
      <c r="G9" s="132" t="n"/>
      <c r="H9" s="133" t="n"/>
      <c r="I9" s="134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7">
    <mergeCell ref="A2:I2"/>
    <mergeCell ref="A4:I4"/>
    <mergeCell ref="A1:I1"/>
    <mergeCell ref="A7:F9"/>
    <mergeCell ref="A3:I3"/>
    <mergeCell ref="G8:I9"/>
    <mergeCell ref="G7:I7"/>
  </mergeCells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:P1"/>
    </sheetView>
  </sheetViews>
  <sheetFormatPr baseColWidth="8" defaultColWidth="12.59765625" defaultRowHeight="15" customHeight="1"/>
  <cols>
    <col width="10.8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End Term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Mapping'!A4:P4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 t="n"/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9.5" customHeight="1" s="98">
      <c r="A6" s="23">
        <f>'CO-PO Mapping'!A11</f>
        <v/>
      </c>
      <c r="B6" s="43">
        <f>'Attainment of Subject Code'!$I$6*'CO-PO Mapping'!B12/3</f>
        <v/>
      </c>
      <c r="C6" s="43">
        <f>'Attainment of Subject Code'!$I$6*'CO-PO Mapping'!C12/3</f>
        <v/>
      </c>
      <c r="D6" s="43">
        <f>'Attainment of Subject Code'!$I$6*'CO-PO Mapping'!D12/3</f>
        <v/>
      </c>
      <c r="E6" s="43">
        <f>'Attainment of Subject Code'!$I$6*'CO-PO Mapping'!E12/3</f>
        <v/>
      </c>
      <c r="F6" s="43">
        <f>'Attainment of Subject Code'!$I$6*'CO-PO Mapping'!F12/3</f>
        <v/>
      </c>
      <c r="G6" s="43">
        <f>'Attainment of Subject Code'!$I$6*'CO-PO Mapping'!G12/3</f>
        <v/>
      </c>
      <c r="H6" s="43">
        <f>'Attainment of Subject Code'!$I$6*'CO-PO Mapping'!H12/3</f>
        <v/>
      </c>
      <c r="I6" s="43">
        <f>'Attainment of Subject Code'!$I$6*'CO-PO Mapping'!I12/3</f>
        <v/>
      </c>
      <c r="J6" s="43">
        <f>'Attainment of Subject Code'!$I$6*'CO-PO Mapping'!J12/3</f>
        <v/>
      </c>
      <c r="K6" s="43">
        <f>'Attainment of Subject Code'!$I$6*'CO-PO Mapping'!K12/3</f>
        <v/>
      </c>
      <c r="L6" s="43">
        <f>'Attainment of Subject Code'!$I$6*'CO-PO Mapping'!L12/3</f>
        <v/>
      </c>
      <c r="M6" s="43">
        <f>'Attainment of Subject Code'!$I$6*'CO-PO Mapping'!M12/3</f>
        <v/>
      </c>
      <c r="N6" s="43">
        <f>'Attainment of Subject Code'!$I$6*'CO-PO Mapping'!N12/3</f>
        <v/>
      </c>
      <c r="O6" s="43">
        <f>'Attainment of Subject Code'!$I$6*'CO-PO Mapping'!O12/3</f>
        <v/>
      </c>
      <c r="P6" s="43">
        <f>'Attainment of Subject Code'!$I$6*'CO-PO Mapping'!P12/3</f>
        <v/>
      </c>
    </row>
    <row r="7" ht="39.75" customHeight="1" s="98">
      <c r="A7" s="33" t="inlineStr">
        <is>
          <t>Signature Subject Teacher</t>
        </is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6" t="n"/>
      <c r="N7" s="33" t="n"/>
      <c r="O7" s="125" t="n"/>
      <c r="P7" s="126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N7:P7"/>
    <mergeCell ref="A1:P1"/>
    <mergeCell ref="A4:P4"/>
    <mergeCell ref="A3:P3"/>
    <mergeCell ref="A7:M7"/>
    <mergeCell ref="A2:P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7"/>
  <sheetViews>
    <sheetView topLeftCell="C1" workbookViewId="0">
      <selection activeCell="H17" sqref="H17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35.3984375" customWidth="1" style="98" min="3" max="3"/>
    <col width="15.19921875" customWidth="1" style="98" min="4" max="11"/>
    <col width="14.69921875" customWidth="1" style="98" min="12" max="15"/>
    <col width="15.19921875" customWidth="1" style="98" min="16" max="17"/>
    <col width="9.8984375" customWidth="1" style="98" min="18" max="18"/>
    <col width="8" customWidth="1" style="98" min="19" max="20"/>
    <col width="10.8984375" customWidth="1" style="98" min="21" max="21"/>
    <col width="4.69921875" customWidth="1" style="98" min="22" max="22"/>
    <col width="8" customWidth="1" style="98" min="23" max="24"/>
    <col width="12.69921875" customWidth="1" style="98" min="25" max="25"/>
    <col width="15.5" customWidth="1" style="98" min="26" max="26"/>
    <col width="12.69921875" customWidth="1" style="98" min="27" max="29"/>
  </cols>
  <sheetData>
    <row r="1" ht="19.5" customHeight="1" s="98">
      <c r="A1" s="65">
        <f>'CO-PO Mapping'!A1:R1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</row>
    <row r="2" ht="19.5" customHeight="1" s="98">
      <c r="A2" s="65" t="inlineStr">
        <is>
          <t>MID TERM 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</row>
    <row r="3" ht="19.5" customHeight="1" s="98">
      <c r="A3" s="65">
        <f>'CO-PO Mapping'!A3:R3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</row>
    <row r="4" ht="19.5" customHeight="1" s="98">
      <c r="A4" s="65" t="inlineStr">
        <is>
          <t>S.NO.</t>
        </is>
      </c>
      <c r="B4" s="135" t="inlineStr">
        <is>
          <t>RollNo</t>
        </is>
      </c>
      <c r="C4" s="65" t="inlineStr">
        <is>
          <t>NAME OF STUDENT</t>
        </is>
      </c>
      <c r="D4" s="6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6" t="n"/>
      <c r="R4" s="65" t="inlineStr">
        <is>
          <t>MT1</t>
        </is>
      </c>
      <c r="S4" s="4" t="n"/>
      <c r="T4" s="4" t="n"/>
      <c r="U4" s="4" t="n"/>
      <c r="V4" s="4" t="n"/>
      <c r="W4" s="4" t="n"/>
      <c r="X4" s="4" t="n"/>
    </row>
    <row r="5" ht="19.5" customHeight="1" s="98">
      <c r="A5" s="136" t="n"/>
      <c r="B5" s="136" t="n"/>
      <c r="C5" s="65" t="inlineStr">
        <is>
          <t>CO MAPPED</t>
        </is>
      </c>
      <c r="D5" s="65" t="inlineStr">
        <is>
          <t>CO1</t>
        </is>
      </c>
      <c r="E5" s="135" t="inlineStr">
        <is>
          <t xml:space="preserve">Target 70% students attain 70% marks (1) </t>
        </is>
      </c>
      <c r="F5" s="135" t="inlineStr">
        <is>
          <t>Target 70% students attain 80% marks (2)</t>
        </is>
      </c>
      <c r="G5" s="135" t="inlineStr">
        <is>
          <t>Target 70% students attain 90% marks (3)</t>
        </is>
      </c>
      <c r="H5" s="65" t="inlineStr">
        <is>
          <t>CO2</t>
        </is>
      </c>
      <c r="I5" s="135" t="inlineStr">
        <is>
          <t xml:space="preserve">Target 70% students attain 70% marks (1) </t>
        </is>
      </c>
      <c r="J5" s="135" t="inlineStr">
        <is>
          <t>Target 70% students attain 80% marks (2)</t>
        </is>
      </c>
      <c r="K5" s="135" t="inlineStr">
        <is>
          <t>Target 70% students attain 90% marks (3)</t>
        </is>
      </c>
      <c r="L5" s="65" t="inlineStr">
        <is>
          <t>CO3</t>
        </is>
      </c>
      <c r="M5" s="103" t="inlineStr">
        <is>
          <t xml:space="preserve">Target 50% students attain 70% marks (1) </t>
        </is>
      </c>
      <c r="N5" s="103" t="inlineStr">
        <is>
          <t>Target 50% students attain 80% marks (2)</t>
        </is>
      </c>
      <c r="O5" s="103" t="inlineStr">
        <is>
          <t>Target 50% students attain 90% marks (3)</t>
        </is>
      </c>
      <c r="P5" s="65" t="inlineStr">
        <is>
          <t>CO4</t>
        </is>
      </c>
      <c r="Q5" s="65" t="inlineStr">
        <is>
          <t>CO5</t>
        </is>
      </c>
      <c r="R5" s="127" t="n"/>
      <c r="S5" s="44" t="n"/>
      <c r="T5" s="44" t="n"/>
      <c r="U5" s="44" t="n"/>
      <c r="V5" s="44" t="n"/>
      <c r="W5" s="44" t="n"/>
      <c r="X5" s="44" t="n"/>
    </row>
    <row r="6" ht="54.75" customHeight="1" s="98">
      <c r="A6" s="127" t="n"/>
      <c r="B6" s="127" t="n"/>
      <c r="C6" s="65" t="inlineStr">
        <is>
          <t>MAX MARKS</t>
        </is>
      </c>
      <c r="D6" s="66" t="n">
        <v>28</v>
      </c>
      <c r="E6" s="127" t="n"/>
      <c r="F6" s="127" t="n"/>
      <c r="G6" s="127" t="n"/>
      <c r="H6" s="66" t="n">
        <v>28</v>
      </c>
      <c r="I6" s="127" t="n"/>
      <c r="J6" s="127" t="n"/>
      <c r="K6" s="127" t="n"/>
      <c r="L6" s="66" t="n">
        <v>14</v>
      </c>
      <c r="M6" s="136" t="n"/>
      <c r="N6" s="136" t="n"/>
      <c r="O6" s="136" t="n"/>
      <c r="P6" s="67" t="n"/>
      <c r="Q6" s="67" t="n"/>
      <c r="R6" s="68" t="n">
        <v>70</v>
      </c>
      <c r="S6" s="44" t="n"/>
      <c r="T6" s="44" t="n"/>
      <c r="U6" s="44" t="n"/>
      <c r="V6" s="44" t="n"/>
      <c r="W6" s="44" t="n"/>
      <c r="X6" s="44" t="n"/>
      <c r="Z6" s="46" t="n"/>
      <c r="AA6" s="46" t="n"/>
      <c r="AB6" s="46" t="n"/>
      <c r="AC6" s="46" t="n"/>
    </row>
    <row r="7" ht="28.2" customHeight="1" s="98">
      <c r="A7" s="69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80" t="n">
        <v>25</v>
      </c>
      <c r="E7" s="70">
        <f>IF(D7&gt;=($D$6*0.7),1,0)</f>
        <v/>
      </c>
      <c r="F7" s="70">
        <f>IF(D7&gt;=($D$6*0.8),1,0)</f>
        <v/>
      </c>
      <c r="G7" s="70">
        <f>IF(D7&gt;=($D$6*0.9),1,0)</f>
        <v/>
      </c>
      <c r="H7" s="80" t="n">
        <v>25</v>
      </c>
      <c r="I7" s="70">
        <f>IF(H7&gt;=($H$6*0.7),1,0)</f>
        <v/>
      </c>
      <c r="J7" s="70">
        <f>IF(H7&gt;=($H$6*0.7),1,0)</f>
        <v/>
      </c>
      <c r="K7" s="70">
        <f>IF(H7&gt;=($H$6*0.9),1,0)</f>
        <v/>
      </c>
      <c r="L7" s="80" t="n">
        <v>13</v>
      </c>
      <c r="M7" s="70">
        <f>IF(L7&gt;=($L$6*0.7),1,0)</f>
        <v/>
      </c>
      <c r="N7" s="70">
        <f>IF(L7&gt;=($L$6*0.8),1,0)</f>
        <v/>
      </c>
      <c r="O7" s="70">
        <f>IF(L7&gt;=($L$6*0.9),1,0)</f>
        <v/>
      </c>
      <c r="P7" s="70" t="n"/>
      <c r="Q7" s="70" t="n"/>
      <c r="R7" s="80" t="n">
        <v>63</v>
      </c>
      <c r="S7" s="48" t="n"/>
      <c r="T7" s="48" t="n"/>
      <c r="U7" s="48" t="n"/>
      <c r="V7" s="48" t="n"/>
      <c r="W7" s="44" t="n"/>
      <c r="X7" s="44" t="n"/>
      <c r="Y7" s="48" t="n"/>
      <c r="Z7" s="44" t="n"/>
      <c r="AA7" s="46" t="n"/>
      <c r="AB7" s="46" t="n"/>
      <c r="AC7" s="46" t="n"/>
    </row>
    <row r="8" ht="19.5" customHeight="1" s="98">
      <c r="A8" s="69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80" t="n">
        <v>21</v>
      </c>
      <c r="E8" s="70">
        <f>IF(D8&gt;=($D$6*0.7),1,0)</f>
        <v/>
      </c>
      <c r="F8" s="70">
        <f>IF(D8&gt;=($D$6*0.8),1,0)</f>
        <v/>
      </c>
      <c r="G8" s="70">
        <f>IF(D8&gt;=($D$6*0.9),1,0)</f>
        <v/>
      </c>
      <c r="H8" s="80" t="n">
        <v>23</v>
      </c>
      <c r="I8" s="70">
        <f>IF(H8&gt;=($H$6*0.7),1,0)</f>
        <v/>
      </c>
      <c r="J8" s="70">
        <f>IF(H8&gt;=($H$6*0.7),1,0)</f>
        <v/>
      </c>
      <c r="K8" s="70">
        <f>IF(H8&gt;=($H$6*0.9),1,0)</f>
        <v/>
      </c>
      <c r="L8" s="80" t="n">
        <v>13</v>
      </c>
      <c r="M8" s="70">
        <f>IF(L8&gt;=($L$6*0.7),1,0)</f>
        <v/>
      </c>
      <c r="N8" s="70">
        <f>IF(L8&gt;=($L$6*0.8),1,0)</f>
        <v/>
      </c>
      <c r="O8" s="70">
        <f>IF(L8&gt;=($L$6*0.9),1,0)</f>
        <v/>
      </c>
      <c r="P8" s="70" t="n"/>
      <c r="Q8" s="70" t="n"/>
      <c r="R8" t="n">
        <v>57</v>
      </c>
      <c r="S8" s="48" t="n"/>
      <c r="T8" s="48" t="n"/>
      <c r="U8" s="48" t="n"/>
      <c r="V8" s="48" t="n"/>
      <c r="W8" s="44" t="n"/>
      <c r="X8" s="44" t="n"/>
      <c r="Y8" s="48" t="n"/>
      <c r="Z8" s="46" t="n"/>
      <c r="AA8" s="46" t="n"/>
      <c r="AB8" s="46" t="n"/>
      <c r="AC8" s="46" t="n"/>
    </row>
    <row r="9" ht="19.5" customHeight="1" s="98">
      <c r="A9" s="69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80" t="n">
        <v>21</v>
      </c>
      <c r="E9" s="70">
        <f>IF(D9&gt;=($D$6*0.7),1,0)</f>
        <v/>
      </c>
      <c r="F9" s="70">
        <f>IF(D9&gt;=($D$6*0.8),1,0)</f>
        <v/>
      </c>
      <c r="G9" s="70">
        <f>IF(D9&gt;=($D$6*0.9),1,0)</f>
        <v/>
      </c>
      <c r="H9" s="80" t="n">
        <v>20</v>
      </c>
      <c r="I9" s="70">
        <f>IF(H9&gt;=($H$6*0.7),1,0)</f>
        <v/>
      </c>
      <c r="J9" s="70">
        <f>IF(H9&gt;=($H$6*0.7),1,0)</f>
        <v/>
      </c>
      <c r="K9" s="70">
        <f>IF(H9&gt;=($H$6*0.9),1,0)</f>
        <v/>
      </c>
      <c r="L9" s="80" t="n">
        <v>11</v>
      </c>
      <c r="M9" s="70">
        <f>IF(L9&gt;=($L$6*0.7),1,0)</f>
        <v/>
      </c>
      <c r="N9" s="70">
        <f>IF(L9&gt;=($L$6*0.8),1,0)</f>
        <v/>
      </c>
      <c r="O9" s="70">
        <f>IF(L9&gt;=($L$6*0.9),1,0)</f>
        <v/>
      </c>
      <c r="P9" s="70" t="n"/>
      <c r="Q9" s="70" t="n"/>
      <c r="R9" s="80" t="n">
        <v>52</v>
      </c>
      <c r="S9" s="48" t="n"/>
      <c r="T9" s="48" t="n"/>
      <c r="U9" s="48" t="n"/>
      <c r="V9" s="48" t="n"/>
      <c r="W9" s="44" t="n"/>
      <c r="X9" s="44" t="n"/>
      <c r="Y9" s="48" t="n"/>
      <c r="Z9" s="46" t="n"/>
      <c r="AA9" s="46" t="n"/>
      <c r="AB9" s="46" t="n"/>
      <c r="AC9" s="46" t="n"/>
    </row>
    <row r="10" ht="19.5" customHeight="1" s="98">
      <c r="A10" s="69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80" t="n">
        <v>26</v>
      </c>
      <c r="E10" s="70">
        <f>IF(D10&gt;=($D$6*0.7),1,0)</f>
        <v/>
      </c>
      <c r="F10" s="70">
        <f>IF(D10&gt;=($D$6*0.8),1,0)</f>
        <v/>
      </c>
      <c r="G10" s="70">
        <f>IF(D10&gt;=($D$6*0.9),1,0)</f>
        <v/>
      </c>
      <c r="H10" s="80" t="n">
        <v>26</v>
      </c>
      <c r="I10" s="70">
        <f>IF(H10&gt;=($H$6*0.7),1,0)</f>
        <v/>
      </c>
      <c r="J10" s="70">
        <f>IF(H10&gt;=($H$6*0.7),1,0)</f>
        <v/>
      </c>
      <c r="K10" s="70">
        <f>IF(H10&gt;=($H$6*0.9),1,0)</f>
        <v/>
      </c>
      <c r="L10" s="80" t="n">
        <v>14</v>
      </c>
      <c r="M10" s="70">
        <f>IF(L10&gt;=($L$6*0.7),1,0)</f>
        <v/>
      </c>
      <c r="N10" s="70">
        <f>IF(L10&gt;=($L$6*0.8),1,0)</f>
        <v/>
      </c>
      <c r="O10" s="70">
        <f>IF(L10&gt;=($L$6*0.9),1,0)</f>
        <v/>
      </c>
      <c r="P10" s="70" t="n"/>
      <c r="Q10" s="70" t="n"/>
      <c r="R10" s="80" t="n">
        <v>66</v>
      </c>
      <c r="S10" s="48" t="n"/>
      <c r="T10" s="48" t="n"/>
      <c r="U10" s="48" t="n"/>
      <c r="V10" s="48" t="n"/>
      <c r="X10" s="44" t="n"/>
      <c r="Y10" s="48" t="n"/>
      <c r="Z10" s="46" t="n"/>
      <c r="AA10" s="46" t="n"/>
      <c r="AB10" s="46" t="n"/>
      <c r="AC10" s="46" t="n"/>
    </row>
    <row r="11" ht="19.5" customHeight="1" s="98">
      <c r="A11" s="69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80" t="n">
        <v>15</v>
      </c>
      <c r="E11" s="70">
        <f>IF(D11&gt;=($D$6*0.7),1,0)</f>
        <v/>
      </c>
      <c r="F11" s="70">
        <f>IF(D11&gt;=($D$6*0.8),1,0)</f>
        <v/>
      </c>
      <c r="G11" s="70">
        <f>IF(D11&gt;=($D$6*0.9),1,0)</f>
        <v/>
      </c>
      <c r="H11" s="80" t="n">
        <v>15</v>
      </c>
      <c r="I11" s="70">
        <f>IF(H11&gt;=($H$6*0.7),1,0)</f>
        <v/>
      </c>
      <c r="J11" s="70">
        <f>IF(H11&gt;=($H$6*0.7),1,0)</f>
        <v/>
      </c>
      <c r="K11" s="70">
        <f>IF(H11&gt;=($H$6*0.9),1,0)</f>
        <v/>
      </c>
      <c r="L11" s="80" t="n">
        <v>9</v>
      </c>
      <c r="M11" s="70">
        <f>IF(L11&gt;=($L$6*0.7),1,0)</f>
        <v/>
      </c>
      <c r="N11" s="70">
        <f>IF(L11&gt;=($L$6*0.8),1,0)</f>
        <v/>
      </c>
      <c r="O11" s="70">
        <f>IF(L11&gt;=($L$6*0.9),1,0)</f>
        <v/>
      </c>
      <c r="P11" s="70" t="n"/>
      <c r="Q11" s="70" t="n"/>
      <c r="R11" s="80" t="n">
        <v>39</v>
      </c>
      <c r="S11" s="48" t="n"/>
      <c r="T11" s="48" t="n"/>
      <c r="U11" s="48" t="n"/>
      <c r="V11" s="48" t="n"/>
      <c r="W11" s="44" t="n"/>
      <c r="X11" s="44" t="n"/>
      <c r="Y11" s="48" t="n"/>
      <c r="Z11" s="46" t="n"/>
      <c r="AA11" s="46" t="n"/>
      <c r="AB11" s="46" t="n"/>
      <c r="AC11" s="46" t="n"/>
    </row>
    <row r="12" ht="19.5" customHeight="1" s="98">
      <c r="A12" s="69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80" t="n">
        <v>20</v>
      </c>
      <c r="E12" s="70">
        <f>IF(D12&gt;=($D$6*0.7),1,0)</f>
        <v/>
      </c>
      <c r="F12" s="70">
        <f>IF(D12&gt;=($D$6*0.8),1,0)</f>
        <v/>
      </c>
      <c r="G12" s="70">
        <f>IF(D12&gt;=($D$6*0.9),1,0)</f>
        <v/>
      </c>
      <c r="H12" s="80" t="n">
        <v>20</v>
      </c>
      <c r="I12" s="70">
        <f>IF(H12&gt;=($H$6*0.7),1,0)</f>
        <v/>
      </c>
      <c r="J12" s="70">
        <f>IF(H12&gt;=($H$6*0.7),1,0)</f>
        <v/>
      </c>
      <c r="K12" s="70">
        <f>IF(H12&gt;=($H$6*0.9),1,0)</f>
        <v/>
      </c>
      <c r="L12" s="80" t="n">
        <v>11</v>
      </c>
      <c r="M12" s="70">
        <f>IF(L12&gt;=($L$6*0.7),1,0)</f>
        <v/>
      </c>
      <c r="N12" s="70">
        <f>IF(L12&gt;=($L$6*0.8),1,0)</f>
        <v/>
      </c>
      <c r="O12" s="70">
        <f>IF(L12&gt;=($L$6*0.9),1,0)</f>
        <v/>
      </c>
      <c r="P12" s="70" t="n"/>
      <c r="Q12" s="70" t="n"/>
      <c r="R12" t="n">
        <v>51</v>
      </c>
      <c r="S12" s="48" t="n"/>
      <c r="T12" s="48" t="n"/>
      <c r="U12" s="48" t="n"/>
      <c r="V12" s="48" t="n"/>
      <c r="W12" s="44" t="n"/>
      <c r="X12" s="44" t="n"/>
      <c r="Y12" s="48" t="n"/>
      <c r="Z12" s="46" t="n"/>
      <c r="AA12" s="46" t="n"/>
      <c r="AB12" s="46" t="n"/>
      <c r="AC12" s="46" t="n"/>
    </row>
    <row r="13" ht="19.5" customHeight="1" s="98">
      <c r="A13" s="69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80" t="n">
        <v>20</v>
      </c>
      <c r="E13" s="70">
        <f>IF(D13&gt;=($D$6*0.7),1,0)</f>
        <v/>
      </c>
      <c r="F13" s="70">
        <f>IF(D13&gt;=($D$6*0.8),1,0)</f>
        <v/>
      </c>
      <c r="G13" s="70">
        <f>IF(D13&gt;=($D$6*0.9),1,0)</f>
        <v/>
      </c>
      <c r="H13" s="80" t="n">
        <v>23</v>
      </c>
      <c r="I13" s="70">
        <f>IF(H13&gt;=($H$6*0.7),1,0)</f>
        <v/>
      </c>
      <c r="J13" s="70">
        <f>IF(H13&gt;=($H$6*0.7),1,0)</f>
        <v/>
      </c>
      <c r="K13" s="70">
        <f>IF(H13&gt;=($H$6*0.9),1,0)</f>
        <v/>
      </c>
      <c r="L13" s="80" t="n">
        <v>11</v>
      </c>
      <c r="M13" s="70">
        <f>IF(L13&gt;=($L$6*0.7),1,0)</f>
        <v/>
      </c>
      <c r="N13" s="70">
        <f>IF(L13&gt;=($L$6*0.8),1,0)</f>
        <v/>
      </c>
      <c r="O13" s="70">
        <f>IF(L13&gt;=($L$6*0.9),1,0)</f>
        <v/>
      </c>
      <c r="P13" s="70" t="n"/>
      <c r="Q13" s="70" t="n"/>
      <c r="R13" s="80" t="n">
        <v>54</v>
      </c>
      <c r="S13" s="48" t="n"/>
      <c r="T13" s="48" t="n"/>
      <c r="U13" s="48" t="n"/>
      <c r="V13" s="48" t="n"/>
      <c r="W13" s="44" t="n"/>
      <c r="X13" s="44" t="n"/>
      <c r="Y13" s="48" t="n"/>
      <c r="Z13" s="46" t="n"/>
      <c r="AA13" s="46" t="n"/>
      <c r="AB13" s="46" t="n"/>
      <c r="AC13" s="46" t="n"/>
    </row>
    <row r="14" ht="19.5" customHeight="1" s="98">
      <c r="A14" s="69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80" t="n">
        <v>25</v>
      </c>
      <c r="E14" s="70">
        <f>IF(D14&gt;=($D$6*0.7),1,0)</f>
        <v/>
      </c>
      <c r="F14" s="70">
        <f>IF(D14&gt;=($D$6*0.8),1,0)</f>
        <v/>
      </c>
      <c r="G14" s="70">
        <f>IF(D14&gt;=($D$6*0.9),1,0)</f>
        <v/>
      </c>
      <c r="H14" s="80" t="n">
        <v>24</v>
      </c>
      <c r="I14" s="70">
        <f>IF(H14&gt;=($H$6*0.7),1,0)</f>
        <v/>
      </c>
      <c r="J14" s="70">
        <f>IF(H14&gt;=($H$6*0.7),1,0)</f>
        <v/>
      </c>
      <c r="K14" s="70">
        <f>IF(H14&gt;=($H$6*0.9),1,0)</f>
        <v/>
      </c>
      <c r="L14" s="80" t="n">
        <v>13</v>
      </c>
      <c r="M14" s="70">
        <f>IF(L14&gt;=($L$6*0.7),1,0)</f>
        <v/>
      </c>
      <c r="N14" s="70">
        <f>IF(L14&gt;=($L$6*0.8),1,0)</f>
        <v/>
      </c>
      <c r="O14" s="70">
        <f>IF(L14&gt;=($L$6*0.9),1,0)</f>
        <v/>
      </c>
      <c r="P14" s="70" t="n"/>
      <c r="Q14" s="70" t="n"/>
      <c r="R14" s="80" t="n">
        <v>62</v>
      </c>
      <c r="S14" s="48" t="n"/>
      <c r="T14" s="48" t="n"/>
      <c r="U14" s="48" t="n"/>
      <c r="V14" s="48" t="n"/>
      <c r="W14" s="44" t="n"/>
      <c r="X14" s="44" t="n"/>
      <c r="Y14" s="48" t="n"/>
      <c r="Z14" s="46" t="n"/>
      <c r="AA14" s="46" t="n"/>
      <c r="AB14" s="46" t="n"/>
      <c r="AC14" s="46" t="n"/>
    </row>
    <row r="15" ht="19.5" customHeight="1" s="98">
      <c r="A15" s="69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80" t="n">
        <v>23</v>
      </c>
      <c r="E15" s="70">
        <f>IF(D15&gt;=($D$6*0.7),1,0)</f>
        <v/>
      </c>
      <c r="F15" s="70">
        <f>IF(D15&gt;=($D$6*0.8),1,0)</f>
        <v/>
      </c>
      <c r="G15" s="70">
        <f>IF(D15&gt;=($D$6*0.9),1,0)</f>
        <v/>
      </c>
      <c r="H15" s="80" t="n">
        <v>23</v>
      </c>
      <c r="I15" s="70">
        <f>IF(H15&gt;=($H$6*0.7),1,0)</f>
        <v/>
      </c>
      <c r="J15" s="70">
        <f>IF(H15&gt;=($H$6*0.7),1,0)</f>
        <v/>
      </c>
      <c r="K15" s="70">
        <f>IF(H15&gt;=($H$6*0.9),1,0)</f>
        <v/>
      </c>
      <c r="L15" s="80" t="n">
        <v>13</v>
      </c>
      <c r="M15" s="70">
        <f>IF(L15&gt;=($L$6*0.7),1,0)</f>
        <v/>
      </c>
      <c r="N15" s="70">
        <f>IF(L15&gt;=($L$6*0.8),1,0)</f>
        <v/>
      </c>
      <c r="O15" s="70">
        <f>IF(L15&gt;=($L$6*0.9),1,0)</f>
        <v/>
      </c>
      <c r="P15" s="70" t="n"/>
      <c r="Q15" s="70" t="n"/>
      <c r="R15" t="n">
        <v>59</v>
      </c>
      <c r="S15" s="48" t="n"/>
      <c r="T15" s="48" t="n"/>
      <c r="U15" s="48" t="n"/>
      <c r="V15" s="48" t="n"/>
      <c r="W15" s="44" t="n"/>
      <c r="X15" s="44" t="n"/>
      <c r="Y15" s="48" t="n"/>
      <c r="Z15" s="46" t="n"/>
      <c r="AA15" s="46" t="n"/>
      <c r="AB15" s="46" t="n"/>
      <c r="AC15" s="46" t="n"/>
    </row>
    <row r="16" ht="19.5" customHeight="1" s="98">
      <c r="A16" s="69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80" t="n">
        <v>22</v>
      </c>
      <c r="E16" s="70">
        <f>IF(D16&gt;=($D$6*0.7),1,0)</f>
        <v/>
      </c>
      <c r="F16" s="70">
        <f>IF(D16&gt;=($D$6*0.8),1,0)</f>
        <v/>
      </c>
      <c r="G16" s="70">
        <f>IF(D16&gt;=($D$6*0.9),1,0)</f>
        <v/>
      </c>
      <c r="H16" s="80" t="n">
        <v>19</v>
      </c>
      <c r="I16" s="70">
        <f>IF(H16&gt;=($H$6*0.7),1,0)</f>
        <v/>
      </c>
      <c r="J16" s="70">
        <f>IF(H16&gt;=($H$6*0.7),1,0)</f>
        <v/>
      </c>
      <c r="K16" s="70">
        <f>IF(H16&gt;=($H$6*0.9),1,0)</f>
        <v/>
      </c>
      <c r="L16" s="80" t="n">
        <v>11</v>
      </c>
      <c r="M16" s="70">
        <f>IF(L16&gt;=($L$6*0.7),1,0)</f>
        <v/>
      </c>
      <c r="N16" s="70">
        <f>IF(L16&gt;=($L$6*0.8),1,0)</f>
        <v/>
      </c>
      <c r="O16" s="70">
        <f>IF(L16&gt;=($L$6*0.9),1,0)</f>
        <v/>
      </c>
      <c r="P16" s="70" t="n"/>
      <c r="Q16" s="70" t="n"/>
      <c r="R16" s="80" t="n">
        <v>52</v>
      </c>
      <c r="S16" s="48" t="n"/>
      <c r="T16" s="48" t="n"/>
      <c r="U16" s="48" t="n"/>
      <c r="V16" s="48" t="n"/>
      <c r="W16" s="44" t="n"/>
      <c r="X16" s="44" t="n"/>
      <c r="Y16" s="48" t="n"/>
      <c r="Z16" s="46" t="n"/>
      <c r="AA16" s="46" t="n"/>
      <c r="AB16" s="46" t="n"/>
      <c r="AC16" s="46" t="n"/>
    </row>
    <row r="17" ht="19.5" customHeight="1" s="98">
      <c r="A17" s="69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t="n">
        <v>28</v>
      </c>
      <c r="E17" s="70">
        <f>IF(D17&gt;=($D$6*0.7),1,0)</f>
        <v/>
      </c>
      <c r="F17" s="70">
        <f>IF(D17&gt;=($D$6*0.8),1,0)</f>
        <v/>
      </c>
      <c r="G17" s="70">
        <f>IF(D17&gt;=($D$6*0.9),1,0)</f>
        <v/>
      </c>
      <c r="H17" t="n">
        <v>28</v>
      </c>
      <c r="I17" s="70">
        <f>IF(H17&gt;=($H$6*0.7),1,0)</f>
        <v/>
      </c>
      <c r="J17" s="70">
        <f>IF(H17&gt;=($H$6*0.7),1,0)</f>
        <v/>
      </c>
      <c r="K17" s="70">
        <f>IF(H17&gt;=($H$6*0.9),1,0)</f>
        <v/>
      </c>
      <c r="L17" t="n">
        <v>14</v>
      </c>
      <c r="M17" s="70">
        <f>IF(L17&gt;=($L$6*0.7),1,0)</f>
        <v/>
      </c>
      <c r="N17" s="70">
        <f>IF(L17&gt;=($L$6*0.8),1,0)</f>
        <v/>
      </c>
      <c r="O17" s="70">
        <f>IF(L17&gt;=($L$6*0.9),1,0)</f>
        <v/>
      </c>
      <c r="P17" s="70" t="n"/>
      <c r="Q17" s="70" t="n"/>
      <c r="R17" t="n">
        <v>70</v>
      </c>
      <c r="S17" s="48" t="n"/>
      <c r="T17" s="48" t="n"/>
      <c r="U17" s="48" t="n"/>
      <c r="V17" s="48" t="n"/>
      <c r="W17" s="44" t="n"/>
      <c r="X17" s="44" t="n"/>
      <c r="Y17" s="48" t="n"/>
      <c r="Z17" s="46" t="n"/>
      <c r="AA17" s="46" t="n"/>
      <c r="AB17" s="46" t="n"/>
      <c r="AC17" s="46" t="n"/>
    </row>
    <row r="18" ht="19.5" customHeight="1" s="98">
      <c r="A18" s="69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80" t="n">
        <v>23</v>
      </c>
      <c r="E18" s="70">
        <f>IF(D18&gt;=($D$6*0.7),1,0)</f>
        <v/>
      </c>
      <c r="F18" s="70">
        <f>IF(D18&gt;=($D$6*0.8),1,0)</f>
        <v/>
      </c>
      <c r="G18" s="70">
        <f>IF(D18&gt;=($D$6*0.9),1,0)</f>
        <v/>
      </c>
      <c r="H18" s="80" t="n">
        <v>25</v>
      </c>
      <c r="I18" s="70">
        <f>IF(H18&gt;=($H$6*0.7),1,0)</f>
        <v/>
      </c>
      <c r="J18" s="70">
        <f>IF(H18&gt;=($H$6*0.7),1,0)</f>
        <v/>
      </c>
      <c r="K18" s="70">
        <f>IF(H18&gt;=($H$6*0.9),1,0)</f>
        <v/>
      </c>
      <c r="L18" s="80" t="n">
        <v>13</v>
      </c>
      <c r="M18" s="70">
        <f>IF(L18&gt;=($L$6*0.7),1,0)</f>
        <v/>
      </c>
      <c r="N18" s="70">
        <f>IF(L18&gt;=($L$6*0.8),1,0)</f>
        <v/>
      </c>
      <c r="O18" s="70">
        <f>IF(L18&gt;=($L$6*0.9),1,0)</f>
        <v/>
      </c>
      <c r="P18" s="70" t="n"/>
      <c r="Q18" s="70" t="n"/>
      <c r="R18" t="n">
        <v>61</v>
      </c>
      <c r="S18" s="48" t="n"/>
      <c r="T18" s="48" t="n"/>
      <c r="U18" s="48" t="n"/>
      <c r="V18" s="48" t="n"/>
      <c r="W18" s="44" t="n"/>
      <c r="X18" s="44" t="n"/>
      <c r="Y18" s="48" t="n"/>
      <c r="Z18" s="46" t="n"/>
      <c r="AA18" s="46" t="n"/>
      <c r="AB18" s="46" t="n"/>
      <c r="AC18" s="46" t="n"/>
    </row>
    <row r="19" ht="19.5" customHeight="1" s="98">
      <c r="A19" s="69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t="n">
        <v>22</v>
      </c>
      <c r="E19" s="70">
        <f>IF(D19&gt;=($D$6*0.7),1,0)</f>
        <v/>
      </c>
      <c r="F19" s="70">
        <f>IF(D19&gt;=($D$6*0.8),1,0)</f>
        <v/>
      </c>
      <c r="G19" s="70">
        <f>IF(D19&gt;=($D$6*0.9),1,0)</f>
        <v/>
      </c>
      <c r="H19" t="n">
        <v>21</v>
      </c>
      <c r="I19" s="70">
        <f>IF(H19&gt;=($H$6*0.7),1,0)</f>
        <v/>
      </c>
      <c r="J19" s="70">
        <f>IF(H19&gt;=($H$6*0.7),1,0)</f>
        <v/>
      </c>
      <c r="K19" s="70">
        <f>IF(H19&gt;=($H$6*0.9),1,0)</f>
        <v/>
      </c>
      <c r="L19" t="n">
        <v>13</v>
      </c>
      <c r="M19" s="70">
        <f>IF(L19&gt;=($L$6*0.7),1,0)</f>
        <v/>
      </c>
      <c r="N19" s="70">
        <f>IF(L19&gt;=($L$6*0.8),1,0)</f>
        <v/>
      </c>
      <c r="O19" s="70">
        <f>IF(L19&gt;=($L$6*0.9),1,0)</f>
        <v/>
      </c>
      <c r="P19" s="70" t="n"/>
      <c r="Q19" s="70" t="n"/>
      <c r="R19" t="n">
        <v>56</v>
      </c>
      <c r="S19" s="48" t="n"/>
      <c r="T19" s="48" t="n"/>
      <c r="U19" s="48" t="n"/>
      <c r="V19" s="48" t="n"/>
      <c r="W19" s="44" t="n"/>
      <c r="X19" s="44" t="n"/>
      <c r="Y19" s="48" t="n"/>
      <c r="Z19" s="46" t="n"/>
      <c r="AA19" s="46" t="n"/>
      <c r="AB19" s="46" t="n"/>
      <c r="AC19" s="46" t="n"/>
    </row>
    <row r="20" ht="19.5" customHeight="1" s="98">
      <c r="A20" s="69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80" t="n">
        <v>21</v>
      </c>
      <c r="E20" s="70">
        <f>IF(D20&gt;=($D$6*0.7),1,0)</f>
        <v/>
      </c>
      <c r="F20" s="70">
        <f>IF(D20&gt;=($D$6*0.8),1,0)</f>
        <v/>
      </c>
      <c r="G20" s="70">
        <f>IF(D20&gt;=($D$6*0.9),1,0)</f>
        <v/>
      </c>
      <c r="H20" s="80" t="n">
        <v>21</v>
      </c>
      <c r="I20" s="70">
        <f>IF(H20&gt;=($H$6*0.7),1,0)</f>
        <v/>
      </c>
      <c r="J20" s="70">
        <f>IF(H20&gt;=($H$6*0.7),1,0)</f>
        <v/>
      </c>
      <c r="K20" s="70">
        <f>IF(H20&gt;=($H$6*0.9),1,0)</f>
        <v/>
      </c>
      <c r="L20" s="80" t="n">
        <v>13</v>
      </c>
      <c r="M20" s="70">
        <f>IF(L20&gt;=($L$6*0.7),1,0)</f>
        <v/>
      </c>
      <c r="N20" s="70">
        <f>IF(L20&gt;=($L$6*0.8),1,0)</f>
        <v/>
      </c>
      <c r="O20" s="70">
        <f>IF(L20&gt;=($L$6*0.9),1,0)</f>
        <v/>
      </c>
      <c r="P20" s="70" t="n"/>
      <c r="Q20" s="70" t="n"/>
      <c r="R20" s="80" t="n">
        <v>55</v>
      </c>
      <c r="S20" s="48" t="n"/>
      <c r="T20" s="48" t="n"/>
      <c r="U20" s="48" t="n"/>
      <c r="V20" s="48" t="n"/>
      <c r="W20" s="44" t="n"/>
      <c r="X20" s="44" t="n"/>
      <c r="Y20" s="48" t="n"/>
      <c r="Z20" s="46" t="n"/>
      <c r="AA20" s="46" t="n"/>
      <c r="AB20" s="46" t="n"/>
      <c r="AC20" s="46" t="n"/>
    </row>
    <row r="21" ht="19.5" customHeight="1" s="98">
      <c r="A21" s="69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80" t="n">
        <v>17</v>
      </c>
      <c r="E21" s="70">
        <f>IF(D21&gt;=($D$6*0.7),1,0)</f>
        <v/>
      </c>
      <c r="F21" s="70">
        <f>IF(D21&gt;=($D$6*0.8),1,0)</f>
        <v/>
      </c>
      <c r="G21" s="70">
        <f>IF(D21&gt;=($D$6*0.9),1,0)</f>
        <v/>
      </c>
      <c r="H21" s="80" t="n">
        <v>17</v>
      </c>
      <c r="I21" s="70">
        <f>IF(H21&gt;=($H$6*0.7),1,0)</f>
        <v/>
      </c>
      <c r="J21" s="70">
        <f>IF(H21&gt;=($H$6*0.7),1,0)</f>
        <v/>
      </c>
      <c r="K21" s="70">
        <f>IF(H21&gt;=($H$6*0.9),1,0)</f>
        <v/>
      </c>
      <c r="L21" s="80" t="n">
        <v>9</v>
      </c>
      <c r="M21" s="70">
        <f>IF(L21&gt;=($L$6*0.7),1,0)</f>
        <v/>
      </c>
      <c r="N21" s="70">
        <f>IF(L21&gt;=($L$6*0.8),1,0)</f>
        <v/>
      </c>
      <c r="O21" s="70">
        <f>IF(L21&gt;=($L$6*0.9),1,0)</f>
        <v/>
      </c>
      <c r="P21" s="70" t="n"/>
      <c r="Q21" s="70" t="n"/>
      <c r="R21" s="80" t="n">
        <v>43</v>
      </c>
      <c r="S21" s="48" t="n"/>
      <c r="T21" s="48" t="n"/>
      <c r="U21" s="48" t="n"/>
      <c r="V21" s="48" t="n"/>
      <c r="W21" s="44" t="n"/>
      <c r="X21" s="44" t="n"/>
      <c r="Y21" s="48" t="n"/>
      <c r="Z21" s="46" t="n"/>
      <c r="AA21" s="46" t="n"/>
      <c r="AB21" s="46" t="n"/>
      <c r="AC21" s="46" t="n"/>
    </row>
    <row r="22" ht="19.5" customHeight="1" s="98">
      <c r="A22" s="69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80" t="n">
        <v>28</v>
      </c>
      <c r="E22" s="70">
        <f>IF(D22&gt;=($D$6*0.7),1,0)</f>
        <v/>
      </c>
      <c r="F22" s="70">
        <f>IF(D22&gt;=($D$6*0.8),1,0)</f>
        <v/>
      </c>
      <c r="G22" s="70">
        <f>IF(D22&gt;=($D$6*0.9),1,0)</f>
        <v/>
      </c>
      <c r="H22" s="80" t="n">
        <v>28</v>
      </c>
      <c r="I22" s="70">
        <f>IF(H22&gt;=($H$6*0.7),1,0)</f>
        <v/>
      </c>
      <c r="J22" s="70">
        <f>IF(H22&gt;=($H$6*0.7),1,0)</f>
        <v/>
      </c>
      <c r="K22" s="70">
        <f>IF(H22&gt;=($H$6*0.9),1,0)</f>
        <v/>
      </c>
      <c r="L22" s="80" t="n">
        <v>14</v>
      </c>
      <c r="M22" s="70">
        <f>IF(L22&gt;=($L$6*0.7),1,0)</f>
        <v/>
      </c>
      <c r="N22" s="70">
        <f>IF(L22&gt;=($L$6*0.8),1,0)</f>
        <v/>
      </c>
      <c r="O22" s="70">
        <f>IF(L22&gt;=($L$6*0.9),1,0)</f>
        <v/>
      </c>
      <c r="P22" s="70" t="n"/>
      <c r="Q22" s="70" t="n"/>
      <c r="R22" t="n">
        <v>70</v>
      </c>
      <c r="S22" s="48" t="n"/>
      <c r="T22" s="48" t="n"/>
      <c r="U22" s="48" t="n"/>
      <c r="V22" s="48" t="n"/>
      <c r="W22" s="44" t="n"/>
      <c r="X22" s="44" t="n"/>
      <c r="Y22" s="48" t="n"/>
      <c r="Z22" s="46" t="n"/>
      <c r="AA22" s="46" t="n"/>
      <c r="AB22" s="46" t="n"/>
      <c r="AC22" s="46" t="n"/>
    </row>
    <row r="23" ht="19.5" customHeight="1" s="98">
      <c r="A23" s="69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80" t="n">
        <v>22</v>
      </c>
      <c r="E23" s="70">
        <f>IF(D23&gt;=($D$6*0.7),1,0)</f>
        <v/>
      </c>
      <c r="F23" s="70">
        <f>IF(D23&gt;=($D$6*0.8),1,0)</f>
        <v/>
      </c>
      <c r="G23" s="70">
        <f>IF(D23&gt;=($D$6*0.9),1,0)</f>
        <v/>
      </c>
      <c r="H23" s="80" t="n">
        <v>25</v>
      </c>
      <c r="I23" s="70">
        <f>IF(H23&gt;=($H$6*0.7),1,0)</f>
        <v/>
      </c>
      <c r="J23" s="70">
        <f>IF(H23&gt;=($H$6*0.7),1,0)</f>
        <v/>
      </c>
      <c r="K23" s="70">
        <f>IF(H23&gt;=($H$6*0.9),1,0)</f>
        <v/>
      </c>
      <c r="L23" s="80" t="n">
        <v>13</v>
      </c>
      <c r="M23" s="70">
        <f>IF(L23&gt;=($L$6*0.7),1,0)</f>
        <v/>
      </c>
      <c r="N23" s="70">
        <f>IF(L23&gt;=($L$6*0.8),1,0)</f>
        <v/>
      </c>
      <c r="O23" s="70">
        <f>IF(L23&gt;=($L$6*0.9),1,0)</f>
        <v/>
      </c>
      <c r="P23" s="70" t="n"/>
      <c r="Q23" s="70" t="n"/>
      <c r="R23" s="80" t="n">
        <v>60</v>
      </c>
      <c r="S23" s="48" t="n"/>
      <c r="T23" s="48" t="n"/>
      <c r="U23" s="48" t="n"/>
      <c r="V23" s="48" t="n"/>
      <c r="W23" s="44" t="n"/>
      <c r="X23" s="44" t="n"/>
      <c r="Y23" s="48" t="n"/>
      <c r="Z23" s="46" t="n"/>
      <c r="AA23" s="46" t="n"/>
      <c r="AB23" s="46" t="n"/>
      <c r="AC23" s="46" t="n"/>
    </row>
    <row r="24" ht="19.5" customHeight="1" s="98">
      <c r="A24" s="69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80" t="n">
        <v>26</v>
      </c>
      <c r="E24" s="70">
        <f>IF(D24&gt;=($D$6*0.7),1,0)</f>
        <v/>
      </c>
      <c r="F24" s="70">
        <f>IF(D24&gt;=($D$6*0.8),1,0)</f>
        <v/>
      </c>
      <c r="G24" s="70">
        <f>IF(D24&gt;=($D$6*0.9),1,0)</f>
        <v/>
      </c>
      <c r="H24" s="80" t="n">
        <v>24</v>
      </c>
      <c r="I24" s="70">
        <f>IF(H24&gt;=($H$6*0.7),1,0)</f>
        <v/>
      </c>
      <c r="J24" s="70">
        <f>IF(H24&gt;=($H$6*0.7),1,0)</f>
        <v/>
      </c>
      <c r="K24" s="70">
        <f>IF(H24&gt;=($H$6*0.9),1,0)</f>
        <v/>
      </c>
      <c r="L24" s="80" t="n">
        <v>13</v>
      </c>
      <c r="M24" s="70">
        <f>IF(L24&gt;=($L$6*0.7),1,0)</f>
        <v/>
      </c>
      <c r="N24" s="70">
        <f>IF(L24&gt;=($L$6*0.8),1,0)</f>
        <v/>
      </c>
      <c r="O24" s="70">
        <f>IF(L24&gt;=($L$6*0.9),1,0)</f>
        <v/>
      </c>
      <c r="P24" s="70" t="n"/>
      <c r="Q24" s="70" t="n"/>
      <c r="R24" s="80" t="n">
        <v>63</v>
      </c>
      <c r="S24" s="48" t="n"/>
      <c r="T24" s="48" t="n"/>
      <c r="U24" s="48" t="n"/>
      <c r="V24" s="48" t="n"/>
      <c r="W24" s="44" t="n"/>
      <c r="X24" s="44" t="n"/>
      <c r="Y24" s="48" t="n"/>
      <c r="Z24" s="46" t="n"/>
      <c r="AA24" s="46" t="n"/>
      <c r="AB24" s="46" t="n"/>
      <c r="AC24" s="46" t="n"/>
    </row>
    <row r="25" ht="19.5" customHeight="1" s="98">
      <c r="A25" s="69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80" t="n">
        <v>28</v>
      </c>
      <c r="E25" s="70">
        <f>IF(D25&gt;=($D$6*0.7),1,0)</f>
        <v/>
      </c>
      <c r="F25" s="70">
        <f>IF(D25&gt;=($D$6*0.8),1,0)</f>
        <v/>
      </c>
      <c r="G25" s="70">
        <f>IF(D25&gt;=($D$6*0.9),1,0)</f>
        <v/>
      </c>
      <c r="H25" s="80" t="n">
        <v>28</v>
      </c>
      <c r="I25" s="70">
        <f>IF(H25&gt;=($H$6*0.7),1,0)</f>
        <v/>
      </c>
      <c r="J25" s="70">
        <f>IF(H25&gt;=($H$6*0.7),1,0)</f>
        <v/>
      </c>
      <c r="K25" s="70">
        <f>IF(H25&gt;=($H$6*0.9),1,0)</f>
        <v/>
      </c>
      <c r="L25" s="80" t="n">
        <v>14</v>
      </c>
      <c r="M25" s="70">
        <f>IF(L25&gt;=($L$6*0.7),1,0)</f>
        <v/>
      </c>
      <c r="N25" s="70">
        <f>IF(L25&gt;=($L$6*0.8),1,0)</f>
        <v/>
      </c>
      <c r="O25" s="70">
        <f>IF(L25&gt;=($L$6*0.9),1,0)</f>
        <v/>
      </c>
      <c r="P25" s="70" t="n"/>
      <c r="Q25" s="70" t="n"/>
      <c r="R25" s="80" t="n">
        <v>70</v>
      </c>
      <c r="S25" s="48" t="n"/>
      <c r="T25" s="48" t="n"/>
      <c r="U25" s="48" t="n"/>
      <c r="V25" s="48" t="n"/>
      <c r="W25" s="44" t="n"/>
      <c r="X25" s="44" t="n"/>
      <c r="Y25" s="48" t="n"/>
      <c r="Z25" s="46" t="n"/>
      <c r="AA25" s="46" t="n"/>
      <c r="AB25" s="46" t="n"/>
      <c r="AC25" s="46" t="n"/>
    </row>
    <row r="26" ht="19.5" customHeight="1" s="98">
      <c r="A26" s="69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80" t="n">
        <v>28</v>
      </c>
      <c r="E26" s="70">
        <f>IF(D26&gt;=($D$6*0.7),1,0)</f>
        <v/>
      </c>
      <c r="F26" s="70">
        <f>IF(D26&gt;=($D$6*0.8),1,0)</f>
        <v/>
      </c>
      <c r="G26" s="70">
        <f>IF(D26&gt;=($D$6*0.9),1,0)</f>
        <v/>
      </c>
      <c r="H26" s="80" t="n">
        <v>28</v>
      </c>
      <c r="I26" s="70">
        <f>IF(H26&gt;=($H$6*0.7),1,0)</f>
        <v/>
      </c>
      <c r="J26" s="70">
        <f>IF(H26&gt;=($H$6*0.7),1,0)</f>
        <v/>
      </c>
      <c r="K26" s="70">
        <f>IF(H26&gt;=($H$6*0.9),1,0)</f>
        <v/>
      </c>
      <c r="L26" s="80" t="n">
        <v>14</v>
      </c>
      <c r="M26" s="70">
        <f>IF(L26&gt;=($L$6*0.7),1,0)</f>
        <v/>
      </c>
      <c r="N26" s="70">
        <f>IF(L26&gt;=($L$6*0.8),1,0)</f>
        <v/>
      </c>
      <c r="O26" s="70">
        <f>IF(L26&gt;=($L$6*0.9),1,0)</f>
        <v/>
      </c>
      <c r="P26" s="70" t="n"/>
      <c r="Q26" s="70" t="n"/>
      <c r="R26" s="80" t="n">
        <v>70</v>
      </c>
      <c r="S26" s="48" t="n"/>
      <c r="T26" s="48" t="n"/>
      <c r="U26" s="48" t="n"/>
      <c r="V26" s="48" t="n"/>
      <c r="W26" s="44" t="n"/>
      <c r="X26" s="44" t="n"/>
      <c r="Y26" s="48" t="n"/>
      <c r="Z26" s="46" t="n"/>
      <c r="AA26" s="46" t="n"/>
      <c r="AB26" s="46" t="n"/>
      <c r="AC26" s="46" t="n"/>
    </row>
    <row r="27" ht="19.5" customHeight="1" s="98">
      <c r="A27" s="69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80" t="n">
        <v>23</v>
      </c>
      <c r="E27" s="70">
        <f>IF(D27&gt;=($D$6*0.7),1,0)</f>
        <v/>
      </c>
      <c r="F27" s="70">
        <f>IF(D27&gt;=($D$6*0.8),1,0)</f>
        <v/>
      </c>
      <c r="G27" s="70">
        <f>IF(D27&gt;=($D$6*0.9),1,0)</f>
        <v/>
      </c>
      <c r="H27" s="80" t="n">
        <v>23</v>
      </c>
      <c r="I27" s="70">
        <f>IF(H27&gt;=($H$6*0.7),1,0)</f>
        <v/>
      </c>
      <c r="J27" s="70">
        <f>IF(H27&gt;=($H$6*0.7),1,0)</f>
        <v/>
      </c>
      <c r="K27" s="70">
        <f>IF(H27&gt;=($H$6*0.9),1,0)</f>
        <v/>
      </c>
      <c r="L27" s="80" t="n">
        <v>13</v>
      </c>
      <c r="M27" s="70">
        <f>IF(L27&gt;=($L$6*0.7),1,0)</f>
        <v/>
      </c>
      <c r="N27" s="70">
        <f>IF(L27&gt;=($L$6*0.8),1,0)</f>
        <v/>
      </c>
      <c r="O27" s="70">
        <f>IF(L27&gt;=($L$6*0.9),1,0)</f>
        <v/>
      </c>
      <c r="P27" s="70" t="n"/>
      <c r="Q27" s="70" t="n"/>
      <c r="R27" t="n">
        <v>59</v>
      </c>
      <c r="S27" s="48" t="n"/>
      <c r="T27" s="48" t="n"/>
      <c r="U27" s="48" t="n"/>
      <c r="V27" s="48" t="n"/>
      <c r="W27" s="44" t="n"/>
      <c r="X27" s="44" t="n"/>
      <c r="Y27" s="48" t="n"/>
      <c r="Z27" s="46" t="n"/>
      <c r="AA27" s="46" t="n"/>
      <c r="AB27" s="46" t="n"/>
      <c r="AC27" s="46" t="n"/>
    </row>
    <row r="28" ht="19.5" customHeight="1" s="98">
      <c r="A28" s="69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t="n">
        <v>22</v>
      </c>
      <c r="E28" s="70">
        <f>IF(D28&gt;=($D$6*0.7),1,0)</f>
        <v/>
      </c>
      <c r="F28" s="70">
        <f>IF(D28&gt;=($D$6*0.8),1,0)</f>
        <v/>
      </c>
      <c r="G28" s="70">
        <f>IF(D28&gt;=($D$6*0.9),1,0)</f>
        <v/>
      </c>
      <c r="H28" t="n">
        <v>24</v>
      </c>
      <c r="I28" s="70">
        <f>IF(H28&gt;=($H$6*0.7),1,0)</f>
        <v/>
      </c>
      <c r="J28" s="70">
        <f>IF(H28&gt;=($H$6*0.7),1,0)</f>
        <v/>
      </c>
      <c r="K28" s="70">
        <f>IF(H28&gt;=($H$6*0.9),1,0)</f>
        <v/>
      </c>
      <c r="L28" t="n">
        <v>13</v>
      </c>
      <c r="M28" s="70">
        <f>IF(L28&gt;=($L$6*0.7),1,0)</f>
        <v/>
      </c>
      <c r="N28" s="70">
        <f>IF(L28&gt;=($L$6*0.8),1,0)</f>
        <v/>
      </c>
      <c r="O28" s="70">
        <f>IF(L28&gt;=($L$6*0.9),1,0)</f>
        <v/>
      </c>
      <c r="P28" s="70" t="n"/>
      <c r="Q28" s="70" t="n"/>
      <c r="R28" t="n">
        <v>59</v>
      </c>
      <c r="S28" s="48" t="n"/>
      <c r="T28" s="48" t="n"/>
      <c r="U28" s="48" t="n"/>
      <c r="V28" s="48" t="n"/>
      <c r="W28" s="44" t="n"/>
      <c r="X28" s="44" t="n"/>
      <c r="Y28" s="48" t="n"/>
      <c r="Z28" s="46" t="n"/>
      <c r="AA28" s="46" t="n"/>
      <c r="AB28" s="46" t="n"/>
      <c r="AC28" s="46" t="n"/>
    </row>
    <row r="29" ht="19.5" customHeight="1" s="98">
      <c r="A29" s="69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80" t="n">
        <v>26</v>
      </c>
      <c r="E29" s="70">
        <f>IF(D29&gt;=($D$6*0.7),1,0)</f>
        <v/>
      </c>
      <c r="F29" s="70">
        <f>IF(D29&gt;=($D$6*0.8),1,0)</f>
        <v/>
      </c>
      <c r="G29" s="70">
        <f>IF(D29&gt;=($D$6*0.9),1,0)</f>
        <v/>
      </c>
      <c r="H29" s="80" t="n">
        <v>25</v>
      </c>
      <c r="I29" s="70">
        <f>IF(H29&gt;=($H$6*0.7),1,0)</f>
        <v/>
      </c>
      <c r="J29" s="70">
        <f>IF(H29&gt;=($H$6*0.7),1,0)</f>
        <v/>
      </c>
      <c r="K29" s="70">
        <f>IF(H29&gt;=($H$6*0.9),1,0)</f>
        <v/>
      </c>
      <c r="L29" s="80" t="n">
        <v>14</v>
      </c>
      <c r="M29" s="70">
        <f>IF(L29&gt;=($L$6*0.7),1,0)</f>
        <v/>
      </c>
      <c r="N29" s="70">
        <f>IF(L29&gt;=($L$6*0.8),1,0)</f>
        <v/>
      </c>
      <c r="O29" s="70">
        <f>IF(L29&gt;=($L$6*0.9),1,0)</f>
        <v/>
      </c>
      <c r="P29" s="70" t="n"/>
      <c r="Q29" s="70" t="n"/>
      <c r="R29" t="n">
        <v>65</v>
      </c>
      <c r="S29" s="48" t="n"/>
      <c r="T29" s="48" t="n"/>
      <c r="U29" s="48" t="n"/>
      <c r="V29" s="48" t="n"/>
      <c r="W29" s="44" t="n"/>
      <c r="X29" s="44" t="n"/>
      <c r="Y29" s="48" t="n"/>
      <c r="Z29" s="46" t="n"/>
      <c r="AA29" s="46" t="n"/>
      <c r="AB29" s="46" t="n"/>
      <c r="AC29" s="46" t="n"/>
    </row>
    <row r="30" ht="19.5" customHeight="1" s="98">
      <c r="A30" s="69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80" t="n">
        <v>18</v>
      </c>
      <c r="E30" s="70">
        <f>IF(D30&gt;=($D$6*0.7),1,0)</f>
        <v/>
      </c>
      <c r="F30" s="70">
        <f>IF(D30&gt;=($D$6*0.8),1,0)</f>
        <v/>
      </c>
      <c r="G30" s="70">
        <f>IF(D30&gt;=($D$6*0.9),1,0)</f>
        <v/>
      </c>
      <c r="H30" s="80" t="n">
        <v>18</v>
      </c>
      <c r="I30" s="70">
        <f>IF(H30&gt;=($H$6*0.7),1,0)</f>
        <v/>
      </c>
      <c r="J30" s="70">
        <f>IF(H30&gt;=($H$6*0.7),1,0)</f>
        <v/>
      </c>
      <c r="K30" s="70">
        <f>IF(H30&gt;=($H$6*0.9),1,0)</f>
        <v/>
      </c>
      <c r="L30" s="80" t="n">
        <v>11</v>
      </c>
      <c r="M30" s="70">
        <f>IF(L30&gt;=($L$6*0.7),1,0)</f>
        <v/>
      </c>
      <c r="N30" s="70">
        <f>IF(L30&gt;=($L$6*0.8),1,0)</f>
        <v/>
      </c>
      <c r="O30" s="70">
        <f>IF(L30&gt;=($L$6*0.9),1,0)</f>
        <v/>
      </c>
      <c r="P30" s="70" t="n"/>
      <c r="Q30" s="70" t="n"/>
      <c r="R30" s="80" t="n">
        <v>47</v>
      </c>
      <c r="S30" s="48" t="n"/>
      <c r="T30" s="48" t="n"/>
      <c r="U30" s="48" t="n"/>
      <c r="V30" s="48" t="n"/>
      <c r="W30" s="44" t="n"/>
      <c r="X30" s="44" t="n"/>
      <c r="Y30" s="48" t="n"/>
      <c r="Z30" s="46" t="n"/>
      <c r="AA30" s="46" t="n"/>
      <c r="AB30" s="46" t="n"/>
      <c r="AC30" s="46" t="n"/>
    </row>
    <row r="31" ht="19.5" customHeight="1" s="98">
      <c r="A31" s="69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80" t="n">
        <v>24</v>
      </c>
      <c r="E31" s="70">
        <f>IF(D31&gt;=($D$6*0.7),1,0)</f>
        <v/>
      </c>
      <c r="F31" s="70">
        <f>IF(D31&gt;=($D$6*0.8),1,0)</f>
        <v/>
      </c>
      <c r="G31" s="70">
        <f>IF(D31&gt;=($D$6*0.9),1,0)</f>
        <v/>
      </c>
      <c r="H31" s="80" t="n">
        <v>21</v>
      </c>
      <c r="I31" s="70">
        <f>IF(H31&gt;=($H$6*0.7),1,0)</f>
        <v/>
      </c>
      <c r="J31" s="70">
        <f>IF(H31&gt;=($H$6*0.7),1,0)</f>
        <v/>
      </c>
      <c r="K31" s="70">
        <f>IF(H31&gt;=($H$6*0.9),1,0)</f>
        <v/>
      </c>
      <c r="L31" s="80" t="n">
        <v>13</v>
      </c>
      <c r="M31" s="70">
        <f>IF(L31&gt;=($L$6*0.7),1,0)</f>
        <v/>
      </c>
      <c r="N31" s="70">
        <f>IF(L31&gt;=($L$6*0.8),1,0)</f>
        <v/>
      </c>
      <c r="O31" s="70">
        <f>IF(L31&gt;=($L$6*0.9),1,0)</f>
        <v/>
      </c>
      <c r="P31" s="70" t="n"/>
      <c r="Q31" s="70" t="n"/>
      <c r="R31" s="80" t="n">
        <v>58</v>
      </c>
      <c r="S31" s="48" t="n"/>
      <c r="T31" s="48" t="n"/>
      <c r="U31" s="48" t="n"/>
      <c r="V31" s="48" t="n"/>
      <c r="W31" s="44" t="n"/>
      <c r="X31" s="44" t="n"/>
      <c r="Y31" s="48" t="n"/>
      <c r="Z31" s="46" t="n"/>
      <c r="AA31" s="46" t="n"/>
      <c r="AB31" s="46" t="n"/>
      <c r="AC31" s="46" t="n"/>
    </row>
    <row r="32" ht="19.5" customHeight="1" s="98">
      <c r="A32" s="69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t="n">
        <v>19</v>
      </c>
      <c r="E32" s="70">
        <f>IF(D32&gt;=($D$6*0.7),1,0)</f>
        <v/>
      </c>
      <c r="F32" s="70">
        <f>IF(D32&gt;=($D$6*0.8),1,0)</f>
        <v/>
      </c>
      <c r="G32" s="70">
        <f>IF(D32&gt;=($D$6*0.9),1,0)</f>
        <v/>
      </c>
      <c r="H32" t="n">
        <v>20</v>
      </c>
      <c r="I32" s="70">
        <f>IF(H32&gt;=($H$6*0.7),1,0)</f>
        <v/>
      </c>
      <c r="J32" s="70">
        <f>IF(H32&gt;=($H$6*0.7),1,0)</f>
        <v/>
      </c>
      <c r="K32" s="70">
        <f>IF(H32&gt;=($H$6*0.9),1,0)</f>
        <v/>
      </c>
      <c r="L32" t="n">
        <v>11</v>
      </c>
      <c r="M32" s="70">
        <f>IF(L32&gt;=($L$6*0.7),1,0)</f>
        <v/>
      </c>
      <c r="N32" s="70">
        <f>IF(L32&gt;=($L$6*0.8),1,0)</f>
        <v/>
      </c>
      <c r="O32" s="70">
        <f>IF(L32&gt;=($L$6*0.9),1,0)</f>
        <v/>
      </c>
      <c r="P32" s="70" t="n"/>
      <c r="Q32" s="70" t="n"/>
      <c r="R32" t="n">
        <v>50</v>
      </c>
      <c r="S32" s="48" t="n"/>
      <c r="T32" s="48" t="n"/>
      <c r="U32" s="48" t="n"/>
      <c r="V32" s="48" t="n"/>
      <c r="W32" s="44" t="n"/>
      <c r="X32" s="44" t="n"/>
      <c r="Y32" s="48" t="n"/>
      <c r="Z32" s="46" t="n"/>
      <c r="AA32" s="46" t="n"/>
      <c r="AB32" s="46" t="n"/>
      <c r="AC32" s="46" t="n"/>
    </row>
    <row r="33" ht="19.5" customHeight="1" s="98">
      <c r="A33" s="69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80" t="n">
        <v>25</v>
      </c>
      <c r="E33" s="70">
        <f>IF(D33&gt;=($D$6*0.7),1,0)</f>
        <v/>
      </c>
      <c r="F33" s="70">
        <f>IF(D33&gt;=($D$6*0.8),1,0)</f>
        <v/>
      </c>
      <c r="G33" s="70">
        <f>IF(D33&gt;=($D$6*0.9),1,0)</f>
        <v/>
      </c>
      <c r="H33" s="80" t="n">
        <v>27</v>
      </c>
      <c r="I33" s="70">
        <f>IF(H33&gt;=($H$6*0.7),1,0)</f>
        <v/>
      </c>
      <c r="J33" s="70">
        <f>IF(H33&gt;=($H$6*0.7),1,0)</f>
        <v/>
      </c>
      <c r="K33" s="70">
        <f>IF(H33&gt;=($H$6*0.9),1,0)</f>
        <v/>
      </c>
      <c r="L33" s="80" t="n">
        <v>14</v>
      </c>
      <c r="M33" s="70">
        <f>IF(L33&gt;=($L$6*0.7),1,0)</f>
        <v/>
      </c>
      <c r="N33" s="70">
        <f>IF(L33&gt;=($L$6*0.8),1,0)</f>
        <v/>
      </c>
      <c r="O33" s="70">
        <f>IF(L33&gt;=($L$6*0.9),1,0)</f>
        <v/>
      </c>
      <c r="P33" s="70" t="n"/>
      <c r="Q33" s="70" t="n"/>
      <c r="R33" s="80" t="n">
        <v>66</v>
      </c>
      <c r="S33" s="48" t="n"/>
      <c r="T33" s="48" t="n"/>
      <c r="U33" s="48" t="n"/>
      <c r="V33" s="48" t="n"/>
      <c r="W33" s="44" t="n"/>
      <c r="X33" s="44" t="n"/>
      <c r="Y33" s="48" t="n"/>
      <c r="Z33" s="46" t="n"/>
      <c r="AA33" s="46" t="n"/>
      <c r="AB33" s="46" t="n"/>
      <c r="AC33" s="46" t="n"/>
    </row>
    <row r="34" ht="19.5" customHeight="1" s="98">
      <c r="A34" s="69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80" t="n">
        <v>21</v>
      </c>
      <c r="E34" s="70">
        <f>IF(D34&gt;=($D$6*0.7),1,0)</f>
        <v/>
      </c>
      <c r="F34" s="70">
        <f>IF(D34&gt;=($D$6*0.8),1,0)</f>
        <v/>
      </c>
      <c r="G34" s="70">
        <f>IF(D34&gt;=($D$6*0.9),1,0)</f>
        <v/>
      </c>
      <c r="H34" s="80" t="n">
        <v>20</v>
      </c>
      <c r="I34" s="70">
        <f>IF(H34&gt;=($H$6*0.7),1,0)</f>
        <v/>
      </c>
      <c r="J34" s="70">
        <f>IF(H34&gt;=($H$6*0.7),1,0)</f>
        <v/>
      </c>
      <c r="K34" s="70">
        <f>IF(H34&gt;=($H$6*0.9),1,0)</f>
        <v/>
      </c>
      <c r="L34" s="80" t="n">
        <v>11</v>
      </c>
      <c r="M34" s="70">
        <f>IF(L34&gt;=($L$6*0.7),1,0)</f>
        <v/>
      </c>
      <c r="N34" s="70">
        <f>IF(L34&gt;=($L$6*0.8),1,0)</f>
        <v/>
      </c>
      <c r="O34" s="70">
        <f>IF(L34&gt;=($L$6*0.9),1,0)</f>
        <v/>
      </c>
      <c r="P34" s="70" t="n"/>
      <c r="Q34" s="70" t="n"/>
      <c r="R34" t="n">
        <v>52</v>
      </c>
      <c r="S34" s="48" t="n"/>
      <c r="T34" s="48" t="n"/>
      <c r="U34" s="48" t="n"/>
      <c r="V34" s="48" t="n"/>
      <c r="W34" s="44" t="n"/>
      <c r="X34" s="44" t="n"/>
      <c r="Y34" s="48" t="n"/>
      <c r="Z34" s="46" t="n"/>
      <c r="AA34" s="46" t="n"/>
      <c r="AB34" s="46" t="n"/>
      <c r="AC34" s="46" t="n"/>
    </row>
    <row r="35" ht="19.5" customHeight="1" s="98">
      <c r="A35" s="69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80" t="n">
        <v>28</v>
      </c>
      <c r="E35" s="70">
        <f>IF(D35&gt;=($D$6*0.7),1,0)</f>
        <v/>
      </c>
      <c r="F35" s="70">
        <f>IF(D35&gt;=($D$6*0.8),1,0)</f>
        <v/>
      </c>
      <c r="G35" s="70">
        <f>IF(D35&gt;=($D$6*0.9),1,0)</f>
        <v/>
      </c>
      <c r="H35" s="80" t="n">
        <v>28</v>
      </c>
      <c r="I35" s="70">
        <f>IF(H35&gt;=($H$6*0.7),1,0)</f>
        <v/>
      </c>
      <c r="J35" s="70">
        <f>IF(H35&gt;=($H$6*0.7),1,0)</f>
        <v/>
      </c>
      <c r="K35" s="70">
        <f>IF(H35&gt;=($H$6*0.9),1,0)</f>
        <v/>
      </c>
      <c r="L35" s="80" t="n">
        <v>14</v>
      </c>
      <c r="M35" s="70">
        <f>IF(L35&gt;=($L$6*0.7),1,0)</f>
        <v/>
      </c>
      <c r="N35" s="70">
        <f>IF(L35&gt;=($L$6*0.8),1,0)</f>
        <v/>
      </c>
      <c r="O35" s="70">
        <f>IF(L35&gt;=($L$6*0.9),1,0)</f>
        <v/>
      </c>
      <c r="P35" s="70" t="n"/>
      <c r="Q35" s="70" t="n"/>
      <c r="R35" s="80" t="n">
        <v>70</v>
      </c>
      <c r="S35" s="48" t="n"/>
      <c r="T35" s="48" t="n"/>
      <c r="U35" s="48" t="n"/>
      <c r="V35" s="48" t="n"/>
      <c r="W35" s="44" t="n"/>
      <c r="X35" s="44" t="n"/>
      <c r="Y35" s="48" t="n"/>
      <c r="Z35" s="46" t="n"/>
      <c r="AA35" s="46" t="n"/>
      <c r="AB35" s="46" t="n"/>
      <c r="AC35" s="46" t="n"/>
    </row>
    <row r="36" ht="19.5" customHeight="1" s="98">
      <c r="A36" s="69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t="n">
        <v>14</v>
      </c>
      <c r="E36" s="70">
        <f>IF(D36&gt;=($D$6*0.7),1,0)</f>
        <v/>
      </c>
      <c r="F36" s="70">
        <f>IF(D36&gt;=($D$6*0.8),1,0)</f>
        <v/>
      </c>
      <c r="G36" s="70">
        <f>IF(D36&gt;=($D$6*0.9),1,0)</f>
        <v/>
      </c>
      <c r="H36" t="n">
        <v>14</v>
      </c>
      <c r="I36" s="70">
        <f>IF(H36&gt;=($H$6*0.7),1,0)</f>
        <v/>
      </c>
      <c r="J36" s="70">
        <f>IF(H36&gt;=($H$6*0.7),1,0)</f>
        <v/>
      </c>
      <c r="K36" s="70">
        <f>IF(H36&gt;=($H$6*0.9),1,0)</f>
        <v/>
      </c>
      <c r="L36" t="n">
        <v>9</v>
      </c>
      <c r="M36" s="70">
        <f>IF(L36&gt;=($L$6*0.7),1,0)</f>
        <v/>
      </c>
      <c r="N36" s="70">
        <f>IF(L36&gt;=($L$6*0.8),1,0)</f>
        <v/>
      </c>
      <c r="O36" s="70">
        <f>IF(L36&gt;=($L$6*0.9),1,0)</f>
        <v/>
      </c>
      <c r="P36" s="70" t="n"/>
      <c r="Q36" s="70" t="n"/>
      <c r="R36" t="n">
        <v>37</v>
      </c>
      <c r="S36" s="48" t="n"/>
      <c r="T36" s="48" t="n"/>
      <c r="U36" s="48" t="n"/>
      <c r="V36" s="48" t="n"/>
      <c r="W36" s="44" t="n"/>
      <c r="X36" s="44" t="n"/>
      <c r="Y36" s="48" t="n"/>
      <c r="Z36" s="46" t="n"/>
      <c r="AA36" s="46" t="n"/>
      <c r="AB36" s="46" t="n"/>
      <c r="AC36" s="46" t="n"/>
    </row>
    <row r="37" ht="19.5" customHeight="1" s="98">
      <c r="A37" s="69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80" t="n">
        <v>21</v>
      </c>
      <c r="E37" s="70">
        <f>IF(D37&gt;=($D$6*0.7),1,0)</f>
        <v/>
      </c>
      <c r="F37" s="70">
        <f>IF(D37&gt;=($D$6*0.8),1,0)</f>
        <v/>
      </c>
      <c r="G37" s="70">
        <f>IF(D37&gt;=($D$6*0.9),1,0)</f>
        <v/>
      </c>
      <c r="H37" s="80" t="n">
        <v>22</v>
      </c>
      <c r="I37" s="70">
        <f>IF(H37&gt;=($H$6*0.7),1,0)</f>
        <v/>
      </c>
      <c r="J37" s="70">
        <f>IF(H37&gt;=($H$6*0.7),1,0)</f>
        <v/>
      </c>
      <c r="K37" s="70">
        <f>IF(H37&gt;=($H$6*0.9),1,0)</f>
        <v/>
      </c>
      <c r="L37" s="80" t="n">
        <v>11</v>
      </c>
      <c r="M37" s="70">
        <f>IF(L37&gt;=($L$6*0.7),1,0)</f>
        <v/>
      </c>
      <c r="N37" s="70">
        <f>IF(L37&gt;=($L$6*0.8),1,0)</f>
        <v/>
      </c>
      <c r="O37" s="70">
        <f>IF(L37&gt;=($L$6*0.9),1,0)</f>
        <v/>
      </c>
      <c r="P37" s="70" t="n"/>
      <c r="Q37" s="70" t="n"/>
      <c r="R37" s="80" t="n">
        <v>54</v>
      </c>
      <c r="S37" s="48" t="n"/>
      <c r="T37" s="48" t="n"/>
      <c r="U37" s="48" t="n"/>
      <c r="V37" s="48" t="n"/>
      <c r="W37" s="44" t="n"/>
      <c r="X37" s="44" t="n"/>
      <c r="Y37" s="48" t="n"/>
      <c r="Z37" s="46" t="n"/>
      <c r="AA37" s="46" t="n"/>
      <c r="AB37" s="46" t="n"/>
      <c r="AC37" s="46" t="n"/>
    </row>
    <row r="38" ht="19.5" customHeight="1" s="98">
      <c r="A38" s="69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80" t="n">
        <v>20</v>
      </c>
      <c r="E38" s="70">
        <f>IF(D38&gt;=($D$6*0.7),1,0)</f>
        <v/>
      </c>
      <c r="F38" s="70">
        <f>IF(D38&gt;=($D$6*0.8),1,0)</f>
        <v/>
      </c>
      <c r="G38" s="70">
        <f>IF(D38&gt;=($D$6*0.9),1,0)</f>
        <v/>
      </c>
      <c r="H38" s="80" t="n">
        <v>22</v>
      </c>
      <c r="I38" s="70">
        <f>IF(H38&gt;=($H$6*0.7),1,0)</f>
        <v/>
      </c>
      <c r="J38" s="70">
        <f>IF(H38&gt;=($H$6*0.7),1,0)</f>
        <v/>
      </c>
      <c r="K38" s="70">
        <f>IF(H38&gt;=($H$6*0.9),1,0)</f>
        <v/>
      </c>
      <c r="L38" s="80" t="n">
        <v>11</v>
      </c>
      <c r="M38" s="70">
        <f>IF(L38&gt;=($L$6*0.7),1,0)</f>
        <v/>
      </c>
      <c r="N38" s="70">
        <f>IF(L38&gt;=($L$6*0.8),1,0)</f>
        <v/>
      </c>
      <c r="O38" s="70">
        <f>IF(L38&gt;=($L$6*0.9),1,0)</f>
        <v/>
      </c>
      <c r="P38" s="70" t="n"/>
      <c r="Q38" s="70" t="n"/>
      <c r="R38" s="80" t="n">
        <v>53</v>
      </c>
      <c r="S38" s="48" t="n"/>
      <c r="T38" s="48" t="n"/>
      <c r="U38" s="48" t="n"/>
      <c r="V38" s="48" t="n"/>
      <c r="W38" s="44" t="n"/>
      <c r="X38" s="44" t="n"/>
      <c r="Y38" s="48" t="n"/>
      <c r="Z38" s="46" t="n"/>
      <c r="AA38" s="46" t="n"/>
      <c r="AB38" s="46" t="n"/>
      <c r="AC38" s="46" t="n"/>
    </row>
    <row r="39" ht="19.5" customHeight="1" s="98">
      <c r="A39" s="69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80" t="n">
        <v>28</v>
      </c>
      <c r="E39" s="70">
        <f>IF(D39&gt;=($D$6*0.7),1,0)</f>
        <v/>
      </c>
      <c r="F39" s="70">
        <f>IF(D39&gt;=($D$6*0.8),1,0)</f>
        <v/>
      </c>
      <c r="G39" s="70">
        <f>IF(D39&gt;=($D$6*0.9),1,0)</f>
        <v/>
      </c>
      <c r="H39" s="80" t="n">
        <v>28</v>
      </c>
      <c r="I39" s="70">
        <f>IF(H39&gt;=($H$6*0.7),1,0)</f>
        <v/>
      </c>
      <c r="J39" s="70">
        <f>IF(H39&gt;=($H$6*0.7),1,0)</f>
        <v/>
      </c>
      <c r="K39" s="70">
        <f>IF(H39&gt;=($H$6*0.9),1,0)</f>
        <v/>
      </c>
      <c r="L39" s="80" t="n">
        <v>14</v>
      </c>
      <c r="M39" s="70">
        <f>IF(L39&gt;=($L$6*0.7),1,0)</f>
        <v/>
      </c>
      <c r="N39" s="70">
        <f>IF(L39&gt;=($L$6*0.8),1,0)</f>
        <v/>
      </c>
      <c r="O39" s="70">
        <f>IF(L39&gt;=($L$6*0.9),1,0)</f>
        <v/>
      </c>
      <c r="P39" s="70" t="n"/>
      <c r="Q39" s="70" t="n"/>
      <c r="R39" t="n">
        <v>70</v>
      </c>
      <c r="S39" s="48" t="n"/>
      <c r="T39" s="48" t="n"/>
      <c r="U39" s="48" t="n"/>
      <c r="V39" s="48" t="n"/>
      <c r="W39" s="44" t="n"/>
      <c r="X39" s="44" t="n"/>
      <c r="Y39" s="48" t="n"/>
      <c r="Z39" s="46" t="n"/>
      <c r="AA39" s="46" t="n"/>
      <c r="AB39" s="46" t="n"/>
      <c r="AC39" s="46" t="n"/>
    </row>
    <row r="40" ht="19.5" customHeight="1" s="98">
      <c r="A40" s="69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80" t="n">
        <v>23</v>
      </c>
      <c r="E40" s="70">
        <f>IF(D40&gt;=($D$6*0.7),1,0)</f>
        <v/>
      </c>
      <c r="F40" s="70">
        <f>IF(D40&gt;=($D$6*0.8),1,0)</f>
        <v/>
      </c>
      <c r="G40" s="70">
        <f>IF(D40&gt;=($D$6*0.9),1,0)</f>
        <v/>
      </c>
      <c r="H40" s="80" t="n">
        <v>20</v>
      </c>
      <c r="I40" s="70">
        <f>IF(H40&gt;=($H$6*0.7),1,0)</f>
        <v/>
      </c>
      <c r="J40" s="70">
        <f>IF(H40&gt;=($H$6*0.7),1,0)</f>
        <v/>
      </c>
      <c r="K40" s="70">
        <f>IF(H40&gt;=($H$6*0.9),1,0)</f>
        <v/>
      </c>
      <c r="L40" s="80" t="n">
        <v>13</v>
      </c>
      <c r="M40" s="70">
        <f>IF(L40&gt;=($L$6*0.7),1,0)</f>
        <v/>
      </c>
      <c r="N40" s="70">
        <f>IF(L40&gt;=($L$6*0.8),1,0)</f>
        <v/>
      </c>
      <c r="O40" s="70">
        <f>IF(L40&gt;=($L$6*0.9),1,0)</f>
        <v/>
      </c>
      <c r="P40" s="70" t="n"/>
      <c r="Q40" s="70" t="n"/>
      <c r="R40" t="n">
        <v>56</v>
      </c>
      <c r="S40" s="48" t="n"/>
      <c r="T40" s="48" t="n"/>
      <c r="U40" s="48" t="n"/>
      <c r="V40" s="48" t="n"/>
      <c r="W40" s="44" t="n"/>
      <c r="X40" s="44" t="n"/>
      <c r="Y40" s="48" t="n"/>
      <c r="Z40" s="46" t="n"/>
      <c r="AA40" s="46" t="n"/>
      <c r="AB40" s="46" t="n"/>
      <c r="AC40" s="46" t="n"/>
    </row>
    <row r="41" ht="19.5" customHeight="1" s="98">
      <c r="A41" s="69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80" t="n">
        <v>15</v>
      </c>
      <c r="E41" s="70">
        <f>IF(D41&gt;=($D$6*0.7),1,0)</f>
        <v/>
      </c>
      <c r="F41" s="70">
        <f>IF(D41&gt;=($D$6*0.8),1,0)</f>
        <v/>
      </c>
      <c r="G41" s="70">
        <f>IF(D41&gt;=($D$6*0.9),1,0)</f>
        <v/>
      </c>
      <c r="H41" s="80" t="n">
        <v>15</v>
      </c>
      <c r="I41" s="70">
        <f>IF(H41&gt;=($H$6*0.7),1,0)</f>
        <v/>
      </c>
      <c r="J41" s="70">
        <f>IF(H41&gt;=($H$6*0.7),1,0)</f>
        <v/>
      </c>
      <c r="K41" s="70">
        <f>IF(H41&gt;=($H$6*0.9),1,0)</f>
        <v/>
      </c>
      <c r="L41" s="80" t="n">
        <v>9</v>
      </c>
      <c r="M41" s="70">
        <f>IF(L41&gt;=($L$6*0.7),1,0)</f>
        <v/>
      </c>
      <c r="N41" s="70">
        <f>IF(L41&gt;=($L$6*0.8),1,0)</f>
        <v/>
      </c>
      <c r="O41" s="70">
        <f>IF(L41&gt;=($L$6*0.9),1,0)</f>
        <v/>
      </c>
      <c r="P41" s="70" t="n"/>
      <c r="Q41" s="70" t="n"/>
      <c r="R41" s="80" t="n">
        <v>39</v>
      </c>
      <c r="S41" s="48" t="n"/>
      <c r="T41" s="48" t="n"/>
      <c r="U41" s="48" t="n"/>
      <c r="V41" s="48" t="n"/>
      <c r="W41" s="44" t="n"/>
      <c r="X41" s="44" t="n"/>
      <c r="Y41" s="48" t="n"/>
      <c r="Z41" s="46" t="n"/>
      <c r="AA41" s="46" t="n"/>
      <c r="AB41" s="46" t="n"/>
      <c r="AC41" s="46" t="n"/>
    </row>
    <row r="42" ht="19.5" customHeight="1" s="98">
      <c r="A42" s="69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80" t="n">
        <v>21</v>
      </c>
      <c r="E42" s="70">
        <f>IF(D42&gt;=($D$6*0.7),1,0)</f>
        <v/>
      </c>
      <c r="F42" s="70">
        <f>IF(D42&gt;=($D$6*0.8),1,0)</f>
        <v/>
      </c>
      <c r="G42" s="70">
        <f>IF(D42&gt;=($D$6*0.9),1,0)</f>
        <v/>
      </c>
      <c r="H42" s="80" t="n">
        <v>22</v>
      </c>
      <c r="I42" s="70">
        <f>IF(H42&gt;=($H$6*0.7),1,0)</f>
        <v/>
      </c>
      <c r="J42" s="70">
        <f>IF(H42&gt;=($H$6*0.7),1,0)</f>
        <v/>
      </c>
      <c r="K42" s="70">
        <f>IF(H42&gt;=($H$6*0.9),1,0)</f>
        <v/>
      </c>
      <c r="L42" s="80" t="n">
        <v>13</v>
      </c>
      <c r="M42" s="70">
        <f>IF(L42&gt;=($L$6*0.7),1,0)</f>
        <v/>
      </c>
      <c r="N42" s="70">
        <f>IF(L42&gt;=($L$6*0.8),1,0)</f>
        <v/>
      </c>
      <c r="O42" s="70">
        <f>IF(L42&gt;=($L$6*0.9),1,0)</f>
        <v/>
      </c>
      <c r="P42" s="70" t="n"/>
      <c r="Q42" s="70" t="n"/>
      <c r="R42" s="80" t="n">
        <v>56</v>
      </c>
      <c r="S42" s="48" t="n"/>
      <c r="T42" s="48" t="n"/>
      <c r="U42" s="48" t="n"/>
      <c r="V42" s="48" t="n"/>
      <c r="W42" s="44" t="n"/>
      <c r="X42" s="44" t="n"/>
      <c r="Y42" s="48" t="n"/>
      <c r="Z42" s="46" t="n"/>
      <c r="AA42" s="46" t="n"/>
      <c r="AB42" s="46" t="n"/>
      <c r="AC42" s="46" t="n"/>
    </row>
    <row r="43" ht="19.5" customHeight="1" s="98">
      <c r="A43" s="69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80" t="n">
        <v>23</v>
      </c>
      <c r="E43" s="70">
        <f>IF(D43&gt;=($D$6*0.7),1,0)</f>
        <v/>
      </c>
      <c r="F43" s="70">
        <f>IF(D43&gt;=($D$6*0.8),1,0)</f>
        <v/>
      </c>
      <c r="G43" s="70">
        <f>IF(D43&gt;=($D$6*0.9),1,0)</f>
        <v/>
      </c>
      <c r="H43" s="80" t="n">
        <v>25</v>
      </c>
      <c r="I43" s="70">
        <f>IF(H43&gt;=($H$6*0.7),1,0)</f>
        <v/>
      </c>
      <c r="J43" s="70">
        <f>IF(H43&gt;=($H$6*0.7),1,0)</f>
        <v/>
      </c>
      <c r="K43" s="70">
        <f>IF(H43&gt;=($H$6*0.9),1,0)</f>
        <v/>
      </c>
      <c r="L43" s="80" t="n">
        <v>13</v>
      </c>
      <c r="M43" s="70">
        <f>IF(L43&gt;=($L$6*0.7),1,0)</f>
        <v/>
      </c>
      <c r="N43" s="70">
        <f>IF(L43&gt;=($L$6*0.8),1,0)</f>
        <v/>
      </c>
      <c r="O43" s="70">
        <f>IF(L43&gt;=($L$6*0.9),1,0)</f>
        <v/>
      </c>
      <c r="P43" s="70" t="n"/>
      <c r="Q43" s="70" t="n"/>
      <c r="R43" t="n">
        <v>61</v>
      </c>
      <c r="S43" s="48" t="n"/>
      <c r="T43" s="48" t="n"/>
      <c r="U43" s="48" t="n"/>
      <c r="V43" s="48" t="n"/>
      <c r="W43" s="44" t="n"/>
      <c r="X43" s="44" t="n"/>
      <c r="Y43" s="48" t="n"/>
      <c r="Z43" s="46" t="n"/>
      <c r="AA43" s="46" t="n"/>
      <c r="AB43" s="46" t="n"/>
      <c r="AC43" s="46" t="n"/>
    </row>
    <row r="44" ht="19.5" customHeight="1" s="98">
      <c r="A44" s="69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80" t="n">
        <v>22</v>
      </c>
      <c r="E44" s="70">
        <f>IF(D44&gt;=($D$6*0.7),1,0)</f>
        <v/>
      </c>
      <c r="F44" s="70">
        <f>IF(D44&gt;=($D$6*0.8),1,0)</f>
        <v/>
      </c>
      <c r="G44" s="70">
        <f>IF(D44&gt;=($D$6*0.9),1,0)</f>
        <v/>
      </c>
      <c r="H44" s="80" t="n">
        <v>20</v>
      </c>
      <c r="I44" s="70">
        <f>IF(H44&gt;=($H$6*0.7),1,0)</f>
        <v/>
      </c>
      <c r="J44" s="70">
        <f>IF(H44&gt;=($H$6*0.7),1,0)</f>
        <v/>
      </c>
      <c r="K44" s="70">
        <f>IF(H44&gt;=($H$6*0.9),1,0)</f>
        <v/>
      </c>
      <c r="L44" s="80" t="n">
        <v>13</v>
      </c>
      <c r="M44" s="70">
        <f>IF(L44&gt;=($L$6*0.7),1,0)</f>
        <v/>
      </c>
      <c r="N44" s="70">
        <f>IF(L44&gt;=($L$6*0.8),1,0)</f>
        <v/>
      </c>
      <c r="O44" s="70">
        <f>IF(L44&gt;=($L$6*0.9),1,0)</f>
        <v/>
      </c>
      <c r="P44" s="70" t="n"/>
      <c r="Q44" s="70" t="n"/>
      <c r="R44" s="80" t="n">
        <v>55</v>
      </c>
      <c r="S44" s="48" t="n"/>
      <c r="T44" s="48" t="n"/>
      <c r="U44" s="48" t="n"/>
      <c r="V44" s="48" t="n"/>
      <c r="W44" s="44" t="n"/>
      <c r="X44" s="44" t="n"/>
      <c r="Y44" s="48" t="n"/>
      <c r="Z44" s="46" t="n"/>
      <c r="AA44" s="46" t="n"/>
      <c r="AB44" s="46" t="n"/>
      <c r="AC44" s="46" t="n"/>
    </row>
    <row r="45" ht="19.5" customHeight="1" s="98">
      <c r="A45" s="69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80" t="n">
        <v>27</v>
      </c>
      <c r="E45" s="70">
        <f>IF(D45&gt;=($D$6*0.7),1,0)</f>
        <v/>
      </c>
      <c r="F45" s="70">
        <f>IF(D45&gt;=($D$6*0.8),1,0)</f>
        <v/>
      </c>
      <c r="G45" s="70">
        <f>IF(D45&gt;=($D$6*0.9),1,0)</f>
        <v/>
      </c>
      <c r="H45" s="80" t="n">
        <v>24</v>
      </c>
      <c r="I45" s="70">
        <f>IF(H45&gt;=($H$6*0.7),1,0)</f>
        <v/>
      </c>
      <c r="J45" s="70">
        <f>IF(H45&gt;=($H$6*0.7),1,0)</f>
        <v/>
      </c>
      <c r="K45" s="70">
        <f>IF(H45&gt;=($H$6*0.9),1,0)</f>
        <v/>
      </c>
      <c r="L45" s="80" t="n">
        <v>13</v>
      </c>
      <c r="M45" s="70">
        <f>IF(L45&gt;=($L$6*0.7),1,0)</f>
        <v/>
      </c>
      <c r="N45" s="70">
        <f>IF(L45&gt;=($L$6*0.8),1,0)</f>
        <v/>
      </c>
      <c r="O45" s="70">
        <f>IF(L45&gt;=($L$6*0.9),1,0)</f>
        <v/>
      </c>
      <c r="P45" s="70" t="n"/>
      <c r="Q45" s="70" t="n"/>
      <c r="R45" s="80" t="n">
        <v>64</v>
      </c>
      <c r="S45" s="48" t="n"/>
      <c r="T45" s="48" t="n"/>
      <c r="U45" s="48" t="n"/>
      <c r="V45" s="48" t="n"/>
      <c r="W45" s="44" t="n"/>
      <c r="X45" s="44" t="n"/>
      <c r="Y45" s="48" t="n"/>
      <c r="Z45" s="46" t="n"/>
      <c r="AA45" s="46" t="n"/>
      <c r="AB45" s="46" t="n"/>
      <c r="AC45" s="46" t="n"/>
    </row>
    <row r="46" ht="19.5" customHeight="1" s="98">
      <c r="A46" s="69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80" t="n">
        <v>23</v>
      </c>
      <c r="E46" s="70">
        <f>IF(D46&gt;=($D$6*0.7),1,0)</f>
        <v/>
      </c>
      <c r="F46" s="70">
        <f>IF(D46&gt;=($D$6*0.8),1,0)</f>
        <v/>
      </c>
      <c r="G46" s="70">
        <f>IF(D46&gt;=($D$6*0.9),1,0)</f>
        <v/>
      </c>
      <c r="H46" s="80" t="n">
        <v>20</v>
      </c>
      <c r="I46" s="70">
        <f>IF(H46&gt;=($H$6*0.7),1,0)</f>
        <v/>
      </c>
      <c r="J46" s="70">
        <f>IF(H46&gt;=($H$6*0.7),1,0)</f>
        <v/>
      </c>
      <c r="K46" s="70">
        <f>IF(H46&gt;=($H$6*0.9),1,0)</f>
        <v/>
      </c>
      <c r="L46" s="80" t="n">
        <v>13</v>
      </c>
      <c r="M46" s="70">
        <f>IF(L46&gt;=($L$6*0.7),1,0)</f>
        <v/>
      </c>
      <c r="N46" s="70">
        <f>IF(L46&gt;=($L$6*0.8),1,0)</f>
        <v/>
      </c>
      <c r="O46" s="70">
        <f>IF(L46&gt;=($L$6*0.9),1,0)</f>
        <v/>
      </c>
      <c r="P46" s="70" t="n"/>
      <c r="Q46" s="70" t="n"/>
      <c r="R46" s="80" t="n">
        <v>56</v>
      </c>
      <c r="S46" s="48" t="n"/>
      <c r="T46" s="48" t="n"/>
      <c r="U46" s="48" t="n"/>
      <c r="V46" s="48" t="n"/>
      <c r="W46" s="44" t="n"/>
      <c r="X46" s="44" t="n"/>
      <c r="Y46" s="48" t="n"/>
      <c r="Z46" s="46" t="n"/>
      <c r="AA46" s="46" t="n"/>
      <c r="AB46" s="46" t="n"/>
      <c r="AC46" s="46" t="n"/>
    </row>
    <row r="47" ht="19.5" customHeight="1" s="98">
      <c r="A47" s="69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80" t="n">
        <v>25</v>
      </c>
      <c r="E47" s="70">
        <f>IF(D47&gt;=($D$6*0.7),1,0)</f>
        <v/>
      </c>
      <c r="F47" s="70">
        <f>IF(D47&gt;=($D$6*0.8),1,0)</f>
        <v/>
      </c>
      <c r="G47" s="70">
        <f>IF(D47&gt;=($D$6*0.9),1,0)</f>
        <v/>
      </c>
      <c r="H47" s="80" t="n">
        <v>25</v>
      </c>
      <c r="I47" s="70">
        <f>IF(H47&gt;=($H$6*0.7),1,0)</f>
        <v/>
      </c>
      <c r="J47" s="70">
        <f>IF(H47&gt;=($H$6*0.7),1,0)</f>
        <v/>
      </c>
      <c r="K47" s="70">
        <f>IF(H47&gt;=($H$6*0.9),1,0)</f>
        <v/>
      </c>
      <c r="L47" s="80" t="n">
        <v>13</v>
      </c>
      <c r="M47" s="70">
        <f>IF(L47&gt;=($L$6*0.7),1,0)</f>
        <v/>
      </c>
      <c r="N47" s="70">
        <f>IF(L47&gt;=($L$6*0.8),1,0)</f>
        <v/>
      </c>
      <c r="O47" s="70">
        <f>IF(L47&gt;=($L$6*0.9),1,0)</f>
        <v/>
      </c>
      <c r="P47" s="70" t="n"/>
      <c r="Q47" s="70" t="n"/>
      <c r="R47" s="80" t="n">
        <v>63</v>
      </c>
      <c r="S47" s="48" t="n"/>
      <c r="T47" s="48" t="n"/>
      <c r="U47" s="48" t="n"/>
      <c r="V47" s="48" t="n"/>
      <c r="W47" s="44" t="n"/>
      <c r="X47" s="44" t="n"/>
      <c r="Y47" s="48" t="n"/>
      <c r="Z47" s="46" t="n"/>
      <c r="AA47" s="46" t="n"/>
      <c r="AB47" s="46" t="n"/>
      <c r="AC47" s="46" t="n"/>
    </row>
    <row r="48" ht="19.5" customHeight="1" s="98">
      <c r="A48" s="69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80" t="n">
        <v>20</v>
      </c>
      <c r="E48" s="70">
        <f>IF(D48&gt;=($D$6*0.7),1,0)</f>
        <v/>
      </c>
      <c r="F48" s="70">
        <f>IF(D48&gt;=($D$6*0.8),1,0)</f>
        <v/>
      </c>
      <c r="G48" s="70">
        <f>IF(D48&gt;=($D$6*0.9),1,0)</f>
        <v/>
      </c>
      <c r="H48" s="80" t="n">
        <v>23</v>
      </c>
      <c r="I48" s="70">
        <f>IF(H48&gt;=($H$6*0.7),1,0)</f>
        <v/>
      </c>
      <c r="J48" s="70">
        <f>IF(H48&gt;=($H$6*0.7),1,0)</f>
        <v/>
      </c>
      <c r="K48" s="70">
        <f>IF(H48&gt;=($H$6*0.9),1,0)</f>
        <v/>
      </c>
      <c r="L48" s="80" t="n">
        <v>13</v>
      </c>
      <c r="M48" s="70">
        <f>IF(L48&gt;=($L$6*0.7),1,0)</f>
        <v/>
      </c>
      <c r="N48" s="70">
        <f>IF(L48&gt;=($L$6*0.8),1,0)</f>
        <v/>
      </c>
      <c r="O48" s="70">
        <f>IF(L48&gt;=($L$6*0.9),1,0)</f>
        <v/>
      </c>
      <c r="P48" s="70" t="n"/>
      <c r="Q48" s="70" t="n"/>
      <c r="R48" t="n">
        <v>56</v>
      </c>
      <c r="S48" s="48" t="n"/>
      <c r="T48" s="48" t="n"/>
      <c r="U48" s="48" t="n"/>
      <c r="V48" s="48" t="n"/>
      <c r="W48" s="44" t="n"/>
      <c r="X48" s="44" t="n"/>
      <c r="Y48" s="48" t="n"/>
      <c r="Z48" s="46" t="n"/>
      <c r="AA48" s="46" t="n"/>
      <c r="AB48" s="46" t="n"/>
      <c r="AC48" s="46" t="n"/>
    </row>
    <row r="49" ht="19.5" customHeight="1" s="98">
      <c r="A49" s="69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80" t="n">
        <v>21</v>
      </c>
      <c r="E49" s="70">
        <f>IF(D49&gt;=($D$6*0.7),1,0)</f>
        <v/>
      </c>
      <c r="F49" s="70">
        <f>IF(D49&gt;=($D$6*0.8),1,0)</f>
        <v/>
      </c>
      <c r="G49" s="70">
        <f>IF(D49&gt;=($D$6*0.9),1,0)</f>
        <v/>
      </c>
      <c r="H49" s="80" t="n">
        <v>19</v>
      </c>
      <c r="I49" s="70">
        <f>IF(H49&gt;=($H$6*0.7),1,0)</f>
        <v/>
      </c>
      <c r="J49" s="70">
        <f>IF(H49&gt;=($H$6*0.7),1,0)</f>
        <v/>
      </c>
      <c r="K49" s="70">
        <f>IF(H49&gt;=($H$6*0.9),1,0)</f>
        <v/>
      </c>
      <c r="L49" s="80" t="n">
        <v>11</v>
      </c>
      <c r="M49" s="70">
        <f>IF(L49&gt;=($L$6*0.7),1,0)</f>
        <v/>
      </c>
      <c r="N49" s="70">
        <f>IF(L49&gt;=($L$6*0.8),1,0)</f>
        <v/>
      </c>
      <c r="O49" s="70">
        <f>IF(L49&gt;=($L$6*0.9),1,0)</f>
        <v/>
      </c>
      <c r="P49" s="70" t="n"/>
      <c r="Q49" s="70" t="n"/>
      <c r="R49" s="80" t="n">
        <v>51</v>
      </c>
      <c r="S49" s="48" t="n"/>
      <c r="T49" s="48" t="n"/>
      <c r="U49" s="48" t="n"/>
      <c r="V49" s="48" t="n"/>
      <c r="W49" s="44" t="n"/>
      <c r="X49" s="44" t="n"/>
      <c r="Y49" s="48" t="n"/>
      <c r="Z49" s="46" t="n"/>
      <c r="AA49" s="46" t="n"/>
      <c r="AB49" s="46" t="n"/>
      <c r="AC49" s="46" t="n"/>
    </row>
    <row r="50" ht="19.5" customHeight="1" s="98">
      <c r="A50" s="69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80" t="n">
        <v>21</v>
      </c>
      <c r="E50" s="70">
        <f>IF(D50&gt;=($D$6*0.7),1,0)</f>
        <v/>
      </c>
      <c r="F50" s="70">
        <f>IF(D50&gt;=($D$6*0.8),1,0)</f>
        <v/>
      </c>
      <c r="G50" s="70">
        <f>IF(D50&gt;=($D$6*0.9),1,0)</f>
        <v/>
      </c>
      <c r="H50" s="80" t="n">
        <v>21</v>
      </c>
      <c r="I50" s="70">
        <f>IF(H50&gt;=($H$6*0.7),1,0)</f>
        <v/>
      </c>
      <c r="J50" s="70">
        <f>IF(H50&gt;=($H$6*0.7),1,0)</f>
        <v/>
      </c>
      <c r="K50" s="70">
        <f>IF(H50&gt;=($H$6*0.9),1,0)</f>
        <v/>
      </c>
      <c r="L50" s="80" t="n">
        <v>13</v>
      </c>
      <c r="M50" s="70">
        <f>IF(L50&gt;=($L$6*0.7),1,0)</f>
        <v/>
      </c>
      <c r="N50" s="70">
        <f>IF(L50&gt;=($L$6*0.8),1,0)</f>
        <v/>
      </c>
      <c r="O50" s="70">
        <f>IF(L50&gt;=($L$6*0.9),1,0)</f>
        <v/>
      </c>
      <c r="P50" s="70" t="n"/>
      <c r="Q50" s="70" t="n"/>
      <c r="R50" t="n">
        <v>55</v>
      </c>
      <c r="S50" s="48" t="n"/>
      <c r="T50" s="48" t="n"/>
      <c r="U50" s="48" t="n"/>
      <c r="V50" s="48" t="n"/>
      <c r="W50" s="44" t="n"/>
      <c r="X50" s="44" t="n"/>
      <c r="Y50" s="48" t="n"/>
      <c r="Z50" s="46" t="n"/>
      <c r="AA50" s="46" t="n"/>
      <c r="AB50" s="46" t="n"/>
      <c r="AC50" s="46" t="n"/>
    </row>
    <row r="51" ht="19.5" customHeight="1" s="98">
      <c r="A51" s="69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80" t="n">
        <v>26</v>
      </c>
      <c r="E51" s="70">
        <f>IF(D51&gt;=($D$6*0.7),1,0)</f>
        <v/>
      </c>
      <c r="F51" s="70">
        <f>IF(D51&gt;=($D$6*0.8),1,0)</f>
        <v/>
      </c>
      <c r="G51" s="70">
        <f>IF(D51&gt;=($D$6*0.9),1,0)</f>
        <v/>
      </c>
      <c r="H51" s="80" t="n">
        <v>23</v>
      </c>
      <c r="I51" s="70">
        <f>IF(H51&gt;=($H$6*0.7),1,0)</f>
        <v/>
      </c>
      <c r="J51" s="70">
        <f>IF(H51&gt;=($H$6*0.7),1,0)</f>
        <v/>
      </c>
      <c r="K51" s="70">
        <f>IF(H51&gt;=($H$6*0.9),1,0)</f>
        <v/>
      </c>
      <c r="L51" s="80" t="n">
        <v>13</v>
      </c>
      <c r="M51" s="70">
        <f>IF(L51&gt;=($L$6*0.7),1,0)</f>
        <v/>
      </c>
      <c r="N51" s="70">
        <f>IF(L51&gt;=($L$6*0.8),1,0)</f>
        <v/>
      </c>
      <c r="O51" s="70">
        <f>IF(L51&gt;=($L$6*0.9),1,0)</f>
        <v/>
      </c>
      <c r="P51" s="70" t="n"/>
      <c r="Q51" s="70" t="n"/>
      <c r="R51" s="80" t="n">
        <v>62</v>
      </c>
      <c r="S51" s="48" t="n"/>
      <c r="T51" s="48" t="n"/>
      <c r="U51" s="48" t="n"/>
      <c r="V51" s="48" t="n"/>
      <c r="W51" s="44" t="n"/>
      <c r="X51" s="44" t="n"/>
      <c r="Y51" s="48" t="n"/>
      <c r="Z51" s="46" t="n"/>
      <c r="AA51" s="46" t="n"/>
      <c r="AB51" s="46" t="n"/>
      <c r="AC51" s="46" t="n"/>
    </row>
    <row r="52" ht="19.5" customHeight="1" s="98">
      <c r="A52" s="69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80" t="n">
        <v>21</v>
      </c>
      <c r="E52" s="70">
        <f>IF(D52&gt;=($D$6*0.7),1,0)</f>
        <v/>
      </c>
      <c r="F52" s="70">
        <f>IF(D52&gt;=($D$6*0.8),1,0)</f>
        <v/>
      </c>
      <c r="G52" s="70">
        <f>IF(D52&gt;=($D$6*0.9),1,0)</f>
        <v/>
      </c>
      <c r="H52" s="80" t="n">
        <v>22</v>
      </c>
      <c r="I52" s="70">
        <f>IF(H52&gt;=($H$6*0.7),1,0)</f>
        <v/>
      </c>
      <c r="J52" s="70">
        <f>IF(H52&gt;=($H$6*0.7),1,0)</f>
        <v/>
      </c>
      <c r="K52" s="70">
        <f>IF(H52&gt;=($H$6*0.9),1,0)</f>
        <v/>
      </c>
      <c r="L52" s="80" t="n">
        <v>13</v>
      </c>
      <c r="M52" s="70">
        <f>IF(L52&gt;=($L$6*0.7),1,0)</f>
        <v/>
      </c>
      <c r="N52" s="70">
        <f>IF(L52&gt;=($L$6*0.8),1,0)</f>
        <v/>
      </c>
      <c r="O52" s="70">
        <f>IF(L52&gt;=($L$6*0.9),1,0)</f>
        <v/>
      </c>
      <c r="P52" s="70" t="n"/>
      <c r="Q52" s="70" t="n"/>
      <c r="R52" t="n">
        <v>56</v>
      </c>
      <c r="S52" s="48" t="n"/>
      <c r="T52" s="48" t="n"/>
      <c r="U52" s="48" t="n"/>
      <c r="V52" s="48" t="n"/>
      <c r="W52" s="44" t="n"/>
      <c r="X52" s="44" t="n"/>
      <c r="Y52" s="48" t="n"/>
      <c r="Z52" s="46" t="n"/>
      <c r="AA52" s="46" t="n"/>
      <c r="AB52" s="46" t="n"/>
      <c r="AC52" s="46" t="n"/>
    </row>
    <row r="53" ht="19.5" customHeight="1" s="98">
      <c r="A53" s="69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80" t="n">
        <v>24</v>
      </c>
      <c r="E53" s="70">
        <f>IF(D53&gt;=($D$6*0.7),1,0)</f>
        <v/>
      </c>
      <c r="F53" s="70">
        <f>IF(D53&gt;=($D$6*0.8),1,0)</f>
        <v/>
      </c>
      <c r="G53" s="70">
        <f>IF(D53&gt;=($D$6*0.9),1,0)</f>
        <v/>
      </c>
      <c r="H53" s="80" t="n">
        <v>27</v>
      </c>
      <c r="I53" s="70">
        <f>IF(H53&gt;=($H$6*0.7),1,0)</f>
        <v/>
      </c>
      <c r="J53" s="70">
        <f>IF(H53&gt;=($H$6*0.7),1,0)</f>
        <v/>
      </c>
      <c r="K53" s="70">
        <f>IF(H53&gt;=($H$6*0.9),1,0)</f>
        <v/>
      </c>
      <c r="L53" s="80" t="n">
        <v>14</v>
      </c>
      <c r="M53" s="70">
        <f>IF(L53&gt;=($L$6*0.7),1,0)</f>
        <v/>
      </c>
      <c r="N53" s="70">
        <f>IF(L53&gt;=($L$6*0.8),1,0)</f>
        <v/>
      </c>
      <c r="O53" s="70">
        <f>IF(L53&gt;=($L$6*0.9),1,0)</f>
        <v/>
      </c>
      <c r="P53" s="70" t="n"/>
      <c r="Q53" s="70" t="n"/>
      <c r="R53" t="n">
        <v>65</v>
      </c>
      <c r="S53" s="48" t="n"/>
      <c r="T53" s="48" t="n"/>
      <c r="U53" s="48" t="n"/>
      <c r="V53" s="48" t="n"/>
      <c r="W53" s="44" t="n"/>
      <c r="X53" s="44" t="n"/>
      <c r="Y53" s="48" t="n"/>
      <c r="Z53" s="46" t="n"/>
      <c r="AA53" s="46" t="n"/>
      <c r="AB53" s="46" t="n"/>
      <c r="AC53" s="46" t="n"/>
    </row>
    <row r="54" ht="19.5" customHeight="1" s="98">
      <c r="A54" s="69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t="n">
        <v>22</v>
      </c>
      <c r="E54" s="70">
        <f>IF(D54&gt;=($D$6*0.7),1,0)</f>
        <v/>
      </c>
      <c r="F54" s="70">
        <f>IF(D54&gt;=($D$6*0.8),1,0)</f>
        <v/>
      </c>
      <c r="G54" s="70">
        <f>IF(D54&gt;=($D$6*0.9),1,0)</f>
        <v/>
      </c>
      <c r="H54" t="n">
        <v>21</v>
      </c>
      <c r="I54" s="70">
        <f>IF(H54&gt;=($H$6*0.7),1,0)</f>
        <v/>
      </c>
      <c r="J54" s="70">
        <f>IF(H54&gt;=($H$6*0.7),1,0)</f>
        <v/>
      </c>
      <c r="K54" s="70">
        <f>IF(H54&gt;=($H$6*0.9),1,0)</f>
        <v/>
      </c>
      <c r="L54" t="n">
        <v>13</v>
      </c>
      <c r="M54" s="70">
        <f>IF(L54&gt;=($L$6*0.7),1,0)</f>
        <v/>
      </c>
      <c r="N54" s="70">
        <f>IF(L54&gt;=($L$6*0.8),1,0)</f>
        <v/>
      </c>
      <c r="O54" s="70">
        <f>IF(L54&gt;=($L$6*0.9),1,0)</f>
        <v/>
      </c>
      <c r="P54" s="70" t="n"/>
      <c r="Q54" s="70" t="n"/>
      <c r="R54" s="80" t="n">
        <v>56</v>
      </c>
      <c r="S54" s="48" t="n"/>
      <c r="T54" s="48" t="n"/>
      <c r="U54" s="48" t="n"/>
      <c r="V54" s="48" t="n"/>
      <c r="W54" s="44" t="n"/>
      <c r="X54" s="44" t="n"/>
      <c r="Y54" s="48" t="n"/>
      <c r="Z54" s="46" t="n"/>
      <c r="AA54" s="46" t="n"/>
      <c r="AB54" s="46" t="n"/>
      <c r="AC54" s="46" t="n"/>
    </row>
    <row r="55" ht="19.5" customHeight="1" s="98">
      <c r="A55" s="69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t="n">
        <v>18</v>
      </c>
      <c r="E55" s="70">
        <f>IF(D55&gt;=($D$6*0.7),1,0)</f>
        <v/>
      </c>
      <c r="F55" s="70">
        <f>IF(D55&gt;=($D$6*0.8),1,0)</f>
        <v/>
      </c>
      <c r="G55" s="70">
        <f>IF(D55&gt;=($D$6*0.9),1,0)</f>
        <v/>
      </c>
      <c r="H55" t="n">
        <v>15</v>
      </c>
      <c r="I55" s="70">
        <f>IF(H55&gt;=($H$6*0.7),1,0)</f>
        <v/>
      </c>
      <c r="J55" s="70">
        <f>IF(H55&gt;=($H$6*0.7),1,0)</f>
        <v/>
      </c>
      <c r="K55" s="70">
        <f>IF(H55&gt;=($H$6*0.9),1,0)</f>
        <v/>
      </c>
      <c r="L55" t="n">
        <v>9</v>
      </c>
      <c r="M55" s="70">
        <f>IF(L55&gt;=($L$6*0.7),1,0)</f>
        <v/>
      </c>
      <c r="N55" s="70">
        <f>IF(L55&gt;=($L$6*0.8),1,0)</f>
        <v/>
      </c>
      <c r="O55" s="70">
        <f>IF(L55&gt;=($L$6*0.9),1,0)</f>
        <v/>
      </c>
      <c r="P55" s="70" t="n"/>
      <c r="Q55" s="70" t="n"/>
      <c r="R55" s="80" t="n">
        <v>42</v>
      </c>
      <c r="S55" s="48" t="n"/>
      <c r="T55" s="48" t="n"/>
      <c r="U55" s="48" t="n"/>
      <c r="V55" s="48" t="n"/>
      <c r="W55" s="44" t="n"/>
      <c r="X55" s="44" t="n"/>
      <c r="Y55" s="48" t="n"/>
      <c r="Z55" s="46" t="n"/>
      <c r="AA55" s="46" t="n"/>
      <c r="AB55" s="46" t="n"/>
      <c r="AC55" s="46" t="n"/>
    </row>
    <row r="56" ht="19.5" customHeight="1" s="98">
      <c r="A56" s="69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80" t="n">
        <v>26</v>
      </c>
      <c r="E56" s="70">
        <f>IF(D56&gt;=($D$6*0.7),1,0)</f>
        <v/>
      </c>
      <c r="F56" s="70">
        <f>IF(D56&gt;=($D$6*0.8),1,0)</f>
        <v/>
      </c>
      <c r="G56" s="70">
        <f>IF(D56&gt;=($D$6*0.9),1,0)</f>
        <v/>
      </c>
      <c r="H56" s="80" t="n">
        <v>23</v>
      </c>
      <c r="I56" s="70">
        <f>IF(H56&gt;=($H$6*0.7),1,0)</f>
        <v/>
      </c>
      <c r="J56" s="70">
        <f>IF(H56&gt;=($H$6*0.7),1,0)</f>
        <v/>
      </c>
      <c r="K56" s="70">
        <f>IF(H56&gt;=($H$6*0.9),1,0)</f>
        <v/>
      </c>
      <c r="L56" s="80" t="n">
        <v>13</v>
      </c>
      <c r="M56" s="70">
        <f>IF(L56&gt;=($L$6*0.7),1,0)</f>
        <v/>
      </c>
      <c r="N56" s="70">
        <f>IF(L56&gt;=($L$6*0.8),1,0)</f>
        <v/>
      </c>
      <c r="O56" s="70">
        <f>IF(L56&gt;=($L$6*0.9),1,0)</f>
        <v/>
      </c>
      <c r="P56" s="70" t="n"/>
      <c r="Q56" s="70" t="n"/>
      <c r="R56" s="80" t="n">
        <v>62</v>
      </c>
      <c r="S56" s="48" t="n"/>
      <c r="T56" s="48" t="n"/>
      <c r="U56" s="48" t="n"/>
      <c r="V56" s="48" t="n"/>
      <c r="W56" s="44" t="n"/>
      <c r="X56" s="44" t="n"/>
      <c r="Y56" s="48" t="n"/>
      <c r="Z56" s="46" t="n"/>
      <c r="AA56" s="46" t="n"/>
      <c r="AB56" s="46" t="n"/>
      <c r="AC56" s="46" t="n"/>
    </row>
    <row r="57" ht="19.5" customHeight="1" s="98">
      <c r="A57" s="69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80" t="n">
        <v>26</v>
      </c>
      <c r="E57" s="70">
        <f>IF(D57&gt;=($D$6*0.7),1,0)</f>
        <v/>
      </c>
      <c r="F57" s="70">
        <f>IF(D57&gt;=($D$6*0.8),1,0)</f>
        <v/>
      </c>
      <c r="G57" s="70">
        <f>IF(D57&gt;=($D$6*0.9),1,0)</f>
        <v/>
      </c>
      <c r="H57" s="80" t="n">
        <v>26</v>
      </c>
      <c r="I57" s="70">
        <f>IF(H57&gt;=($H$6*0.7),1,0)</f>
        <v/>
      </c>
      <c r="J57" s="70">
        <f>IF(H57&gt;=($H$6*0.7),1,0)</f>
        <v/>
      </c>
      <c r="K57" s="70">
        <f>IF(H57&gt;=($H$6*0.9),1,0)</f>
        <v/>
      </c>
      <c r="L57" s="80" t="n">
        <v>14</v>
      </c>
      <c r="M57" s="70">
        <f>IF(L57&gt;=($L$6*0.7),1,0)</f>
        <v/>
      </c>
      <c r="N57" s="70">
        <f>IF(L57&gt;=($L$6*0.8),1,0)</f>
        <v/>
      </c>
      <c r="O57" s="70">
        <f>IF(L57&gt;=($L$6*0.9),1,0)</f>
        <v/>
      </c>
      <c r="P57" s="70" t="n"/>
      <c r="Q57" s="70" t="n"/>
      <c r="R57" s="80" t="n">
        <v>66</v>
      </c>
      <c r="S57" s="48" t="n"/>
      <c r="T57" s="48" t="n"/>
      <c r="U57" s="48" t="n"/>
      <c r="V57" s="48" t="n"/>
      <c r="W57" s="44" t="n"/>
      <c r="X57" s="44" t="n"/>
      <c r="Y57" s="48" t="n"/>
      <c r="Z57" s="46" t="n"/>
      <c r="AA57" s="46" t="n"/>
      <c r="AB57" s="46" t="n"/>
      <c r="AC57" s="46" t="n"/>
    </row>
    <row r="58" ht="19.5" customHeight="1" s="98">
      <c r="A58" s="69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80" t="n">
        <v>20</v>
      </c>
      <c r="E58" s="70">
        <f>IF(D58&gt;=($D$6*0.7),1,0)</f>
        <v/>
      </c>
      <c r="F58" s="70">
        <f>IF(D58&gt;=($D$6*0.8),1,0)</f>
        <v/>
      </c>
      <c r="G58" s="70">
        <f>IF(D58&gt;=($D$6*0.9),1,0)</f>
        <v/>
      </c>
      <c r="H58" s="80" t="n">
        <v>23</v>
      </c>
      <c r="I58" s="70">
        <f>IF(H58&gt;=($H$6*0.7),1,0)</f>
        <v/>
      </c>
      <c r="J58" s="70">
        <f>IF(H58&gt;=($H$6*0.7),1,0)</f>
        <v/>
      </c>
      <c r="K58" s="70">
        <f>IF(H58&gt;=($H$6*0.9),1,0)</f>
        <v/>
      </c>
      <c r="L58" s="80" t="n">
        <v>13</v>
      </c>
      <c r="M58" s="70">
        <f>IF(L58&gt;=($L$6*0.7),1,0)</f>
        <v/>
      </c>
      <c r="N58" s="70">
        <f>IF(L58&gt;=($L$6*0.8),1,0)</f>
        <v/>
      </c>
      <c r="O58" s="70">
        <f>IF(L58&gt;=($L$6*0.9),1,0)</f>
        <v/>
      </c>
      <c r="P58" s="70" t="n"/>
      <c r="Q58" s="70" t="n"/>
      <c r="R58" t="n">
        <v>56</v>
      </c>
      <c r="S58" s="48" t="n"/>
      <c r="T58" s="48" t="n"/>
      <c r="U58" s="48" t="n"/>
      <c r="V58" s="48" t="n"/>
      <c r="W58" s="44" t="n"/>
      <c r="X58" s="44" t="n"/>
      <c r="Y58" s="48" t="n"/>
      <c r="Z58" s="46" t="n"/>
      <c r="AA58" s="46" t="n"/>
      <c r="AB58" s="46" t="n"/>
      <c r="AC58" s="46" t="n"/>
    </row>
    <row r="59" ht="19.5" customHeight="1" s="98">
      <c r="A59" s="69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80" t="n">
        <v>23</v>
      </c>
      <c r="E59" s="70">
        <f>IF(D59&gt;=($D$6*0.7),1,0)</f>
        <v/>
      </c>
      <c r="F59" s="70">
        <f>IF(D59&gt;=($D$6*0.8),1,0)</f>
        <v/>
      </c>
      <c r="G59" s="70">
        <f>IF(D59&gt;=($D$6*0.9),1,0)</f>
        <v/>
      </c>
      <c r="H59" s="80" t="n">
        <v>22</v>
      </c>
      <c r="I59" s="70">
        <f>IF(H59&gt;=($H$6*0.7),1,0)</f>
        <v/>
      </c>
      <c r="J59" s="70">
        <f>IF(H59&gt;=($H$6*0.7),1,0)</f>
        <v/>
      </c>
      <c r="K59" s="70">
        <f>IF(H59&gt;=($H$6*0.9),1,0)</f>
        <v/>
      </c>
      <c r="L59" s="80" t="n">
        <v>13</v>
      </c>
      <c r="M59" s="70">
        <f>IF(L59&gt;=($L$6*0.7),1,0)</f>
        <v/>
      </c>
      <c r="N59" s="70">
        <f>IF(L59&gt;=($L$6*0.8),1,0)</f>
        <v/>
      </c>
      <c r="O59" s="70">
        <f>IF(L59&gt;=($L$6*0.9),1,0)</f>
        <v/>
      </c>
      <c r="P59" s="70" t="n"/>
      <c r="Q59" s="70" t="n"/>
      <c r="R59" s="80" t="n">
        <v>58</v>
      </c>
      <c r="S59" s="48" t="n"/>
      <c r="T59" s="48" t="n"/>
      <c r="U59" s="48" t="n"/>
      <c r="V59" s="48" t="n"/>
      <c r="W59" s="44" t="n"/>
      <c r="X59" s="44" t="n"/>
      <c r="Y59" s="48" t="n"/>
      <c r="Z59" s="46" t="n"/>
      <c r="AA59" s="46" t="n"/>
      <c r="AB59" s="46" t="n"/>
      <c r="AC59" s="46" t="n"/>
    </row>
    <row r="60" ht="19.5" customHeight="1" s="98">
      <c r="A60" s="69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80" t="n">
        <v>24</v>
      </c>
      <c r="E60" s="70">
        <f>IF(D60&gt;=($D$6*0.7),1,0)</f>
        <v/>
      </c>
      <c r="F60" s="70">
        <f>IF(D60&gt;=($D$6*0.8),1,0)</f>
        <v/>
      </c>
      <c r="G60" s="70">
        <f>IF(D60&gt;=($D$6*0.9),1,0)</f>
        <v/>
      </c>
      <c r="H60" s="80" t="n">
        <v>21</v>
      </c>
      <c r="I60" s="70">
        <f>IF(H60&gt;=($H$6*0.7),1,0)</f>
        <v/>
      </c>
      <c r="J60" s="70">
        <f>IF(H60&gt;=($H$6*0.7),1,0)</f>
        <v/>
      </c>
      <c r="K60" s="70">
        <f>IF(H60&gt;=($H$6*0.9),1,0)</f>
        <v/>
      </c>
      <c r="L60" s="80" t="n">
        <v>13</v>
      </c>
      <c r="M60" s="70">
        <f>IF(L60&gt;=($L$6*0.7),1,0)</f>
        <v/>
      </c>
      <c r="N60" s="70">
        <f>IF(L60&gt;=($L$6*0.8),1,0)</f>
        <v/>
      </c>
      <c r="O60" s="70">
        <f>IF(L60&gt;=($L$6*0.9),1,0)</f>
        <v/>
      </c>
      <c r="P60" s="70" t="n"/>
      <c r="Q60" s="70" t="n"/>
      <c r="R60" s="80" t="n">
        <v>58</v>
      </c>
      <c r="S60" s="48" t="n"/>
      <c r="T60" s="48" t="n"/>
      <c r="U60" s="48" t="n"/>
      <c r="V60" s="48" t="n"/>
      <c r="W60" s="44" t="n"/>
      <c r="X60" s="44" t="n"/>
      <c r="Y60" s="48" t="n"/>
      <c r="Z60" s="46" t="n"/>
      <c r="AA60" s="46" t="n"/>
      <c r="AB60" s="46" t="n"/>
      <c r="AC60" s="46" t="n"/>
    </row>
    <row r="61" ht="19.5" customHeight="1" s="98">
      <c r="A61" s="69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80" t="n">
        <v>23</v>
      </c>
      <c r="E61" s="70">
        <f>IF(D61&gt;=($D$6*0.7),1,0)</f>
        <v/>
      </c>
      <c r="F61" s="70">
        <f>IF(D61&gt;=($D$6*0.8),1,0)</f>
        <v/>
      </c>
      <c r="G61" s="70">
        <f>IF(D61&gt;=($D$6*0.9),1,0)</f>
        <v/>
      </c>
      <c r="H61" s="80" t="n">
        <v>20</v>
      </c>
      <c r="I61" s="70">
        <f>IF(H61&gt;=($H$6*0.7),1,0)</f>
        <v/>
      </c>
      <c r="J61" s="70">
        <f>IF(H61&gt;=($H$6*0.7),1,0)</f>
        <v/>
      </c>
      <c r="K61" s="70">
        <f>IF(H61&gt;=($H$6*0.9),1,0)</f>
        <v/>
      </c>
      <c r="L61" s="80" t="n">
        <v>13</v>
      </c>
      <c r="M61" s="70">
        <f>IF(L61&gt;=($L$6*0.7),1,0)</f>
        <v/>
      </c>
      <c r="N61" s="70">
        <f>IF(L61&gt;=($L$6*0.8),1,0)</f>
        <v/>
      </c>
      <c r="O61" s="70">
        <f>IF(L61&gt;=($L$6*0.9),1,0)</f>
        <v/>
      </c>
      <c r="P61" s="63" t="n"/>
      <c r="Q61" s="63" t="n"/>
      <c r="R61" t="n">
        <v>56</v>
      </c>
      <c r="S61" s="48" t="n"/>
      <c r="T61" s="48" t="n"/>
      <c r="U61" s="48" t="n"/>
      <c r="V61" s="48" t="n"/>
      <c r="W61" s="44" t="n"/>
      <c r="X61" s="44" t="n"/>
      <c r="Y61" s="48" t="n"/>
      <c r="Z61" s="46" t="n"/>
      <c r="AA61" s="46" t="n"/>
      <c r="AB61" s="46" t="n"/>
      <c r="AC61" s="46" t="n"/>
    </row>
    <row r="62" ht="19.5" customHeight="1" s="98">
      <c r="A62" s="69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80" t="n">
        <v>21</v>
      </c>
      <c r="E62" s="70">
        <f>IF(D62&gt;=($D$6*0.7),1,0)</f>
        <v/>
      </c>
      <c r="F62" s="70">
        <f>IF(D62&gt;=($D$6*0.8),1,0)</f>
        <v/>
      </c>
      <c r="G62" s="70">
        <f>IF(D62&gt;=($D$6*0.9),1,0)</f>
        <v/>
      </c>
      <c r="H62" s="80" t="n">
        <v>21</v>
      </c>
      <c r="I62" s="70">
        <f>IF(H62&gt;=($H$6*0.7),1,0)</f>
        <v/>
      </c>
      <c r="J62" s="70">
        <f>IF(H62&gt;=($H$6*0.7),1,0)</f>
        <v/>
      </c>
      <c r="K62" s="70">
        <f>IF(H62&gt;=($H$6*0.9),1,0)</f>
        <v/>
      </c>
      <c r="L62" s="80" t="n">
        <v>11</v>
      </c>
      <c r="M62" s="70">
        <f>IF(L62&gt;=($L$6*0.7),1,0)</f>
        <v/>
      </c>
      <c r="N62" s="70">
        <f>IF(L62&gt;=($L$6*0.8),1,0)</f>
        <v/>
      </c>
      <c r="O62" s="70">
        <f>IF(L62&gt;=($L$6*0.9),1,0)</f>
        <v/>
      </c>
      <c r="P62" s="70" t="n"/>
      <c r="Q62" s="70" t="n"/>
      <c r="R62" s="80" t="n">
        <v>53</v>
      </c>
      <c r="S62" s="48" t="n"/>
      <c r="T62" s="48" t="n"/>
      <c r="U62" s="48" t="n"/>
      <c r="V62" s="48" t="n"/>
      <c r="W62" s="44" t="n"/>
      <c r="X62" s="44" t="n"/>
      <c r="Y62" s="48" t="n"/>
      <c r="Z62" s="46" t="n"/>
      <c r="AA62" s="46" t="n"/>
      <c r="AB62" s="46" t="n"/>
      <c r="AC62" s="46" t="n"/>
    </row>
    <row r="63" ht="19.5" customHeight="1" s="98">
      <c r="A63" s="69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80" t="n">
        <v>22</v>
      </c>
      <c r="E63" s="70">
        <f>IF(D63&gt;=($D$6*0.7),1,0)</f>
        <v/>
      </c>
      <c r="F63" s="70">
        <f>IF(D63&gt;=($D$6*0.8),1,0)</f>
        <v/>
      </c>
      <c r="G63" s="70">
        <f>IF(D63&gt;=($D$6*0.9),1,0)</f>
        <v/>
      </c>
      <c r="H63" s="80" t="n">
        <v>24</v>
      </c>
      <c r="I63" s="70">
        <f>IF(H63&gt;=($H$6*0.7),1,0)</f>
        <v/>
      </c>
      <c r="J63" s="70">
        <f>IF(H63&gt;=($H$6*0.7),1,0)</f>
        <v/>
      </c>
      <c r="K63" s="70">
        <f>IF(H63&gt;=($H$6*0.9),1,0)</f>
        <v/>
      </c>
      <c r="L63" s="80" t="n">
        <v>13</v>
      </c>
      <c r="M63" s="70">
        <f>IF(L63&gt;=($L$6*0.7),1,0)</f>
        <v/>
      </c>
      <c r="N63" s="70">
        <f>IF(L63&gt;=($L$6*0.8),1,0)</f>
        <v/>
      </c>
      <c r="O63" s="70">
        <f>IF(L63&gt;=($L$6*0.9),1,0)</f>
        <v/>
      </c>
      <c r="P63" s="70" t="n"/>
      <c r="Q63" s="70" t="n"/>
      <c r="R63" s="80" t="n">
        <v>59</v>
      </c>
      <c r="S63" s="48" t="n"/>
      <c r="T63" s="48" t="n"/>
      <c r="U63" s="48" t="n"/>
      <c r="V63" s="48" t="n"/>
      <c r="W63" s="44" t="n"/>
      <c r="X63" s="44" t="n"/>
      <c r="Y63" s="48" t="n"/>
      <c r="Z63" s="46" t="n"/>
      <c r="AA63" s="46" t="n"/>
      <c r="AB63" s="46" t="n"/>
      <c r="AC63" s="46" t="n"/>
    </row>
    <row r="64" ht="19.5" customHeight="1" s="98">
      <c r="A64" s="69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80" t="n">
        <v>22</v>
      </c>
      <c r="E64" s="70">
        <f>IF(D64&gt;=($D$6*0.7),1,0)</f>
        <v/>
      </c>
      <c r="F64" s="70">
        <f>IF(D64&gt;=($D$6*0.8),1,0)</f>
        <v/>
      </c>
      <c r="G64" s="70">
        <f>IF(D64&gt;=($D$6*0.9),1,0)</f>
        <v/>
      </c>
      <c r="H64" s="80" t="n">
        <v>21</v>
      </c>
      <c r="I64" s="70">
        <f>IF(H64&gt;=($H$6*0.7),1,0)</f>
        <v/>
      </c>
      <c r="J64" s="70">
        <f>IF(H64&gt;=($H$6*0.7),1,0)</f>
        <v/>
      </c>
      <c r="K64" s="70">
        <f>IF(H64&gt;=($H$6*0.9),1,0)</f>
        <v/>
      </c>
      <c r="L64" s="80" t="n">
        <v>11</v>
      </c>
      <c r="M64" s="70">
        <f>IF(L64&gt;=($L$6*0.7),1,0)</f>
        <v/>
      </c>
      <c r="N64" s="70">
        <f>IF(L64&gt;=($L$6*0.8),1,0)</f>
        <v/>
      </c>
      <c r="O64" s="70">
        <f>IF(L64&gt;=($L$6*0.9),1,0)</f>
        <v/>
      </c>
      <c r="P64" s="70" t="n"/>
      <c r="Q64" s="70" t="n"/>
      <c r="R64" s="80" t="n">
        <v>54</v>
      </c>
      <c r="S64" s="48" t="n"/>
      <c r="T64" s="48" t="n"/>
      <c r="U64" s="48" t="n"/>
      <c r="V64" s="48" t="n"/>
      <c r="W64" s="44" t="n"/>
      <c r="X64" s="44" t="n"/>
      <c r="Y64" s="48" t="n"/>
      <c r="Z64" s="46" t="n"/>
      <c r="AA64" s="46" t="n"/>
      <c r="AB64" s="46" t="n"/>
      <c r="AC64" s="46" t="n"/>
    </row>
    <row r="65" ht="19.5" customHeight="1" s="98">
      <c r="A65" s="69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80" t="n">
        <v>27</v>
      </c>
      <c r="E65" s="70">
        <f>IF(D65&gt;=($D$6*0.7),1,0)</f>
        <v/>
      </c>
      <c r="F65" s="70">
        <f>IF(D65&gt;=($D$6*0.8),1,0)</f>
        <v/>
      </c>
      <c r="G65" s="70">
        <f>IF(D65&gt;=($D$6*0.9),1,0)</f>
        <v/>
      </c>
      <c r="H65" s="80" t="n">
        <v>24</v>
      </c>
      <c r="I65" s="70">
        <f>IF(H65&gt;=($H$6*0.7),1,0)</f>
        <v/>
      </c>
      <c r="J65" s="70">
        <f>IF(H65&gt;=($H$6*0.7),1,0)</f>
        <v/>
      </c>
      <c r="K65" s="70">
        <f>IF(H65&gt;=($H$6*0.9),1,0)</f>
        <v/>
      </c>
      <c r="L65" s="80" t="n">
        <v>14</v>
      </c>
      <c r="M65" s="70">
        <f>IF(L65&gt;=($L$6*0.7),1,0)</f>
        <v/>
      </c>
      <c r="N65" s="70">
        <f>IF(L65&gt;=($L$6*0.8),1,0)</f>
        <v/>
      </c>
      <c r="O65" s="70">
        <f>IF(L65&gt;=($L$6*0.9),1,0)</f>
        <v/>
      </c>
      <c r="P65" s="70" t="n"/>
      <c r="Q65" s="70" t="n"/>
      <c r="R65" t="n">
        <v>65</v>
      </c>
      <c r="S65" s="48" t="n"/>
      <c r="T65" s="48" t="n"/>
      <c r="U65" s="48" t="n"/>
      <c r="V65" s="48" t="n"/>
      <c r="W65" s="44" t="n"/>
      <c r="X65" s="44" t="n"/>
      <c r="Y65" s="48" t="n"/>
      <c r="Z65" s="46" t="n"/>
      <c r="AA65" s="46" t="n"/>
      <c r="AB65" s="46" t="n"/>
      <c r="AC65" s="46" t="n"/>
    </row>
    <row r="66" ht="19.5" customHeight="1" s="98">
      <c r="A66" s="69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t="n">
        <v>24</v>
      </c>
      <c r="E66" s="70">
        <f>IF(D66&gt;=($D$6*0.7),1,0)</f>
        <v/>
      </c>
      <c r="F66" s="70">
        <f>IF(D66&gt;=($D$6*0.8),1,0)</f>
        <v/>
      </c>
      <c r="G66" s="70">
        <f>IF(D66&gt;=($D$6*0.9),1,0)</f>
        <v/>
      </c>
      <c r="H66" t="n">
        <v>24</v>
      </c>
      <c r="I66" s="70">
        <f>IF(H66&gt;=($H$6*0.7),1,0)</f>
        <v/>
      </c>
      <c r="J66" s="70">
        <f>IF(H66&gt;=($H$6*0.7),1,0)</f>
        <v/>
      </c>
      <c r="K66" s="70">
        <f>IF(H66&gt;=($H$6*0.9),1,0)</f>
        <v/>
      </c>
      <c r="L66" t="n">
        <v>13</v>
      </c>
      <c r="M66" s="70">
        <f>IF(L66&gt;=($L$6*0.7),1,0)</f>
        <v/>
      </c>
      <c r="N66" s="70">
        <f>IF(L66&gt;=($L$6*0.8),1,0)</f>
        <v/>
      </c>
      <c r="O66" s="70">
        <f>IF(L66&gt;=($L$6*0.9),1,0)</f>
        <v/>
      </c>
      <c r="P66" s="70" t="n"/>
      <c r="Q66" s="70" t="n"/>
      <c r="R66" t="n">
        <v>61</v>
      </c>
      <c r="S66" s="48" t="n"/>
      <c r="T66" s="48" t="n"/>
      <c r="U66" s="48" t="n"/>
      <c r="V66" s="48" t="n"/>
      <c r="W66" s="44" t="n"/>
      <c r="X66" s="44" t="n"/>
      <c r="Y66" s="48" t="n"/>
      <c r="Z66" s="46" t="n"/>
      <c r="AA66" s="46" t="n"/>
      <c r="AB66" s="46" t="n"/>
      <c r="AC66" s="46" t="n"/>
    </row>
    <row r="67" ht="19.5" customHeight="1" s="98">
      <c r="A67" s="69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80" t="n">
        <v>21</v>
      </c>
      <c r="E67" s="70">
        <f>IF(D67&gt;=($D$6*0.7),1,0)</f>
        <v/>
      </c>
      <c r="F67" s="70">
        <f>IF(D67&gt;=($D$6*0.8),1,0)</f>
        <v/>
      </c>
      <c r="G67" s="70">
        <f>IF(D67&gt;=($D$6*0.9),1,0)</f>
        <v/>
      </c>
      <c r="H67" s="80" t="n">
        <v>22</v>
      </c>
      <c r="I67" s="70">
        <f>IF(H67&gt;=($H$6*0.7),1,0)</f>
        <v/>
      </c>
      <c r="J67" s="70">
        <f>IF(H67&gt;=($H$6*0.7),1,0)</f>
        <v/>
      </c>
      <c r="K67" s="70">
        <f>IF(H67&gt;=($H$6*0.9),1,0)</f>
        <v/>
      </c>
      <c r="L67" s="80" t="n">
        <v>11</v>
      </c>
      <c r="M67" s="70">
        <f>IF(L67&gt;=($L$6*0.7),1,0)</f>
        <v/>
      </c>
      <c r="N67" s="70">
        <f>IF(L67&gt;=($L$6*0.8),1,0)</f>
        <v/>
      </c>
      <c r="O67" s="70">
        <f>IF(L67&gt;=($L$6*0.9),1,0)</f>
        <v/>
      </c>
      <c r="P67" s="70" t="n"/>
      <c r="Q67" s="70" t="n"/>
      <c r="R67" s="80" t="n">
        <v>54</v>
      </c>
      <c r="S67" s="48" t="n"/>
      <c r="T67" s="48" t="n"/>
      <c r="U67" s="48" t="n"/>
      <c r="V67" s="48" t="n"/>
      <c r="W67" s="44" t="n"/>
      <c r="X67" s="44" t="n"/>
      <c r="Y67" s="48" t="n"/>
      <c r="Z67" s="46" t="n"/>
      <c r="AA67" s="46" t="n"/>
      <c r="AB67" s="46" t="n"/>
      <c r="AC67" s="46" t="n"/>
    </row>
    <row r="68" ht="19.5" customHeight="1" s="98">
      <c r="A68" s="69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t="n">
        <v>18</v>
      </c>
      <c r="E68" s="70">
        <f>IF(D68&gt;=($D$6*0.7),1,0)</f>
        <v/>
      </c>
      <c r="F68" s="70">
        <f>IF(D68&gt;=($D$6*0.8),1,0)</f>
        <v/>
      </c>
      <c r="G68" s="70">
        <f>IF(D68&gt;=($D$6*0.9),1,0)</f>
        <v/>
      </c>
      <c r="H68" t="n">
        <v>21</v>
      </c>
      <c r="I68" s="70">
        <f>IF(H68&gt;=($H$6*0.7),1,0)</f>
        <v/>
      </c>
      <c r="J68" s="70">
        <f>IF(H68&gt;=($H$6*0.7),1,0)</f>
        <v/>
      </c>
      <c r="K68" s="70">
        <f>IF(H68&gt;=($H$6*0.9),1,0)</f>
        <v/>
      </c>
      <c r="L68" t="n">
        <v>11</v>
      </c>
      <c r="M68" s="70">
        <f>IF(L68&gt;=($L$6*0.7),1,0)</f>
        <v/>
      </c>
      <c r="N68" s="70">
        <f>IF(L68&gt;=($L$6*0.8),1,0)</f>
        <v/>
      </c>
      <c r="O68" s="70">
        <f>IF(L68&gt;=($L$6*0.9),1,0)</f>
        <v/>
      </c>
      <c r="P68" s="70" t="n"/>
      <c r="Q68" s="70" t="n"/>
      <c r="R68" t="n">
        <v>50</v>
      </c>
      <c r="S68" s="48" t="n"/>
      <c r="T68" s="48" t="n"/>
      <c r="U68" s="48" t="n"/>
      <c r="V68" s="48" t="n"/>
      <c r="W68" s="44" t="n"/>
      <c r="X68" s="44" t="n"/>
      <c r="Y68" s="48" t="n"/>
      <c r="Z68" s="46" t="n"/>
      <c r="AA68" s="46" t="n"/>
      <c r="AB68" s="46" t="n"/>
      <c r="AC68" s="46" t="n"/>
    </row>
    <row r="69" ht="19.5" customHeight="1" s="98">
      <c r="A69" s="69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80" t="n">
        <v>26</v>
      </c>
      <c r="E69" s="70">
        <f>IF(D69&gt;=($D$6*0.7),1,0)</f>
        <v/>
      </c>
      <c r="F69" s="70">
        <f>IF(D69&gt;=($D$6*0.8),1,0)</f>
        <v/>
      </c>
      <c r="G69" s="70">
        <f>IF(D69&gt;=($D$6*0.9),1,0)</f>
        <v/>
      </c>
      <c r="H69" s="80" t="n">
        <v>25</v>
      </c>
      <c r="I69" s="70">
        <f>IF(H69&gt;=($H$6*0.7),1,0)</f>
        <v/>
      </c>
      <c r="J69" s="70">
        <f>IF(H69&gt;=($H$6*0.7),1,0)</f>
        <v/>
      </c>
      <c r="K69" s="70">
        <f>IF(H69&gt;=($H$6*0.9),1,0)</f>
        <v/>
      </c>
      <c r="L69" s="80" t="n">
        <v>13</v>
      </c>
      <c r="M69" s="70">
        <f>IF(L69&gt;=($L$6*0.7),1,0)</f>
        <v/>
      </c>
      <c r="N69" s="70">
        <f>IF(L69&gt;=($L$6*0.8),1,0)</f>
        <v/>
      </c>
      <c r="O69" s="70">
        <f>IF(L69&gt;=($L$6*0.9),1,0)</f>
        <v/>
      </c>
      <c r="P69" s="70" t="n"/>
      <c r="Q69" s="70" t="n"/>
      <c r="R69" s="80" t="n">
        <v>64</v>
      </c>
      <c r="S69" s="48" t="n"/>
      <c r="T69" s="48" t="n"/>
      <c r="U69" s="48" t="n"/>
      <c r="V69" s="48" t="n"/>
      <c r="W69" s="44" t="n"/>
      <c r="X69" s="44" t="n"/>
      <c r="Y69" s="48" t="n"/>
      <c r="Z69" s="46" t="n"/>
      <c r="AA69" s="46" t="n"/>
      <c r="AB69" s="46" t="n"/>
      <c r="AC69" s="46" t="n"/>
    </row>
    <row r="70" ht="19.5" customHeight="1" s="98">
      <c r="A70" s="69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80" t="n">
        <v>28</v>
      </c>
      <c r="E70" s="70">
        <f>IF(D70&gt;=($D$6*0.7),1,0)</f>
        <v/>
      </c>
      <c r="F70" s="70">
        <f>IF(D70&gt;=($D$6*0.8),1,0)</f>
        <v/>
      </c>
      <c r="G70" s="70">
        <f>IF(D70&gt;=($D$6*0.9),1,0)</f>
        <v/>
      </c>
      <c r="H70" s="80" t="n">
        <v>28</v>
      </c>
      <c r="I70" s="70">
        <f>IF(H70&gt;=($H$6*0.7),1,0)</f>
        <v/>
      </c>
      <c r="J70" s="70">
        <f>IF(H70&gt;=($H$6*0.7),1,0)</f>
        <v/>
      </c>
      <c r="K70" s="70">
        <f>IF(H70&gt;=($H$6*0.9),1,0)</f>
        <v/>
      </c>
      <c r="L70" s="80" t="n">
        <v>14</v>
      </c>
      <c r="M70" s="70">
        <f>IF(L70&gt;=($L$6*0.7),1,0)</f>
        <v/>
      </c>
      <c r="N70" s="70">
        <f>IF(L70&gt;=($L$6*0.8),1,0)</f>
        <v/>
      </c>
      <c r="O70" s="70">
        <f>IF(L70&gt;=($L$6*0.9),1,0)</f>
        <v/>
      </c>
      <c r="P70" s="70" t="n"/>
      <c r="Q70" s="70" t="n"/>
      <c r="R70" t="n">
        <v>70</v>
      </c>
      <c r="S70" s="48" t="n"/>
      <c r="T70" s="48" t="n"/>
      <c r="U70" s="48" t="n"/>
      <c r="V70" s="48" t="n"/>
      <c r="W70" s="44" t="n"/>
      <c r="X70" s="44" t="n"/>
      <c r="Y70" s="48" t="n"/>
      <c r="Z70" s="46" t="n"/>
      <c r="AA70" s="46" t="n"/>
      <c r="AB70" s="46" t="n"/>
      <c r="AC70" s="46" t="n"/>
    </row>
    <row r="71" ht="19.5" customHeight="1" s="98">
      <c r="A71" s="69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80" t="n">
        <v>27</v>
      </c>
      <c r="E71" s="70">
        <f>IF(D71&gt;=($D$6*0.7),1,0)</f>
        <v/>
      </c>
      <c r="F71" s="70">
        <f>IF(D71&gt;=($D$6*0.8),1,0)</f>
        <v/>
      </c>
      <c r="G71" s="70">
        <f>IF(D71&gt;=($D$6*0.9),1,0)</f>
        <v/>
      </c>
      <c r="H71" s="80" t="n">
        <v>24</v>
      </c>
      <c r="I71" s="70">
        <f>IF(H71&gt;=($H$6*0.7),1,0)</f>
        <v/>
      </c>
      <c r="J71" s="70">
        <f>IF(H71&gt;=($H$6*0.7),1,0)</f>
        <v/>
      </c>
      <c r="K71" s="70">
        <f>IF(H71&gt;=($H$6*0.9),1,0)</f>
        <v/>
      </c>
      <c r="L71" s="80" t="n">
        <v>14</v>
      </c>
      <c r="M71" s="70">
        <f>IF(L71&gt;=($L$6*0.7),1,0)</f>
        <v/>
      </c>
      <c r="N71" s="70">
        <f>IF(L71&gt;=($L$6*0.8),1,0)</f>
        <v/>
      </c>
      <c r="O71" s="70">
        <f>IF(L71&gt;=($L$6*0.9),1,0)</f>
        <v/>
      </c>
      <c r="P71" s="70" t="n"/>
      <c r="Q71" s="70" t="n"/>
      <c r="R71" s="80" t="n">
        <v>65</v>
      </c>
      <c r="S71" s="48" t="n"/>
      <c r="T71" s="48" t="n"/>
      <c r="U71" s="48" t="n"/>
      <c r="V71" s="48" t="n"/>
      <c r="W71" s="44" t="n"/>
      <c r="X71" s="44" t="n"/>
      <c r="Y71" s="48" t="n"/>
      <c r="Z71" s="46" t="n"/>
      <c r="AA71" s="46" t="n"/>
      <c r="AB71" s="46" t="n"/>
      <c r="AC71" s="46" t="n"/>
    </row>
    <row r="72" ht="19.5" customHeight="1" s="98">
      <c r="A72" s="69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80" t="n">
        <v>25</v>
      </c>
      <c r="E72" s="70">
        <f>IF(D72&gt;=($D$6*0.7),1,0)</f>
        <v/>
      </c>
      <c r="F72" s="70">
        <f>IF(D72&gt;=($D$6*0.8),1,0)</f>
        <v/>
      </c>
      <c r="G72" s="70">
        <f>IF(D72&gt;=($D$6*0.9),1,0)</f>
        <v/>
      </c>
      <c r="H72" s="80" t="n">
        <v>26</v>
      </c>
      <c r="I72" s="70">
        <f>IF(H72&gt;=($H$6*0.7),1,0)</f>
        <v/>
      </c>
      <c r="J72" s="70">
        <f>IF(H72&gt;=($H$6*0.7),1,0)</f>
        <v/>
      </c>
      <c r="K72" s="70">
        <f>IF(H72&gt;=($H$6*0.9),1,0)</f>
        <v/>
      </c>
      <c r="L72" s="80" t="n">
        <v>14</v>
      </c>
      <c r="M72" s="70">
        <f>IF(L72&gt;=($L$6*0.7),1,0)</f>
        <v/>
      </c>
      <c r="N72" s="70">
        <f>IF(L72&gt;=($L$6*0.8),1,0)</f>
        <v/>
      </c>
      <c r="O72" s="70">
        <f>IF(L72&gt;=($L$6*0.9),1,0)</f>
        <v/>
      </c>
      <c r="P72" s="70" t="n"/>
      <c r="Q72" s="70" t="n"/>
      <c r="R72" s="80" t="n">
        <v>65</v>
      </c>
      <c r="S72" s="48" t="n"/>
      <c r="T72" s="48" t="n"/>
      <c r="U72" s="48" t="n"/>
      <c r="V72" s="48" t="n"/>
      <c r="W72" s="44" t="n"/>
      <c r="X72" s="44" t="n"/>
      <c r="Y72" s="48" t="n"/>
      <c r="Z72" s="46" t="n"/>
      <c r="AA72" s="46" t="n"/>
      <c r="AB72" s="46" t="n"/>
      <c r="AC72" s="46" t="n"/>
    </row>
    <row r="73" ht="19.5" customHeight="1" s="98">
      <c r="A73" s="69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80" t="n">
        <v>26</v>
      </c>
      <c r="E73" s="70">
        <f>IF(D73&gt;=($D$6*0.7),1,0)</f>
        <v/>
      </c>
      <c r="F73" s="70">
        <f>IF(D73&gt;=($D$6*0.8),1,0)</f>
        <v/>
      </c>
      <c r="G73" s="70">
        <f>IF(D73&gt;=($D$6*0.9),1,0)</f>
        <v/>
      </c>
      <c r="H73" s="80" t="n">
        <v>28</v>
      </c>
      <c r="I73" s="70">
        <f>IF(H73&gt;=($H$6*0.7),1,0)</f>
        <v/>
      </c>
      <c r="J73" s="70">
        <f>IF(H73&gt;=($H$6*0.7),1,0)</f>
        <v/>
      </c>
      <c r="K73" s="70">
        <f>IF(H73&gt;=($H$6*0.9),1,0)</f>
        <v/>
      </c>
      <c r="L73" s="80" t="n">
        <v>14</v>
      </c>
      <c r="M73" s="70">
        <f>IF(L73&gt;=($L$6*0.7),1,0)</f>
        <v/>
      </c>
      <c r="N73" s="70">
        <f>IF(L73&gt;=($L$6*0.8),1,0)</f>
        <v/>
      </c>
      <c r="O73" s="70">
        <f>IF(L73&gt;=($L$6*0.9),1,0)</f>
        <v/>
      </c>
      <c r="P73" s="70" t="n"/>
      <c r="Q73" s="70" t="n"/>
      <c r="R73" s="80" t="n">
        <v>68</v>
      </c>
      <c r="S73" s="48" t="n"/>
      <c r="T73" s="48" t="n"/>
      <c r="U73" s="48" t="n"/>
      <c r="V73" s="48" t="n"/>
      <c r="W73" s="44" t="n"/>
      <c r="X73" s="44" t="n"/>
      <c r="Y73" s="48" t="n"/>
      <c r="Z73" s="46" t="n"/>
      <c r="AA73" s="46" t="n"/>
      <c r="AB73" s="46" t="n"/>
      <c r="AC73" s="46" t="n"/>
    </row>
    <row r="74" ht="19.5" customHeight="1" s="98">
      <c r="A74" s="69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80" t="n">
        <v>22</v>
      </c>
      <c r="E74" s="70">
        <f>IF(D74&gt;=($D$6*0.7),1,0)</f>
        <v/>
      </c>
      <c r="F74" s="70">
        <f>IF(D74&gt;=($D$6*0.8),1,0)</f>
        <v/>
      </c>
      <c r="G74" s="70">
        <f>IF(D74&gt;=($D$6*0.9),1,0)</f>
        <v/>
      </c>
      <c r="H74" s="80" t="n">
        <v>20</v>
      </c>
      <c r="I74" s="70">
        <f>IF(H74&gt;=($H$6*0.7),1,0)</f>
        <v/>
      </c>
      <c r="J74" s="70">
        <f>IF(H74&gt;=($H$6*0.7),1,0)</f>
        <v/>
      </c>
      <c r="K74" s="70">
        <f>IF(H74&gt;=($H$6*0.9),1,0)</f>
        <v/>
      </c>
      <c r="L74" s="80" t="n">
        <v>13</v>
      </c>
      <c r="M74" s="70">
        <f>IF(L74&gt;=($L$6*0.7),1,0)</f>
        <v/>
      </c>
      <c r="N74" s="70">
        <f>IF(L74&gt;=($L$6*0.8),1,0)</f>
        <v/>
      </c>
      <c r="O74" s="70">
        <f>IF(L74&gt;=($L$6*0.9),1,0)</f>
        <v/>
      </c>
      <c r="P74" s="70" t="n"/>
      <c r="Q74" s="70" t="n"/>
      <c r="R74" t="n">
        <v>55</v>
      </c>
      <c r="S74" s="48" t="n"/>
      <c r="T74" s="48" t="n"/>
      <c r="U74" s="48" t="n"/>
      <c r="V74" s="48" t="n"/>
      <c r="W74" s="44" t="n"/>
      <c r="X74" s="44" t="n"/>
      <c r="Y74" s="48" t="n"/>
      <c r="Z74" s="46" t="n"/>
      <c r="AA74" s="46" t="n"/>
      <c r="AB74" s="46" t="n"/>
      <c r="AC74" s="46" t="n"/>
    </row>
    <row r="75" ht="19.5" customHeight="1" s="98">
      <c r="A75" s="69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80" t="n">
        <v>27</v>
      </c>
      <c r="E75" s="70">
        <f>IF(D75&gt;=($D$6*0.7),1,0)</f>
        <v/>
      </c>
      <c r="F75" s="70">
        <f>IF(D75&gt;=($D$6*0.8),1,0)</f>
        <v/>
      </c>
      <c r="G75" s="70">
        <f>IF(D75&gt;=($D$6*0.9),1,0)</f>
        <v/>
      </c>
      <c r="H75" s="80" t="n">
        <v>24</v>
      </c>
      <c r="I75" s="70">
        <f>IF(H75&gt;=($H$6*0.7),1,0)</f>
        <v/>
      </c>
      <c r="J75" s="70">
        <f>IF(H75&gt;=($H$6*0.7),1,0)</f>
        <v/>
      </c>
      <c r="K75" s="70">
        <f>IF(H75&gt;=($H$6*0.9),1,0)</f>
        <v/>
      </c>
      <c r="L75" s="80" t="n">
        <v>13</v>
      </c>
      <c r="M75" s="70">
        <f>IF(L75&gt;=($L$6*0.7),1,0)</f>
        <v/>
      </c>
      <c r="N75" s="70">
        <f>IF(L75&gt;=($L$6*0.8),1,0)</f>
        <v/>
      </c>
      <c r="O75" s="70">
        <f>IF(L75&gt;=($L$6*0.9),1,0)</f>
        <v/>
      </c>
      <c r="P75" s="70" t="n"/>
      <c r="Q75" s="70" t="n"/>
      <c r="R75" s="80" t="n">
        <v>64</v>
      </c>
      <c r="S75" s="48" t="n"/>
      <c r="T75" s="48" t="n"/>
      <c r="U75" s="48" t="n"/>
      <c r="V75" s="48" t="n"/>
      <c r="W75" s="44" t="n"/>
      <c r="X75" s="44" t="n"/>
      <c r="Y75" s="48" t="n"/>
      <c r="Z75" s="46" t="n"/>
      <c r="AA75" s="46" t="n"/>
      <c r="AB75" s="46" t="n"/>
      <c r="AC75" s="46" t="n"/>
    </row>
    <row r="76" ht="19.5" customHeight="1" s="98">
      <c r="A76" s="69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80" t="n">
        <v>23</v>
      </c>
      <c r="E76" s="70">
        <f>IF(D76&gt;=($D$6*0.7),1,0)</f>
        <v/>
      </c>
      <c r="F76" s="70">
        <f>IF(D76&gt;=($D$6*0.8),1,0)</f>
        <v/>
      </c>
      <c r="G76" s="70">
        <f>IF(D76&gt;=($D$6*0.9),1,0)</f>
        <v/>
      </c>
      <c r="H76" s="80" t="n">
        <v>20</v>
      </c>
      <c r="I76" s="70">
        <f>IF(H76&gt;=($H$6*0.7),1,0)</f>
        <v/>
      </c>
      <c r="J76" s="70">
        <f>IF(H76&gt;=($H$6*0.7),1,0)</f>
        <v/>
      </c>
      <c r="K76" s="70">
        <f>IF(H76&gt;=($H$6*0.9),1,0)</f>
        <v/>
      </c>
      <c r="L76" s="80" t="n">
        <v>11</v>
      </c>
      <c r="M76" s="70">
        <f>IF(L76&gt;=($L$6*0.7),1,0)</f>
        <v/>
      </c>
      <c r="N76" s="70">
        <f>IF(L76&gt;=($L$6*0.8),1,0)</f>
        <v/>
      </c>
      <c r="O76" s="70">
        <f>IF(L76&gt;=($L$6*0.9),1,0)</f>
        <v/>
      </c>
      <c r="P76" s="70" t="n"/>
      <c r="Q76" s="70" t="n"/>
      <c r="R76" t="n">
        <v>54</v>
      </c>
      <c r="S76" s="48" t="n"/>
      <c r="T76" s="48" t="n"/>
      <c r="U76" s="48" t="n"/>
      <c r="V76" s="48" t="n"/>
      <c r="W76" s="44" t="n"/>
      <c r="X76" s="44" t="n"/>
      <c r="Y76" s="48" t="n"/>
      <c r="Z76" s="46" t="n"/>
      <c r="AA76" s="46" t="n"/>
      <c r="AB76" s="46" t="n"/>
      <c r="AC76" s="46" t="n"/>
    </row>
    <row r="77" ht="19.5" customHeight="1" s="98">
      <c r="A77" s="69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80" t="n">
        <v>22</v>
      </c>
      <c r="E77" s="70">
        <f>IF(D77&gt;=($D$6*0.7),1,0)</f>
        <v/>
      </c>
      <c r="F77" s="70">
        <f>IF(D77&gt;=($D$6*0.8),1,0)</f>
        <v/>
      </c>
      <c r="G77" s="70">
        <f>IF(D77&gt;=($D$6*0.9),1,0)</f>
        <v/>
      </c>
      <c r="H77" s="80" t="n">
        <v>23</v>
      </c>
      <c r="I77" s="70">
        <f>IF(H77&gt;=($H$6*0.7),1,0)</f>
        <v/>
      </c>
      <c r="J77" s="70">
        <f>IF(H77&gt;=($H$6*0.7),1,0)</f>
        <v/>
      </c>
      <c r="K77" s="70">
        <f>IF(H77&gt;=($H$6*0.9),1,0)</f>
        <v/>
      </c>
      <c r="L77" s="80" t="n">
        <v>13</v>
      </c>
      <c r="M77" s="70">
        <f>IF(L77&gt;=($L$6*0.7),1,0)</f>
        <v/>
      </c>
      <c r="N77" s="70">
        <f>IF(L77&gt;=($L$6*0.8),1,0)</f>
        <v/>
      </c>
      <c r="O77" s="70">
        <f>IF(L77&gt;=($L$6*0.9),1,0)</f>
        <v/>
      </c>
      <c r="P77" s="70" t="n"/>
      <c r="Q77" s="70" t="n"/>
      <c r="R77" s="80" t="n">
        <v>58</v>
      </c>
      <c r="S77" s="48" t="n"/>
      <c r="T77" s="48" t="n"/>
      <c r="U77" s="48" t="n"/>
      <c r="V77" s="48" t="n"/>
      <c r="W77" s="44" t="n"/>
      <c r="X77" s="44" t="n"/>
      <c r="Y77" s="48" t="n"/>
      <c r="Z77" s="46" t="n"/>
      <c r="AA77" s="46" t="n"/>
      <c r="AB77" s="46" t="n"/>
      <c r="AC77" s="46" t="n"/>
    </row>
    <row r="78" ht="19.5" customHeight="1" s="98">
      <c r="A78" s="69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t="n">
        <v>24</v>
      </c>
      <c r="E78" s="70">
        <f>IF(D78&gt;=($D$6*0.7),1,0)</f>
        <v/>
      </c>
      <c r="F78" s="70">
        <f>IF(D78&gt;=($D$6*0.8),1,0)</f>
        <v/>
      </c>
      <c r="G78" s="70">
        <f>IF(D78&gt;=($D$6*0.9),1,0)</f>
        <v/>
      </c>
      <c r="H78" t="n">
        <v>27</v>
      </c>
      <c r="I78" s="70">
        <f>IF(H78&gt;=($H$6*0.7),1,0)</f>
        <v/>
      </c>
      <c r="J78" s="70">
        <f>IF(H78&gt;=($H$6*0.7),1,0)</f>
        <v/>
      </c>
      <c r="K78" s="70">
        <f>IF(H78&gt;=($H$6*0.9),1,0)</f>
        <v/>
      </c>
      <c r="L78" t="n">
        <v>14</v>
      </c>
      <c r="M78" s="70">
        <f>IF(L78&gt;=($L$6*0.7),1,0)</f>
        <v/>
      </c>
      <c r="N78" s="70">
        <f>IF(L78&gt;=($L$6*0.8),1,0)</f>
        <v/>
      </c>
      <c r="O78" s="70">
        <f>IF(L78&gt;=($L$6*0.9),1,0)</f>
        <v/>
      </c>
      <c r="P78" s="70" t="n"/>
      <c r="Q78" s="70" t="n"/>
      <c r="R78" t="n">
        <v>65</v>
      </c>
      <c r="S78" s="48" t="n"/>
      <c r="T78" s="48" t="n"/>
      <c r="U78" s="48" t="n"/>
      <c r="V78" s="48" t="n"/>
      <c r="W78" s="44" t="n"/>
      <c r="X78" s="44" t="n"/>
      <c r="Y78" s="48" t="n"/>
      <c r="Z78" s="46" t="n"/>
      <c r="AA78" s="46" t="n"/>
      <c r="AB78" s="46" t="n"/>
      <c r="AC78" s="46" t="n"/>
    </row>
    <row r="79" ht="19.5" customHeight="1" s="98">
      <c r="A79" s="69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80" t="n">
        <v>28</v>
      </c>
      <c r="E79" s="70">
        <f>IF(D79&gt;=($D$6*0.7),1,0)</f>
        <v/>
      </c>
      <c r="F79" s="70">
        <f>IF(D79&gt;=($D$6*0.8),1,0)</f>
        <v/>
      </c>
      <c r="G79" s="70">
        <f>IF(D79&gt;=($D$6*0.9),1,0)</f>
        <v/>
      </c>
      <c r="H79" s="80" t="n">
        <v>26</v>
      </c>
      <c r="I79" s="70">
        <f>IF(H79&gt;=($H$6*0.7),1,0)</f>
        <v/>
      </c>
      <c r="J79" s="70">
        <f>IF(H79&gt;=($H$6*0.7),1,0)</f>
        <v/>
      </c>
      <c r="K79" s="70">
        <f>IF(H79&gt;=($H$6*0.9),1,0)</f>
        <v/>
      </c>
      <c r="L79" s="80" t="n">
        <v>14</v>
      </c>
      <c r="M79" s="70">
        <f>IF(L79&gt;=($L$6*0.7),1,0)</f>
        <v/>
      </c>
      <c r="N79" s="70">
        <f>IF(L79&gt;=($L$6*0.8),1,0)</f>
        <v/>
      </c>
      <c r="O79" s="70">
        <f>IF(L79&gt;=($L$6*0.9),1,0)</f>
        <v/>
      </c>
      <c r="P79" s="70" t="n"/>
      <c r="Q79" s="70" t="n"/>
      <c r="R79" s="80" t="n">
        <v>68</v>
      </c>
      <c r="S79" s="48" t="n"/>
      <c r="T79" s="48" t="n"/>
      <c r="U79" s="48" t="n"/>
      <c r="V79" s="48" t="n"/>
      <c r="W79" s="44" t="n"/>
      <c r="X79" s="44" t="n"/>
      <c r="Y79" s="48" t="n"/>
      <c r="Z79" s="46" t="n"/>
      <c r="AA79" s="46" t="n"/>
      <c r="AB79" s="46" t="n"/>
      <c r="AC79" s="46" t="n"/>
    </row>
    <row r="80" ht="19.5" customHeight="1" s="98">
      <c r="A80" s="69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80" t="n">
        <v>21</v>
      </c>
      <c r="E80" s="70">
        <f>IF(D80&gt;=($D$6*0.7),1,0)</f>
        <v/>
      </c>
      <c r="F80" s="70">
        <f>IF(D80&gt;=($D$6*0.8),1,0)</f>
        <v/>
      </c>
      <c r="G80" s="70">
        <f>IF(D80&gt;=($D$6*0.9),1,0)</f>
        <v/>
      </c>
      <c r="H80" s="80" t="n">
        <v>18</v>
      </c>
      <c r="I80" s="70">
        <f>IF(H80&gt;=($H$6*0.7),1,0)</f>
        <v/>
      </c>
      <c r="J80" s="70">
        <f>IF(H80&gt;=($H$6*0.7),1,0)</f>
        <v/>
      </c>
      <c r="K80" s="70">
        <f>IF(H80&gt;=($H$6*0.9),1,0)</f>
        <v/>
      </c>
      <c r="L80" s="80" t="n">
        <v>11</v>
      </c>
      <c r="M80" s="70">
        <f>IF(L80&gt;=($L$6*0.7),1,0)</f>
        <v/>
      </c>
      <c r="N80" s="70">
        <f>IF(L80&gt;=($L$6*0.8),1,0)</f>
        <v/>
      </c>
      <c r="O80" s="70">
        <f>IF(L80&gt;=($L$6*0.9),1,0)</f>
        <v/>
      </c>
      <c r="P80" s="70" t="n"/>
      <c r="Q80" s="70" t="n"/>
      <c r="R80" t="n">
        <v>50</v>
      </c>
      <c r="S80" s="48" t="n"/>
      <c r="T80" s="48" t="n"/>
      <c r="U80" s="48" t="n"/>
      <c r="V80" s="48" t="n"/>
      <c r="W80" s="44" t="n"/>
      <c r="X80" s="44" t="n"/>
      <c r="Y80" s="48" t="n"/>
      <c r="Z80" s="46" t="n"/>
      <c r="AA80" s="46" t="n"/>
      <c r="AB80" s="46" t="n"/>
      <c r="AC80" s="46" t="n"/>
    </row>
    <row r="81" ht="19.5" customHeight="1" s="98">
      <c r="A81" s="69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t="n">
        <v>23</v>
      </c>
      <c r="E81" s="70">
        <f>IF(D81&gt;=($D$6*0.7),1,0)</f>
        <v/>
      </c>
      <c r="F81" s="70">
        <f>IF(D81&gt;=($D$6*0.8),1,0)</f>
        <v/>
      </c>
      <c r="G81" s="70">
        <f>IF(D81&gt;=($D$6*0.9),1,0)</f>
        <v/>
      </c>
      <c r="H81" t="n">
        <v>23</v>
      </c>
      <c r="I81" s="70">
        <f>IF(H81&gt;=($H$6*0.7),1,0)</f>
        <v/>
      </c>
      <c r="J81" s="70">
        <f>IF(H81&gt;=($H$6*0.7),1,0)</f>
        <v/>
      </c>
      <c r="K81" s="70">
        <f>IF(H81&gt;=($H$6*0.9),1,0)</f>
        <v/>
      </c>
      <c r="L81" t="n">
        <v>13</v>
      </c>
      <c r="M81" s="70">
        <f>IF(L81&gt;=($L$6*0.7),1,0)</f>
        <v/>
      </c>
      <c r="N81" s="70">
        <f>IF(L81&gt;=($L$6*0.8),1,0)</f>
        <v/>
      </c>
      <c r="O81" s="70">
        <f>IF(L81&gt;=($L$6*0.9),1,0)</f>
        <v/>
      </c>
      <c r="P81" s="70" t="n"/>
      <c r="Q81" s="70" t="n"/>
      <c r="R81" s="80" t="n">
        <v>59</v>
      </c>
      <c r="S81" s="48" t="n"/>
      <c r="T81" s="48" t="n"/>
      <c r="U81" s="48" t="n"/>
      <c r="V81" s="48" t="n"/>
      <c r="W81" s="44" t="n"/>
      <c r="X81" s="44" t="n"/>
      <c r="Y81" s="48" t="n"/>
      <c r="Z81" s="46" t="n"/>
      <c r="AA81" s="46" t="n"/>
      <c r="AB81" s="46" t="n"/>
      <c r="AC81" s="46" t="n"/>
    </row>
    <row r="82" ht="19.5" customHeight="1" s="98">
      <c r="A82" s="69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80" t="n">
        <v>13</v>
      </c>
      <c r="E82" s="70">
        <f>IF(D82&gt;=($D$6*0.7),1,0)</f>
        <v/>
      </c>
      <c r="F82" s="70">
        <f>IF(D82&gt;=($D$6*0.8),1,0)</f>
        <v/>
      </c>
      <c r="G82" s="70">
        <f>IF(D82&gt;=($D$6*0.9),1,0)</f>
        <v/>
      </c>
      <c r="H82" s="80" t="n">
        <v>13</v>
      </c>
      <c r="I82" s="70">
        <f>IF(H82&gt;=($H$6*0.7),1,0)</f>
        <v/>
      </c>
      <c r="J82" s="70">
        <f>IF(H82&gt;=($H$6*0.7),1,0)</f>
        <v/>
      </c>
      <c r="K82" s="70">
        <f>IF(H82&gt;=($H$6*0.9),1,0)</f>
        <v/>
      </c>
      <c r="L82" s="80" t="n">
        <v>9</v>
      </c>
      <c r="M82" s="70">
        <f>IF(L82&gt;=($L$6*0.7),1,0)</f>
        <v/>
      </c>
      <c r="N82" s="70">
        <f>IF(L82&gt;=($L$6*0.8),1,0)</f>
        <v/>
      </c>
      <c r="O82" s="70">
        <f>IF(L82&gt;=($L$6*0.9),1,0)</f>
        <v/>
      </c>
      <c r="P82" s="70" t="n"/>
      <c r="Q82" s="70" t="n"/>
      <c r="R82" t="n">
        <v>35</v>
      </c>
      <c r="S82" s="48" t="n"/>
      <c r="T82" s="48" t="n"/>
      <c r="U82" s="48" t="n"/>
      <c r="V82" s="48" t="n"/>
      <c r="W82" s="44" t="n"/>
      <c r="X82" s="44" t="n"/>
      <c r="Y82" s="48" t="n"/>
      <c r="Z82" s="46" t="n"/>
      <c r="AA82" s="46" t="n"/>
      <c r="AB82" s="46" t="n"/>
      <c r="AC82" s="46" t="n"/>
    </row>
    <row r="83" ht="19.5" customHeight="1" s="98">
      <c r="A83" s="69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80" t="n">
        <v>25</v>
      </c>
      <c r="E83" s="70">
        <f>IF(D83&gt;=($D$6*0.7),1,0)</f>
        <v/>
      </c>
      <c r="F83" s="70">
        <f>IF(D83&gt;=($D$6*0.8),1,0)</f>
        <v/>
      </c>
      <c r="G83" s="70">
        <f>IF(D83&gt;=($D$6*0.9),1,0)</f>
        <v/>
      </c>
      <c r="H83" s="80" t="n">
        <v>28</v>
      </c>
      <c r="I83" s="70">
        <f>IF(H83&gt;=($H$6*0.7),1,0)</f>
        <v/>
      </c>
      <c r="J83" s="70">
        <f>IF(H83&gt;=($H$6*0.7),1,0)</f>
        <v/>
      </c>
      <c r="K83" s="70">
        <f>IF(H83&gt;=($H$6*0.9),1,0)</f>
        <v/>
      </c>
      <c r="L83" s="80" t="n">
        <v>14</v>
      </c>
      <c r="M83" s="70">
        <f>IF(L83&gt;=($L$6*0.7),1,0)</f>
        <v/>
      </c>
      <c r="N83" s="70">
        <f>IF(L83&gt;=($L$6*0.8),1,0)</f>
        <v/>
      </c>
      <c r="O83" s="70">
        <f>IF(L83&gt;=($L$6*0.9),1,0)</f>
        <v/>
      </c>
      <c r="P83" s="70" t="n"/>
      <c r="Q83" s="70" t="n"/>
      <c r="R83" t="n">
        <v>67</v>
      </c>
      <c r="S83" s="48" t="n"/>
      <c r="T83" s="48" t="n"/>
      <c r="U83" s="48" t="n"/>
      <c r="V83" s="48" t="n"/>
      <c r="W83" s="44" t="n"/>
      <c r="X83" s="44" t="n"/>
      <c r="Y83" s="48" t="n"/>
      <c r="Z83" s="46" t="n"/>
      <c r="AA83" s="46" t="n"/>
      <c r="AB83" s="46" t="n"/>
      <c r="AC83" s="46" t="n"/>
    </row>
    <row r="84" ht="19.5" customHeight="1" s="98">
      <c r="A84" s="69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80" t="n">
        <v>28</v>
      </c>
      <c r="E84" s="70">
        <f>IF(D84&gt;=($D$6*0.7),1,0)</f>
        <v/>
      </c>
      <c r="F84" s="70">
        <f>IF(D84&gt;=($D$6*0.8),1,0)</f>
        <v/>
      </c>
      <c r="G84" s="70">
        <f>IF(D84&gt;=($D$6*0.9),1,0)</f>
        <v/>
      </c>
      <c r="H84" s="80" t="n">
        <v>26</v>
      </c>
      <c r="I84" s="70">
        <f>IF(H84&gt;=($H$6*0.7),1,0)</f>
        <v/>
      </c>
      <c r="J84" s="70">
        <f>IF(H84&gt;=($H$6*0.7),1,0)</f>
        <v/>
      </c>
      <c r="K84" s="70">
        <f>IF(H84&gt;=($H$6*0.9),1,0)</f>
        <v/>
      </c>
      <c r="L84" s="80" t="n">
        <v>14</v>
      </c>
      <c r="M84" s="70">
        <f>IF(L84&gt;=($L$6*0.7),1,0)</f>
        <v/>
      </c>
      <c r="N84" s="70">
        <f>IF(L84&gt;=($L$6*0.8),1,0)</f>
        <v/>
      </c>
      <c r="O84" s="70">
        <f>IF(L84&gt;=($L$6*0.9),1,0)</f>
        <v/>
      </c>
      <c r="P84" s="70" t="n"/>
      <c r="Q84" s="70" t="n"/>
      <c r="R84" t="n">
        <v>68</v>
      </c>
      <c r="S84" s="48" t="n"/>
      <c r="T84" s="48" t="n"/>
      <c r="U84" s="48" t="n"/>
      <c r="V84" s="48" t="n"/>
      <c r="W84" s="44" t="n"/>
      <c r="X84" s="44" t="n"/>
      <c r="Y84" s="48" t="n"/>
      <c r="Z84" s="46" t="n"/>
      <c r="AA84" s="46" t="n"/>
      <c r="AB84" s="46" t="n"/>
      <c r="AC84" s="46" t="n"/>
    </row>
    <row r="85" ht="19.5" customHeight="1" s="98">
      <c r="A85" s="69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80" t="n">
        <v>24</v>
      </c>
      <c r="E85" s="70">
        <f>IF(D85&gt;=($D$6*0.7),1,0)</f>
        <v/>
      </c>
      <c r="F85" s="70">
        <f>IF(D85&gt;=($D$6*0.8),1,0)</f>
        <v/>
      </c>
      <c r="G85" s="70">
        <f>IF(D85&gt;=($D$6*0.9),1,0)</f>
        <v/>
      </c>
      <c r="H85" s="80" t="n">
        <v>24</v>
      </c>
      <c r="I85" s="70">
        <f>IF(H85&gt;=($H$6*0.7),1,0)</f>
        <v/>
      </c>
      <c r="J85" s="70">
        <f>IF(H85&gt;=($H$6*0.7),1,0)</f>
        <v/>
      </c>
      <c r="K85" s="70">
        <f>IF(H85&gt;=($H$6*0.9),1,0)</f>
        <v/>
      </c>
      <c r="L85" s="80" t="n">
        <v>13</v>
      </c>
      <c r="M85" s="70">
        <f>IF(L85&gt;=($L$6*0.7),1,0)</f>
        <v/>
      </c>
      <c r="N85" s="70">
        <f>IF(L85&gt;=($L$6*0.8),1,0)</f>
        <v/>
      </c>
      <c r="O85" s="70">
        <f>IF(L85&gt;=($L$6*0.9),1,0)</f>
        <v/>
      </c>
      <c r="P85" s="70" t="n"/>
      <c r="Q85" s="70" t="n"/>
      <c r="R85" t="n">
        <v>61</v>
      </c>
      <c r="S85" s="48" t="n"/>
      <c r="T85" s="48" t="n"/>
      <c r="U85" s="48" t="n"/>
      <c r="V85" s="48" t="n"/>
      <c r="W85" s="44" t="n"/>
      <c r="X85" s="44" t="n"/>
      <c r="Y85" s="48" t="n"/>
      <c r="Z85" s="46" t="n"/>
      <c r="AA85" s="46" t="n"/>
      <c r="AB85" s="46" t="n"/>
      <c r="AC85" s="46" t="n"/>
    </row>
    <row r="86" ht="19.5" customHeight="1" s="98">
      <c r="A86" s="69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80" t="n">
        <v>22</v>
      </c>
      <c r="E86" s="70">
        <f>IF(D86&gt;=($D$6*0.7),1,0)</f>
        <v/>
      </c>
      <c r="F86" s="70">
        <f>IF(D86&gt;=($D$6*0.8),1,0)</f>
        <v/>
      </c>
      <c r="G86" s="70">
        <f>IF(D86&gt;=($D$6*0.9),1,0)</f>
        <v/>
      </c>
      <c r="H86" s="80" t="n">
        <v>22</v>
      </c>
      <c r="I86" s="70">
        <f>IF(H86&gt;=($H$6*0.7),1,0)</f>
        <v/>
      </c>
      <c r="J86" s="70">
        <f>IF(H86&gt;=($H$6*0.7),1,0)</f>
        <v/>
      </c>
      <c r="K86" s="70">
        <f>IF(H86&gt;=($H$6*0.9),1,0)</f>
        <v/>
      </c>
      <c r="L86" s="80" t="n">
        <v>13</v>
      </c>
      <c r="M86" s="70">
        <f>IF(L86&gt;=($L$6*0.7),1,0)</f>
        <v/>
      </c>
      <c r="N86" s="70">
        <f>IF(L86&gt;=($L$6*0.8),1,0)</f>
        <v/>
      </c>
      <c r="O86" s="70">
        <f>IF(L86&gt;=($L$6*0.9),1,0)</f>
        <v/>
      </c>
      <c r="P86" s="70" t="n"/>
      <c r="Q86" s="70" t="n"/>
      <c r="R86" s="80" t="n">
        <v>57</v>
      </c>
      <c r="S86" s="48" t="n"/>
      <c r="T86" s="48" t="n"/>
      <c r="U86" s="48" t="n"/>
      <c r="V86" s="48" t="n"/>
      <c r="W86" s="44" t="n"/>
      <c r="X86" s="44" t="n"/>
      <c r="Y86" s="48" t="n"/>
      <c r="Z86" s="46" t="n"/>
      <c r="AA86" s="46" t="n"/>
      <c r="AB86" s="46" t="n"/>
      <c r="AC86" s="46" t="n"/>
    </row>
    <row r="87" ht="19.5" customHeight="1" s="98">
      <c r="A87" s="69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80" t="n">
        <v>20</v>
      </c>
      <c r="E87" s="70">
        <f>IF(D87&gt;=($D$6*0.7),1,0)</f>
        <v/>
      </c>
      <c r="F87" s="70">
        <f>IF(D87&gt;=($D$6*0.8),1,0)</f>
        <v/>
      </c>
      <c r="G87" s="70">
        <f>IF(D87&gt;=($D$6*0.9),1,0)</f>
        <v/>
      </c>
      <c r="H87" s="80" t="n">
        <v>21</v>
      </c>
      <c r="I87" s="70">
        <f>IF(H87&gt;=($H$6*0.7),1,0)</f>
        <v/>
      </c>
      <c r="J87" s="70">
        <f>IF(H87&gt;=($H$6*0.7),1,0)</f>
        <v/>
      </c>
      <c r="K87" s="70">
        <f>IF(H87&gt;=($H$6*0.9),1,0)</f>
        <v/>
      </c>
      <c r="L87" s="80" t="n">
        <v>11</v>
      </c>
      <c r="M87" s="70">
        <f>IF(L87&gt;=($L$6*0.7),1,0)</f>
        <v/>
      </c>
      <c r="N87" s="70">
        <f>IF(L87&gt;=($L$6*0.8),1,0)</f>
        <v/>
      </c>
      <c r="O87" s="70">
        <f>IF(L87&gt;=($L$6*0.9),1,0)</f>
        <v/>
      </c>
      <c r="P87" s="70" t="n"/>
      <c r="Q87" s="70" t="n"/>
      <c r="R87" s="80" t="n">
        <v>52</v>
      </c>
      <c r="S87" s="48" t="n"/>
      <c r="T87" s="48" t="n"/>
      <c r="U87" s="48" t="n"/>
      <c r="V87" s="48" t="n"/>
      <c r="W87" s="44" t="n"/>
      <c r="X87" s="44" t="n"/>
      <c r="Y87" s="48" t="n"/>
      <c r="Z87" s="46" t="n"/>
      <c r="AA87" s="46" t="n"/>
      <c r="AB87" s="46" t="n"/>
      <c r="AC87" s="46" t="n"/>
    </row>
    <row r="88" ht="19.5" customHeight="1" s="98">
      <c r="A88" s="69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80" t="n">
        <v>23</v>
      </c>
      <c r="E88" s="70">
        <f>IF(D88&gt;=($D$6*0.7),1,0)</f>
        <v/>
      </c>
      <c r="F88" s="70">
        <f>IF(D88&gt;=($D$6*0.8),1,0)</f>
        <v/>
      </c>
      <c r="G88" s="70">
        <f>IF(D88&gt;=($D$6*0.9),1,0)</f>
        <v/>
      </c>
      <c r="H88" s="80" t="n">
        <v>25</v>
      </c>
      <c r="I88" s="70">
        <f>IF(H88&gt;=($H$6*0.7),1,0)</f>
        <v/>
      </c>
      <c r="J88" s="70">
        <f>IF(H88&gt;=($H$6*0.7),1,0)</f>
        <v/>
      </c>
      <c r="K88" s="70">
        <f>IF(H88&gt;=($H$6*0.9),1,0)</f>
        <v/>
      </c>
      <c r="L88" s="80" t="n">
        <v>13</v>
      </c>
      <c r="M88" s="70">
        <f>IF(L88&gt;=($L$6*0.7),1,0)</f>
        <v/>
      </c>
      <c r="N88" s="70">
        <f>IF(L88&gt;=($L$6*0.8),1,0)</f>
        <v/>
      </c>
      <c r="O88" s="70">
        <f>IF(L88&gt;=($L$6*0.9),1,0)</f>
        <v/>
      </c>
      <c r="P88" s="70" t="n"/>
      <c r="Q88" s="70" t="n"/>
      <c r="R88" s="80" t="n">
        <v>61</v>
      </c>
      <c r="S88" s="48" t="n"/>
      <c r="T88" s="48" t="n"/>
      <c r="U88" s="48" t="n"/>
      <c r="V88" s="48" t="n"/>
      <c r="W88" s="44" t="n"/>
      <c r="X88" s="44" t="n"/>
      <c r="Y88" s="48" t="n"/>
      <c r="Z88" s="46" t="n"/>
      <c r="AA88" s="46" t="n"/>
      <c r="AB88" s="46" t="n"/>
      <c r="AC88" s="46" t="n"/>
    </row>
    <row r="89" ht="19.5" customHeight="1" s="98">
      <c r="A89" s="69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80" t="n">
        <v>28</v>
      </c>
      <c r="E89" s="70">
        <f>IF(D89&gt;=($D$6*0.7),1,0)</f>
        <v/>
      </c>
      <c r="F89" s="70">
        <f>IF(D89&gt;=($D$6*0.8),1,0)</f>
        <v/>
      </c>
      <c r="G89" s="70">
        <f>IF(D89&gt;=($D$6*0.9),1,0)</f>
        <v/>
      </c>
      <c r="H89" s="80" t="n">
        <v>28</v>
      </c>
      <c r="I89" s="70">
        <f>IF(H89&gt;=($H$6*0.7),1,0)</f>
        <v/>
      </c>
      <c r="J89" s="70">
        <f>IF(H89&gt;=($H$6*0.7),1,0)</f>
        <v/>
      </c>
      <c r="K89" s="70">
        <f>IF(H89&gt;=($H$6*0.9),1,0)</f>
        <v/>
      </c>
      <c r="L89" s="80" t="n">
        <v>14</v>
      </c>
      <c r="M89" s="70">
        <f>IF(L89&gt;=($L$6*0.7),1,0)</f>
        <v/>
      </c>
      <c r="N89" s="70">
        <f>IF(L89&gt;=($L$6*0.8),1,0)</f>
        <v/>
      </c>
      <c r="O89" s="70">
        <f>IF(L89&gt;=($L$6*0.9),1,0)</f>
        <v/>
      </c>
      <c r="P89" s="63" t="n"/>
      <c r="Q89" s="63" t="n"/>
      <c r="R89" s="80" t="n">
        <v>70</v>
      </c>
      <c r="S89" s="48" t="n"/>
      <c r="T89" s="48" t="n"/>
      <c r="U89" s="48" t="n"/>
      <c r="V89" s="48" t="n"/>
      <c r="W89" s="44" t="n"/>
      <c r="X89" s="44" t="n"/>
      <c r="Y89" s="48" t="n"/>
      <c r="Z89" s="46" t="n"/>
      <c r="AA89" s="46" t="n"/>
      <c r="AB89" s="46" t="n"/>
      <c r="AC89" s="46" t="n"/>
    </row>
    <row r="90" ht="19.5" customHeight="1" s="98">
      <c r="A90" s="69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80" t="n">
        <v>27</v>
      </c>
      <c r="E90" s="70">
        <f>IF(D90&gt;=($D$6*0.7),1,0)</f>
        <v/>
      </c>
      <c r="F90" s="70">
        <f>IF(D90&gt;=($D$6*0.8),1,0)</f>
        <v/>
      </c>
      <c r="G90" s="70">
        <f>IF(D90&gt;=($D$6*0.9),1,0)</f>
        <v/>
      </c>
      <c r="H90" s="80" t="n">
        <v>27</v>
      </c>
      <c r="I90" s="70">
        <f>IF(H90&gt;=($H$6*0.7),1,0)</f>
        <v/>
      </c>
      <c r="J90" s="70">
        <f>IF(H90&gt;=($H$6*0.7),1,0)</f>
        <v/>
      </c>
      <c r="K90" s="70">
        <f>IF(H90&gt;=($H$6*0.9),1,0)</f>
        <v/>
      </c>
      <c r="L90" s="80" t="n">
        <v>14</v>
      </c>
      <c r="M90" s="70">
        <f>IF(L90&gt;=($L$6*0.7),1,0)</f>
        <v/>
      </c>
      <c r="N90" s="70">
        <f>IF(L90&gt;=($L$6*0.8),1,0)</f>
        <v/>
      </c>
      <c r="O90" s="70">
        <f>IF(L90&gt;=($L$6*0.9),1,0)</f>
        <v/>
      </c>
      <c r="P90" s="63" t="n"/>
      <c r="Q90" s="63" t="n"/>
      <c r="R90" s="80" t="n">
        <v>68</v>
      </c>
      <c r="S90" s="48" t="n"/>
      <c r="T90" s="48" t="n"/>
      <c r="U90" s="48" t="n"/>
      <c r="V90" s="48" t="n"/>
      <c r="W90" s="44" t="n"/>
      <c r="X90" s="44" t="n"/>
      <c r="Y90" s="48" t="n"/>
      <c r="Z90" s="46" t="n"/>
      <c r="AA90" s="46" t="n"/>
      <c r="AB90" s="46" t="n"/>
      <c r="AC90" s="46" t="n"/>
    </row>
    <row r="91" ht="19.5" customHeight="1" s="98">
      <c r="A91" s="69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80" t="n">
        <v>24</v>
      </c>
      <c r="E91" s="70">
        <f>IF(D91&gt;=($D$6*0.7),1,0)</f>
        <v/>
      </c>
      <c r="F91" s="70">
        <f>IF(D91&gt;=($D$6*0.8),1,0)</f>
        <v/>
      </c>
      <c r="G91" s="70">
        <f>IF(D91&gt;=($D$6*0.9),1,0)</f>
        <v/>
      </c>
      <c r="H91" s="80" t="n">
        <v>21</v>
      </c>
      <c r="I91" s="70">
        <f>IF(H91&gt;=($H$6*0.7),1,0)</f>
        <v/>
      </c>
      <c r="J91" s="70">
        <f>IF(H91&gt;=($H$6*0.7),1,0)</f>
        <v/>
      </c>
      <c r="K91" s="70">
        <f>IF(H91&gt;=($H$6*0.9),1,0)</f>
        <v/>
      </c>
      <c r="L91" s="80" t="n">
        <v>13</v>
      </c>
      <c r="M91" s="70">
        <f>IF(L91&gt;=($L$6*0.7),1,0)</f>
        <v/>
      </c>
      <c r="N91" s="70">
        <f>IF(L91&gt;=($L$6*0.8),1,0)</f>
        <v/>
      </c>
      <c r="O91" s="70">
        <f>IF(L91&gt;=($L$6*0.9),1,0)</f>
        <v/>
      </c>
      <c r="P91" s="63" t="n"/>
      <c r="Q91" s="63" t="n"/>
      <c r="R91" t="n">
        <v>58</v>
      </c>
      <c r="S91" s="48" t="n"/>
      <c r="T91" s="48" t="n"/>
      <c r="U91" s="48" t="n"/>
      <c r="V91" s="48" t="n"/>
      <c r="W91" s="44" t="n"/>
      <c r="X91" s="44" t="n"/>
      <c r="Y91" s="48" t="n"/>
      <c r="Z91" s="46" t="n"/>
      <c r="AA91" s="46" t="n"/>
      <c r="AB91" s="46" t="n"/>
      <c r="AC91" s="46" t="n"/>
    </row>
    <row r="92" ht="19.5" customHeight="1" s="98">
      <c r="A92" s="69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t="n">
        <v>22</v>
      </c>
      <c r="E92" s="70">
        <f>IF(D92&gt;=($D$6*0.7),1,0)</f>
        <v/>
      </c>
      <c r="F92" s="70">
        <f>IF(D92&gt;=($D$6*0.8),1,0)</f>
        <v/>
      </c>
      <c r="G92" s="70">
        <f>IF(D92&gt;=($D$6*0.9),1,0)</f>
        <v/>
      </c>
      <c r="H92" t="n">
        <v>22</v>
      </c>
      <c r="I92" s="70">
        <f>IF(H92&gt;=($H$6*0.7),1,0)</f>
        <v/>
      </c>
      <c r="J92" s="70">
        <f>IF(H92&gt;=($H$6*0.7),1,0)</f>
        <v/>
      </c>
      <c r="K92" s="70">
        <f>IF(H92&gt;=($H$6*0.9),1,0)</f>
        <v/>
      </c>
      <c r="L92" t="n">
        <v>13</v>
      </c>
      <c r="M92" s="70">
        <f>IF(L92&gt;=($L$6*0.7),1,0)</f>
        <v/>
      </c>
      <c r="N92" s="70">
        <f>IF(L92&gt;=($L$6*0.8),1,0)</f>
        <v/>
      </c>
      <c r="O92" s="70">
        <f>IF(L92&gt;=($L$6*0.9),1,0)</f>
        <v/>
      </c>
      <c r="P92" s="70" t="n"/>
      <c r="Q92" s="70" t="n"/>
      <c r="R92" s="80" t="n">
        <v>57</v>
      </c>
      <c r="S92" s="48" t="n"/>
      <c r="T92" s="48" t="n"/>
      <c r="U92" s="48" t="n"/>
      <c r="V92" s="48" t="n"/>
      <c r="W92" s="44" t="n"/>
      <c r="X92" s="44" t="n"/>
      <c r="Y92" s="48" t="n"/>
      <c r="Z92" s="46" t="n"/>
      <c r="AA92" s="46" t="n"/>
      <c r="AB92" s="46" t="n"/>
      <c r="AC92" s="46" t="n"/>
    </row>
    <row r="93" ht="19.5" customHeight="1" s="98">
      <c r="A93" s="69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80" t="n">
        <v>18</v>
      </c>
      <c r="E93" s="70">
        <f>IF(D93&gt;=($D$6*0.7),1,0)</f>
        <v/>
      </c>
      <c r="F93" s="70">
        <f>IF(D93&gt;=($D$6*0.8),1,0)</f>
        <v/>
      </c>
      <c r="G93" s="70">
        <f>IF(D93&gt;=($D$6*0.9),1,0)</f>
        <v/>
      </c>
      <c r="H93" s="80" t="n">
        <v>21</v>
      </c>
      <c r="I93" s="70">
        <f>IF(H93&gt;=($H$6*0.7),1,0)</f>
        <v/>
      </c>
      <c r="J93" s="70">
        <f>IF(H93&gt;=($H$6*0.7),1,0)</f>
        <v/>
      </c>
      <c r="K93" s="70">
        <f>IF(H93&gt;=($H$6*0.9),1,0)</f>
        <v/>
      </c>
      <c r="L93" s="80" t="n">
        <v>11</v>
      </c>
      <c r="M93" s="70">
        <f>IF(L93&gt;=($L$6*0.7),1,0)</f>
        <v/>
      </c>
      <c r="N93" s="70">
        <f>IF(L93&gt;=($L$6*0.8),1,0)</f>
        <v/>
      </c>
      <c r="O93" s="70">
        <f>IF(L93&gt;=($L$6*0.9),1,0)</f>
        <v/>
      </c>
      <c r="P93" s="70" t="n"/>
      <c r="Q93" s="70" t="n"/>
      <c r="R93" s="80" t="n">
        <v>50</v>
      </c>
      <c r="S93" s="48" t="n"/>
      <c r="T93" s="48" t="n"/>
      <c r="U93" s="48" t="n"/>
      <c r="V93" s="48" t="n"/>
      <c r="W93" s="44" t="n"/>
      <c r="X93" s="44" t="n"/>
      <c r="Y93" s="48" t="n"/>
      <c r="Z93" s="46" t="n"/>
      <c r="AA93" s="46" t="n"/>
      <c r="AB93" s="46" t="n"/>
      <c r="AC93" s="46" t="n"/>
    </row>
    <row r="94" ht="19.5" customHeight="1" s="98">
      <c r="A94" s="69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80" t="n">
        <v>27</v>
      </c>
      <c r="E94" s="70">
        <f>IF(D94&gt;=($D$6*0.7),1,0)</f>
        <v/>
      </c>
      <c r="F94" s="70">
        <f>IF(D94&gt;=($D$6*0.8),1,0)</f>
        <v/>
      </c>
      <c r="G94" s="70">
        <f>IF(D94&gt;=($D$6*0.9),1,0)</f>
        <v/>
      </c>
      <c r="H94" s="80" t="n">
        <v>25</v>
      </c>
      <c r="I94" s="70">
        <f>IF(H94&gt;=($H$6*0.7),1,0)</f>
        <v/>
      </c>
      <c r="J94" s="70">
        <f>IF(H94&gt;=($H$6*0.7),1,0)</f>
        <v/>
      </c>
      <c r="K94" s="70">
        <f>IF(H94&gt;=($H$6*0.9),1,0)</f>
        <v/>
      </c>
      <c r="L94" s="80" t="n">
        <v>14</v>
      </c>
      <c r="M94" s="70">
        <f>IF(L94&gt;=($L$6*0.7),1,0)</f>
        <v/>
      </c>
      <c r="N94" s="70">
        <f>IF(L94&gt;=($L$6*0.8),1,0)</f>
        <v/>
      </c>
      <c r="O94" s="70">
        <f>IF(L94&gt;=($L$6*0.9),1,0)</f>
        <v/>
      </c>
      <c r="P94" s="63" t="n"/>
      <c r="Q94" s="63" t="n"/>
      <c r="R94" s="80" t="n">
        <v>66</v>
      </c>
      <c r="S94" s="48" t="n"/>
      <c r="T94" s="48" t="n"/>
      <c r="U94" s="48" t="n"/>
      <c r="V94" s="48" t="n"/>
      <c r="W94" s="44" t="n"/>
      <c r="X94" s="44" t="n"/>
      <c r="Y94" s="48" t="n"/>
      <c r="Z94" s="46" t="n"/>
      <c r="AA94" s="46" t="n"/>
      <c r="AB94" s="46" t="n"/>
      <c r="AC94" s="46" t="n"/>
    </row>
    <row r="95" ht="19.5" customHeight="1" s="98">
      <c r="A95" s="69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t="n">
        <v>25</v>
      </c>
      <c r="E95" s="70">
        <f>IF(D95&gt;=($D$6*0.7),1,0)</f>
        <v/>
      </c>
      <c r="F95" s="70">
        <f>IF(D95&gt;=($D$6*0.8),1,0)</f>
        <v/>
      </c>
      <c r="G95" s="70">
        <f>IF(D95&gt;=($D$6*0.9),1,0)</f>
        <v/>
      </c>
      <c r="H95" t="n">
        <v>22</v>
      </c>
      <c r="I95" s="70">
        <f>IF(H95&gt;=($H$6*0.7),1,0)</f>
        <v/>
      </c>
      <c r="J95" s="70">
        <f>IF(H95&gt;=($H$6*0.7),1,0)</f>
        <v/>
      </c>
      <c r="K95" s="70">
        <f>IF(H95&gt;=($H$6*0.9),1,0)</f>
        <v/>
      </c>
      <c r="L95" t="n">
        <v>13</v>
      </c>
      <c r="M95" s="70">
        <f>IF(L95&gt;=($L$6*0.7),1,0)</f>
        <v/>
      </c>
      <c r="N95" s="70">
        <f>IF(L95&gt;=($L$6*0.8),1,0)</f>
        <v/>
      </c>
      <c r="O95" s="70">
        <f>IF(L95&gt;=($L$6*0.9),1,0)</f>
        <v/>
      </c>
      <c r="P95" s="70" t="n"/>
      <c r="Q95" s="70" t="n"/>
      <c r="R95" s="80" t="n">
        <v>60</v>
      </c>
      <c r="S95" s="48" t="n"/>
      <c r="T95" s="48" t="n"/>
      <c r="U95" s="48" t="n"/>
      <c r="V95" s="48" t="n"/>
      <c r="W95" s="44" t="n"/>
      <c r="X95" s="44" t="n"/>
      <c r="Y95" s="48" t="n"/>
      <c r="Z95" s="46" t="n"/>
      <c r="AA95" s="46" t="n"/>
      <c r="AB95" s="46" t="n"/>
      <c r="AC95" s="46" t="n"/>
    </row>
    <row r="96" ht="19.5" customHeight="1" s="98">
      <c r="A96" s="69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80" t="n">
        <v>24</v>
      </c>
      <c r="E96" s="70">
        <f>IF(D96&gt;=($D$6*0.7),1,0)</f>
        <v/>
      </c>
      <c r="F96" s="70">
        <f>IF(D96&gt;=($D$6*0.8),1,0)</f>
        <v/>
      </c>
      <c r="G96" s="70">
        <f>IF(D96&gt;=($D$6*0.9),1,0)</f>
        <v/>
      </c>
      <c r="H96" s="80" t="n">
        <v>21</v>
      </c>
      <c r="I96" s="70">
        <f>IF(H96&gt;=($H$6*0.7),1,0)</f>
        <v/>
      </c>
      <c r="J96" s="70">
        <f>IF(H96&gt;=($H$6*0.7),1,0)</f>
        <v/>
      </c>
      <c r="K96" s="70">
        <f>IF(H96&gt;=($H$6*0.9),1,0)</f>
        <v/>
      </c>
      <c r="L96" s="80" t="n">
        <v>13</v>
      </c>
      <c r="M96" s="70">
        <f>IF(L96&gt;=($L$6*0.7),1,0)</f>
        <v/>
      </c>
      <c r="N96" s="70">
        <f>IF(L96&gt;=($L$6*0.8),1,0)</f>
        <v/>
      </c>
      <c r="O96" s="70">
        <f>IF(L96&gt;=($L$6*0.9),1,0)</f>
        <v/>
      </c>
      <c r="P96" s="63" t="n"/>
      <c r="Q96" s="63" t="n"/>
      <c r="R96" s="80" t="n">
        <v>58</v>
      </c>
      <c r="S96" s="48" t="n"/>
      <c r="T96" s="48" t="n"/>
      <c r="U96" s="48" t="n"/>
      <c r="V96" s="48" t="n"/>
      <c r="W96" s="44" t="n"/>
      <c r="X96" s="44" t="n"/>
      <c r="Y96" s="48" t="n"/>
      <c r="Z96" s="46" t="n"/>
      <c r="AA96" s="46" t="n"/>
      <c r="AB96" s="46" t="n"/>
      <c r="AC96" s="46" t="n"/>
    </row>
    <row r="97" ht="19.5" customHeight="1" s="98">
      <c r="A97" s="69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80" t="n">
        <v>24</v>
      </c>
      <c r="E97" s="70">
        <f>IF(D97&gt;=($D$6*0.7),1,0)</f>
        <v/>
      </c>
      <c r="F97" s="70">
        <f>IF(D97&gt;=($D$6*0.8),1,0)</f>
        <v/>
      </c>
      <c r="G97" s="70">
        <f>IF(D97&gt;=($D$6*0.9),1,0)</f>
        <v/>
      </c>
      <c r="H97" s="80" t="n">
        <v>24</v>
      </c>
      <c r="I97" s="70">
        <f>IF(H97&gt;=($H$6*0.7),1,0)</f>
        <v/>
      </c>
      <c r="J97" s="70">
        <f>IF(H97&gt;=($H$6*0.7),1,0)</f>
        <v/>
      </c>
      <c r="K97" s="70">
        <f>IF(H97&gt;=($H$6*0.9),1,0)</f>
        <v/>
      </c>
      <c r="L97" s="80" t="n">
        <v>13</v>
      </c>
      <c r="M97" s="70">
        <f>IF(L97&gt;=($L$6*0.7),1,0)</f>
        <v/>
      </c>
      <c r="N97" s="70">
        <f>IF(L97&gt;=($L$6*0.8),1,0)</f>
        <v/>
      </c>
      <c r="O97" s="70">
        <f>IF(L97&gt;=($L$6*0.9),1,0)</f>
        <v/>
      </c>
      <c r="P97" s="63" t="n"/>
      <c r="Q97" s="63" t="n"/>
      <c r="R97" s="80" t="n">
        <v>61</v>
      </c>
      <c r="S97" s="48" t="n"/>
      <c r="T97" s="48" t="n"/>
      <c r="U97" s="48" t="n"/>
      <c r="V97" s="48" t="n"/>
      <c r="W97" s="44" t="n"/>
      <c r="X97" s="44" t="n"/>
      <c r="Y97" s="48" t="n"/>
      <c r="Z97" s="46" t="n"/>
      <c r="AA97" s="46" t="n"/>
      <c r="AB97" s="46" t="n"/>
      <c r="AC97" s="46" t="n"/>
    </row>
    <row r="98" ht="19.5" customHeight="1" s="98">
      <c r="A98" s="69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80" t="n">
        <v>28</v>
      </c>
      <c r="E98" s="70">
        <f>IF(D98&gt;=($D$6*0.7),1,0)</f>
        <v/>
      </c>
      <c r="F98" s="70">
        <f>IF(D98&gt;=($D$6*0.8),1,0)</f>
        <v/>
      </c>
      <c r="G98" s="70">
        <f>IF(D98&gt;=($D$6*0.9),1,0)</f>
        <v/>
      </c>
      <c r="H98" s="80" t="n">
        <v>28</v>
      </c>
      <c r="I98" s="70">
        <f>IF(H98&gt;=($H$6*0.7),1,0)</f>
        <v/>
      </c>
      <c r="J98" s="70">
        <f>IF(H98&gt;=($H$6*0.7),1,0)</f>
        <v/>
      </c>
      <c r="K98" s="70">
        <f>IF(H98&gt;=($H$6*0.9),1,0)</f>
        <v/>
      </c>
      <c r="L98" s="80" t="n">
        <v>14</v>
      </c>
      <c r="M98" s="70">
        <f>IF(L98&gt;=($L$6*0.7),1,0)</f>
        <v/>
      </c>
      <c r="N98" s="70">
        <f>IF(L98&gt;=($L$6*0.8),1,0)</f>
        <v/>
      </c>
      <c r="O98" s="70">
        <f>IF(L98&gt;=($L$6*0.9),1,0)</f>
        <v/>
      </c>
      <c r="P98" s="63" t="n"/>
      <c r="Q98" s="63" t="n"/>
      <c r="R98" t="n">
        <v>70</v>
      </c>
      <c r="S98" s="48" t="n"/>
      <c r="T98" s="48" t="n"/>
      <c r="U98" s="48" t="n"/>
      <c r="V98" s="48" t="n"/>
      <c r="W98" s="44" t="n"/>
      <c r="X98" s="44" t="n"/>
      <c r="Y98" s="48" t="n"/>
      <c r="Z98" s="46" t="n"/>
      <c r="AA98" s="46" t="n"/>
      <c r="AB98" s="46" t="n"/>
      <c r="AC98" s="46" t="n"/>
    </row>
    <row r="99" ht="19.5" customHeight="1" s="98">
      <c r="A99" s="69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80" t="n">
        <v>21</v>
      </c>
      <c r="E99" s="70">
        <f>IF(D99&gt;=($D$6*0.7),1,0)</f>
        <v/>
      </c>
      <c r="F99" s="70">
        <f>IF(D99&gt;=($D$6*0.8),1,0)</f>
        <v/>
      </c>
      <c r="G99" s="70">
        <f>IF(D99&gt;=($D$6*0.9),1,0)</f>
        <v/>
      </c>
      <c r="H99" s="80" t="n">
        <v>20</v>
      </c>
      <c r="I99" s="70">
        <f>IF(H99&gt;=($H$6*0.7),1,0)</f>
        <v/>
      </c>
      <c r="J99" s="70">
        <f>IF(H99&gt;=($H$6*0.7),1,0)</f>
        <v/>
      </c>
      <c r="K99" s="70">
        <f>IF(H99&gt;=($H$6*0.9),1,0)</f>
        <v/>
      </c>
      <c r="L99" s="80" t="n">
        <v>11</v>
      </c>
      <c r="M99" s="70">
        <f>IF(L99&gt;=($L$6*0.7),1,0)</f>
        <v/>
      </c>
      <c r="N99" s="70">
        <f>IF(L99&gt;=($L$6*0.8),1,0)</f>
        <v/>
      </c>
      <c r="O99" s="70">
        <f>IF(L99&gt;=($L$6*0.9),1,0)</f>
        <v/>
      </c>
      <c r="P99" s="63" t="n"/>
      <c r="Q99" s="63" t="n"/>
      <c r="R99" t="n">
        <v>52</v>
      </c>
      <c r="S99" s="48" t="n"/>
      <c r="T99" s="48" t="n"/>
      <c r="U99" s="48" t="n"/>
      <c r="V99" s="48" t="n"/>
      <c r="W99" s="44" t="n"/>
      <c r="X99" s="44" t="n"/>
      <c r="Y99" s="48" t="n"/>
      <c r="Z99" s="46" t="n"/>
      <c r="AA99" s="46" t="n"/>
      <c r="AB99" s="46" t="n"/>
      <c r="AC99" s="46" t="n"/>
    </row>
    <row r="100" ht="19.5" customHeight="1" s="98">
      <c r="A100" s="69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80" t="n">
        <v>25</v>
      </c>
      <c r="E100" s="70">
        <f>IF(D100&gt;=($D$6*0.7),1,0)</f>
        <v/>
      </c>
      <c r="F100" s="70">
        <f>IF(D100&gt;=($D$6*0.8),1,0)</f>
        <v/>
      </c>
      <c r="G100" s="70">
        <f>IF(D100&gt;=($D$6*0.9),1,0)</f>
        <v/>
      </c>
      <c r="H100" s="80" t="n">
        <v>25</v>
      </c>
      <c r="I100" s="70">
        <f>IF(H100&gt;=($H$6*0.7),1,0)</f>
        <v/>
      </c>
      <c r="J100" s="70">
        <f>IF(H100&gt;=($H$6*0.7),1,0)</f>
        <v/>
      </c>
      <c r="K100" s="70">
        <f>IF(H100&gt;=($H$6*0.9),1,0)</f>
        <v/>
      </c>
      <c r="L100" s="80" t="n">
        <v>13</v>
      </c>
      <c r="M100" s="70">
        <f>IF(L100&gt;=($L$6*0.7),1,0)</f>
        <v/>
      </c>
      <c r="N100" s="70">
        <f>IF(L100&gt;=($L$6*0.8),1,0)</f>
        <v/>
      </c>
      <c r="O100" s="70">
        <f>IF(L100&gt;=($L$6*0.9),1,0)</f>
        <v/>
      </c>
      <c r="P100" s="70" t="n"/>
      <c r="Q100" s="70" t="n"/>
      <c r="R100" t="n">
        <v>63</v>
      </c>
      <c r="S100" s="48" t="n"/>
      <c r="T100" s="48" t="n"/>
      <c r="U100" s="48" t="n"/>
      <c r="V100" s="48" t="n"/>
      <c r="W100" s="44" t="n"/>
      <c r="X100" s="44" t="n"/>
      <c r="Y100" s="48" t="n"/>
      <c r="Z100" s="46" t="n"/>
      <c r="AA100" s="46" t="n"/>
      <c r="AB100" s="46" t="n"/>
      <c r="AC100" s="46" t="n"/>
    </row>
    <row r="101" ht="19.5" customHeight="1" s="98">
      <c r="A101" s="69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t="n">
        <v>28</v>
      </c>
      <c r="E101" s="70">
        <f>IF(D101&gt;=($D$6*0.7),1,0)</f>
        <v/>
      </c>
      <c r="F101" s="70">
        <f>IF(D101&gt;=($D$6*0.8),1,0)</f>
        <v/>
      </c>
      <c r="G101" s="70">
        <f>IF(D101&gt;=($D$6*0.9),1,0)</f>
        <v/>
      </c>
      <c r="H101" t="n">
        <v>28</v>
      </c>
      <c r="I101" s="70">
        <f>IF(H101&gt;=($H$6*0.7),1,0)</f>
        <v/>
      </c>
      <c r="J101" s="70">
        <f>IF(H101&gt;=($H$6*0.7),1,0)</f>
        <v/>
      </c>
      <c r="K101" s="70">
        <f>IF(H101&gt;=($H$6*0.9),1,0)</f>
        <v/>
      </c>
      <c r="L101" t="n">
        <v>14</v>
      </c>
      <c r="M101" s="70">
        <f>IF(L101&gt;=($L$6*0.7),1,0)</f>
        <v/>
      </c>
      <c r="N101" s="70">
        <f>IF(L101&gt;=($L$6*0.8),1,0)</f>
        <v/>
      </c>
      <c r="O101" s="70">
        <f>IF(L101&gt;=($L$6*0.9),1,0)</f>
        <v/>
      </c>
      <c r="P101" s="63" t="n"/>
      <c r="Q101" s="63" t="n"/>
      <c r="R101" t="n">
        <v>70</v>
      </c>
      <c r="S101" s="48" t="n"/>
      <c r="T101" s="48" t="n"/>
      <c r="U101" s="48" t="n"/>
      <c r="V101" s="48" t="n"/>
      <c r="W101" s="44" t="n"/>
      <c r="X101" s="44" t="n"/>
      <c r="Y101" s="48" t="n"/>
      <c r="Z101" s="46" t="n"/>
      <c r="AA101" s="46" t="n"/>
      <c r="AB101" s="46" t="n"/>
      <c r="AC101" s="46" t="n"/>
    </row>
    <row r="102" ht="19.5" customHeight="1" s="98">
      <c r="A102" s="69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80" t="n">
        <v>25</v>
      </c>
      <c r="E102" s="70">
        <f>IF(D102&gt;=($D$6*0.7),1,0)</f>
        <v/>
      </c>
      <c r="F102" s="70">
        <f>IF(D102&gt;=($D$6*0.8),1,0)</f>
        <v/>
      </c>
      <c r="G102" s="70">
        <f>IF(D102&gt;=($D$6*0.9),1,0)</f>
        <v/>
      </c>
      <c r="H102" s="80" t="n">
        <v>26</v>
      </c>
      <c r="I102" s="70">
        <f>IF(H102&gt;=($H$6*0.7),1,0)</f>
        <v/>
      </c>
      <c r="J102" s="70">
        <f>IF(H102&gt;=($H$6*0.7),1,0)</f>
        <v/>
      </c>
      <c r="K102" s="70">
        <f>IF(H102&gt;=($H$6*0.9),1,0)</f>
        <v/>
      </c>
      <c r="L102" s="80" t="n">
        <v>14</v>
      </c>
      <c r="M102" s="70">
        <f>IF(L102&gt;=($L$6*0.7),1,0)</f>
        <v/>
      </c>
      <c r="N102" s="70">
        <f>IF(L102&gt;=($L$6*0.8),1,0)</f>
        <v/>
      </c>
      <c r="O102" s="70">
        <f>IF(L102&gt;=($L$6*0.9),1,0)</f>
        <v/>
      </c>
      <c r="P102" s="63" t="n"/>
      <c r="Q102" s="63" t="n"/>
      <c r="R102" t="n">
        <v>65</v>
      </c>
      <c r="S102" s="48" t="n"/>
      <c r="T102" s="48" t="n"/>
      <c r="U102" s="48" t="n"/>
      <c r="V102" s="48" t="n"/>
      <c r="W102" s="44" t="n"/>
      <c r="X102" s="44" t="n"/>
      <c r="Y102" s="48" t="n"/>
      <c r="Z102" s="46" t="n"/>
      <c r="AA102" s="46" t="n"/>
      <c r="AB102" s="46" t="n"/>
      <c r="AC102" s="46" t="n"/>
    </row>
    <row r="103" ht="19.5" customHeight="1" s="98">
      <c r="A103" s="69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80" t="n">
        <v>19</v>
      </c>
      <c r="E103" s="70">
        <f>IF(D103&gt;=($D$6*0.7),1,0)</f>
        <v/>
      </c>
      <c r="F103" s="70">
        <f>IF(D103&gt;=($D$6*0.8),1,0)</f>
        <v/>
      </c>
      <c r="G103" s="70">
        <f>IF(D103&gt;=($D$6*0.9),1,0)</f>
        <v/>
      </c>
      <c r="H103" s="80" t="n">
        <v>21</v>
      </c>
      <c r="I103" s="70">
        <f>IF(H103&gt;=($H$6*0.7),1,0)</f>
        <v/>
      </c>
      <c r="J103" s="70">
        <f>IF(H103&gt;=($H$6*0.7),1,0)</f>
        <v/>
      </c>
      <c r="K103" s="70">
        <f>IF(H103&gt;=($H$6*0.9),1,0)</f>
        <v/>
      </c>
      <c r="L103" s="80" t="n">
        <v>11</v>
      </c>
      <c r="M103" s="70">
        <f>IF(L103&gt;=($L$6*0.7),1,0)</f>
        <v/>
      </c>
      <c r="N103" s="70">
        <f>IF(L103&gt;=($L$6*0.8),1,0)</f>
        <v/>
      </c>
      <c r="O103" s="70">
        <f>IF(L103&gt;=($L$6*0.9),1,0)</f>
        <v/>
      </c>
      <c r="P103" s="63" t="n"/>
      <c r="Q103" s="63" t="n"/>
      <c r="R103" t="n">
        <v>51</v>
      </c>
      <c r="S103" s="48" t="n"/>
      <c r="T103" s="48" t="n"/>
      <c r="U103" s="48" t="n"/>
      <c r="V103" s="48" t="n"/>
      <c r="W103" s="44" t="n"/>
      <c r="X103" s="44" t="n"/>
      <c r="Y103" s="48" t="n"/>
      <c r="Z103" s="46" t="n"/>
      <c r="AA103" s="46" t="n"/>
      <c r="AB103" s="46" t="n"/>
      <c r="AC103" s="46" t="n"/>
    </row>
    <row r="104" ht="19.5" customHeight="1" s="98">
      <c r="A104" s="69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t="n">
        <v>23</v>
      </c>
      <c r="E104" s="70">
        <f>IF(D104&gt;=($D$6*0.7),1,0)</f>
        <v/>
      </c>
      <c r="F104" s="70">
        <f>IF(D104&gt;=($D$6*0.8),1,0)</f>
        <v/>
      </c>
      <c r="G104" s="70">
        <f>IF(D104&gt;=($D$6*0.9),1,0)</f>
        <v/>
      </c>
      <c r="H104" t="n">
        <v>21</v>
      </c>
      <c r="I104" s="70">
        <f>IF(H104&gt;=($H$6*0.7),1,0)</f>
        <v/>
      </c>
      <c r="J104" s="70">
        <f>IF(H104&gt;=($H$6*0.7),1,0)</f>
        <v/>
      </c>
      <c r="K104" s="70">
        <f>IF(H104&gt;=($H$6*0.9),1,0)</f>
        <v/>
      </c>
      <c r="L104" t="n">
        <v>13</v>
      </c>
      <c r="M104" s="70">
        <f>IF(L104&gt;=($L$6*0.7),1,0)</f>
        <v/>
      </c>
      <c r="N104" s="70">
        <f>IF(L104&gt;=($L$6*0.8),1,0)</f>
        <v/>
      </c>
      <c r="O104" s="70">
        <f>IF(L104&gt;=($L$6*0.9),1,0)</f>
        <v/>
      </c>
      <c r="P104" s="63" t="n"/>
      <c r="Q104" s="63" t="n"/>
      <c r="R104" s="80" t="n">
        <v>57</v>
      </c>
      <c r="S104" s="48" t="n"/>
      <c r="T104" s="48" t="n"/>
      <c r="U104" s="48" t="n"/>
      <c r="V104" s="48" t="n"/>
      <c r="W104" s="44" t="n"/>
      <c r="X104" s="44" t="n"/>
      <c r="Y104" s="48" t="n"/>
      <c r="Z104" s="46" t="n"/>
      <c r="AA104" s="46" t="n"/>
      <c r="AB104" s="46" t="n"/>
      <c r="AC104" s="46" t="n"/>
    </row>
    <row r="105" ht="19.5" customHeight="1" s="98">
      <c r="A105" s="69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t="n">
        <v>28</v>
      </c>
      <c r="E105" s="70">
        <f>IF(D105&gt;=($D$6*0.7),1,0)</f>
        <v/>
      </c>
      <c r="F105" s="70">
        <f>IF(D105&gt;=($D$6*0.8),1,0)</f>
        <v/>
      </c>
      <c r="G105" s="70">
        <f>IF(D105&gt;=($D$6*0.9),1,0)</f>
        <v/>
      </c>
      <c r="H105" t="n">
        <v>28</v>
      </c>
      <c r="I105" s="70">
        <f>IF(H105&gt;=($H$6*0.7),1,0)</f>
        <v/>
      </c>
      <c r="J105" s="70">
        <f>IF(H105&gt;=($H$6*0.7),1,0)</f>
        <v/>
      </c>
      <c r="K105" s="70">
        <f>IF(H105&gt;=($H$6*0.9),1,0)</f>
        <v/>
      </c>
      <c r="L105" t="n">
        <v>14</v>
      </c>
      <c r="M105" s="70">
        <f>IF(L105&gt;=($L$6*0.7),1,0)</f>
        <v/>
      </c>
      <c r="N105" s="70">
        <f>IF(L105&gt;=($L$6*0.8),1,0)</f>
        <v/>
      </c>
      <c r="O105" s="70">
        <f>IF(L105&gt;=($L$6*0.9),1,0)</f>
        <v/>
      </c>
      <c r="P105" s="63" t="n"/>
      <c r="Q105" s="63" t="n"/>
      <c r="R105" t="n">
        <v>70</v>
      </c>
      <c r="S105" s="48" t="n"/>
      <c r="T105" s="48" t="n"/>
      <c r="U105" s="48" t="n"/>
      <c r="V105" s="48" t="n"/>
      <c r="W105" s="44" t="n"/>
      <c r="X105" s="44" t="n"/>
      <c r="Y105" s="48" t="n"/>
      <c r="Z105" s="46" t="n"/>
      <c r="AA105" s="46" t="n"/>
      <c r="AB105" s="46" t="n"/>
      <c r="AC105" s="46" t="n"/>
    </row>
    <row r="106" ht="19.5" customHeight="1" s="98">
      <c r="A106" s="69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80" t="n">
        <v>26</v>
      </c>
      <c r="E106" s="70">
        <f>IF(D106&gt;=($D$6*0.7),1,0)</f>
        <v/>
      </c>
      <c r="F106" s="70">
        <f>IF(D106&gt;=($D$6*0.8),1,0)</f>
        <v/>
      </c>
      <c r="G106" s="70">
        <f>IF(D106&gt;=($D$6*0.9),1,0)</f>
        <v/>
      </c>
      <c r="H106" s="80" t="n">
        <v>26</v>
      </c>
      <c r="I106" s="70">
        <f>IF(H106&gt;=($H$6*0.7),1,0)</f>
        <v/>
      </c>
      <c r="J106" s="70">
        <f>IF(H106&gt;=($H$6*0.7),1,0)</f>
        <v/>
      </c>
      <c r="K106" s="70">
        <f>IF(H106&gt;=($H$6*0.9),1,0)</f>
        <v/>
      </c>
      <c r="L106" s="80" t="n">
        <v>14</v>
      </c>
      <c r="M106" s="70">
        <f>IF(L106&gt;=($L$6*0.7),1,0)</f>
        <v/>
      </c>
      <c r="N106" s="70">
        <f>IF(L106&gt;=($L$6*0.8),1,0)</f>
        <v/>
      </c>
      <c r="O106" s="70">
        <f>IF(L106&gt;=($L$6*0.9),1,0)</f>
        <v/>
      </c>
      <c r="P106" s="70" t="n"/>
      <c r="Q106" s="70" t="n"/>
      <c r="R106" s="80" t="n">
        <v>66</v>
      </c>
      <c r="S106" s="48" t="n"/>
      <c r="T106" s="48" t="n"/>
      <c r="U106" s="48" t="n"/>
      <c r="V106" s="48" t="n"/>
      <c r="W106" s="44" t="n"/>
      <c r="X106" s="44" t="n"/>
      <c r="Y106" s="48" t="n"/>
      <c r="Z106" s="46" t="n"/>
      <c r="AA106" s="46" t="n"/>
      <c r="AB106" s="46" t="n"/>
      <c r="AC106" s="46" t="n"/>
    </row>
    <row r="107" ht="19.5" customHeight="1" s="98">
      <c r="A107" s="69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t="n">
        <v>23</v>
      </c>
      <c r="E107" s="70">
        <f>IF(D107&gt;=($D$6*0.7),1,0)</f>
        <v/>
      </c>
      <c r="F107" s="70">
        <f>IF(D107&gt;=($D$6*0.8),1,0)</f>
        <v/>
      </c>
      <c r="G107" s="70">
        <f>IF(D107&gt;=($D$6*0.9),1,0)</f>
        <v/>
      </c>
      <c r="H107" t="n">
        <v>24</v>
      </c>
      <c r="I107" s="70">
        <f>IF(H107&gt;=($H$6*0.7),1,0)</f>
        <v/>
      </c>
      <c r="J107" s="70">
        <f>IF(H107&gt;=($H$6*0.7),1,0)</f>
        <v/>
      </c>
      <c r="K107" s="70">
        <f>IF(H107&gt;=($H$6*0.9),1,0)</f>
        <v/>
      </c>
      <c r="L107" t="n">
        <v>13</v>
      </c>
      <c r="M107" s="70">
        <f>IF(L107&gt;=($L$6*0.7),1,0)</f>
        <v/>
      </c>
      <c r="N107" s="70">
        <f>IF(L107&gt;=($L$6*0.8),1,0)</f>
        <v/>
      </c>
      <c r="O107" s="70">
        <f>IF(L107&gt;=($L$6*0.9),1,0)</f>
        <v/>
      </c>
      <c r="P107" s="70" t="n"/>
      <c r="Q107" s="70" t="n"/>
      <c r="R107" t="n">
        <v>60</v>
      </c>
      <c r="S107" s="48" t="n"/>
      <c r="T107" s="48" t="n"/>
      <c r="U107" s="48" t="n"/>
      <c r="V107" s="48" t="n"/>
      <c r="W107" s="44" t="n"/>
      <c r="X107" s="44" t="n"/>
      <c r="Y107" s="48" t="n"/>
      <c r="Z107" s="46" t="n"/>
      <c r="AA107" s="46" t="n"/>
      <c r="AB107" s="46" t="n"/>
      <c r="AC107" s="46" t="n"/>
    </row>
    <row r="108" ht="19.5" customHeight="1" s="98">
      <c r="A108" s="69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80" t="n">
        <v>26</v>
      </c>
      <c r="E108" s="70">
        <f>IF(D108&gt;=($D$6*0.7),1,0)</f>
        <v/>
      </c>
      <c r="F108" s="70">
        <f>IF(D108&gt;=($D$6*0.8),1,0)</f>
        <v/>
      </c>
      <c r="G108" s="70">
        <f>IF(D108&gt;=($D$6*0.9),1,0)</f>
        <v/>
      </c>
      <c r="H108" s="80" t="n">
        <v>28</v>
      </c>
      <c r="I108" s="70">
        <f>IF(H108&gt;=($H$6*0.7),1,0)</f>
        <v/>
      </c>
      <c r="J108" s="70">
        <f>IF(H108&gt;=($H$6*0.7),1,0)</f>
        <v/>
      </c>
      <c r="K108" s="70">
        <f>IF(H108&gt;=($H$6*0.9),1,0)</f>
        <v/>
      </c>
      <c r="L108" s="80" t="n">
        <v>14</v>
      </c>
      <c r="M108" s="70">
        <f>IF(L108&gt;=($L$6*0.7),1,0)</f>
        <v/>
      </c>
      <c r="N108" s="70">
        <f>IF(L108&gt;=($L$6*0.8),1,0)</f>
        <v/>
      </c>
      <c r="O108" s="70">
        <f>IF(L108&gt;=($L$6*0.9),1,0)</f>
        <v/>
      </c>
      <c r="P108" s="70" t="n"/>
      <c r="Q108" s="70" t="n"/>
      <c r="R108" s="80" t="n">
        <v>68</v>
      </c>
      <c r="S108" s="48" t="n"/>
      <c r="T108" s="48" t="n"/>
      <c r="U108" s="48" t="n"/>
      <c r="V108" s="48" t="n"/>
      <c r="W108" s="44" t="n"/>
      <c r="X108" s="44" t="n"/>
      <c r="Y108" s="48" t="n"/>
      <c r="Z108" s="46" t="n"/>
      <c r="AA108" s="46" t="n"/>
      <c r="AB108" s="46" t="n"/>
      <c r="AC108" s="46" t="n"/>
    </row>
    <row r="109" ht="19.5" customHeight="1" s="98">
      <c r="A109" s="69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t="n">
        <v>25</v>
      </c>
      <c r="E109" s="70">
        <f>IF(D109&gt;=($D$6*0.7),1,0)</f>
        <v/>
      </c>
      <c r="F109" s="70">
        <f>IF(D109&gt;=($D$6*0.8),1,0)</f>
        <v/>
      </c>
      <c r="G109" s="70">
        <f>IF(D109&gt;=($D$6*0.9),1,0)</f>
        <v/>
      </c>
      <c r="H109" t="n">
        <v>23</v>
      </c>
      <c r="I109" s="70">
        <f>IF(H109&gt;=($H$6*0.7),1,0)</f>
        <v/>
      </c>
      <c r="J109" s="70">
        <f>IF(H109&gt;=($H$6*0.7),1,0)</f>
        <v/>
      </c>
      <c r="K109" s="70">
        <f>IF(H109&gt;=($H$6*0.9),1,0)</f>
        <v/>
      </c>
      <c r="L109" t="n">
        <v>13</v>
      </c>
      <c r="M109" s="70">
        <f>IF(L109&gt;=($L$6*0.7),1,0)</f>
        <v/>
      </c>
      <c r="N109" s="70">
        <f>IF(L109&gt;=($L$6*0.8),1,0)</f>
        <v/>
      </c>
      <c r="O109" s="70">
        <f>IF(L109&gt;=($L$6*0.9),1,0)</f>
        <v/>
      </c>
      <c r="P109" s="70" t="n"/>
      <c r="Q109" s="70" t="n"/>
      <c r="R109" t="n">
        <v>61</v>
      </c>
      <c r="S109" s="48" t="n"/>
      <c r="T109" s="48" t="n"/>
      <c r="U109" s="48" t="n"/>
      <c r="V109" s="48" t="n"/>
      <c r="W109" s="44" t="n"/>
      <c r="X109" s="44" t="n"/>
      <c r="Y109" s="48" t="n"/>
      <c r="Z109" s="46" t="n"/>
      <c r="AA109" s="46" t="n"/>
      <c r="AB109" s="46" t="n"/>
      <c r="AC109" s="46" t="n"/>
    </row>
    <row r="110" ht="19.5" customHeight="1" s="98">
      <c r="A110" s="69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80" t="n">
        <v>28</v>
      </c>
      <c r="E110" s="70">
        <f>IF(D110&gt;=($D$6*0.7),1,0)</f>
        <v/>
      </c>
      <c r="F110" s="70">
        <f>IF(D110&gt;=($D$6*0.8),1,0)</f>
        <v/>
      </c>
      <c r="G110" s="70">
        <f>IF(D110&gt;=($D$6*0.9),1,0)</f>
        <v/>
      </c>
      <c r="H110" s="80" t="n">
        <v>28</v>
      </c>
      <c r="I110" s="70">
        <f>IF(H110&gt;=($H$6*0.7),1,0)</f>
        <v/>
      </c>
      <c r="J110" s="70">
        <f>IF(H110&gt;=($H$6*0.7),1,0)</f>
        <v/>
      </c>
      <c r="K110" s="70">
        <f>IF(H110&gt;=($H$6*0.9),1,0)</f>
        <v/>
      </c>
      <c r="L110" s="80" t="n">
        <v>14</v>
      </c>
      <c r="M110" s="70">
        <f>IF(L110&gt;=($L$6*0.7),1,0)</f>
        <v/>
      </c>
      <c r="N110" s="70">
        <f>IF(L110&gt;=($L$6*0.8),1,0)</f>
        <v/>
      </c>
      <c r="O110" s="70">
        <f>IF(L110&gt;=($L$6*0.9),1,0)</f>
        <v/>
      </c>
      <c r="P110" s="70" t="n"/>
      <c r="Q110" s="70" t="n"/>
      <c r="R110" s="80" t="n">
        <v>70</v>
      </c>
      <c r="S110" s="48" t="n"/>
      <c r="T110" s="48" t="n"/>
      <c r="U110" s="48" t="n"/>
      <c r="V110" s="48" t="n"/>
      <c r="W110" s="44" t="n"/>
      <c r="X110" s="44" t="n"/>
      <c r="Y110" s="48" t="n"/>
      <c r="Z110" s="46" t="n"/>
      <c r="AA110" s="46" t="n"/>
      <c r="AB110" s="46" t="n"/>
      <c r="AC110" s="46" t="n"/>
    </row>
    <row r="111" ht="19.5" customHeight="1" s="98">
      <c r="A111" s="69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80" t="n">
        <v>20</v>
      </c>
      <c r="E111" s="70">
        <f>IF(D111&gt;=($D$6*0.7),1,0)</f>
        <v/>
      </c>
      <c r="F111" s="70">
        <f>IF(D111&gt;=($D$6*0.8),1,0)</f>
        <v/>
      </c>
      <c r="G111" s="70">
        <f>IF(D111&gt;=($D$6*0.9),1,0)</f>
        <v/>
      </c>
      <c r="H111" s="80" t="n">
        <v>17</v>
      </c>
      <c r="I111" s="70">
        <f>IF(H111&gt;=($H$6*0.7),1,0)</f>
        <v/>
      </c>
      <c r="J111" s="70">
        <f>IF(H111&gt;=($H$6*0.7),1,0)</f>
        <v/>
      </c>
      <c r="K111" s="70">
        <f>IF(H111&gt;=($H$6*0.9),1,0)</f>
        <v/>
      </c>
      <c r="L111" s="80" t="n">
        <v>11</v>
      </c>
      <c r="M111" s="70">
        <f>IF(L111&gt;=($L$6*0.7),1,0)</f>
        <v/>
      </c>
      <c r="N111" s="70">
        <f>IF(L111&gt;=($L$6*0.8),1,0)</f>
        <v/>
      </c>
      <c r="O111" s="70">
        <f>IF(L111&gt;=($L$6*0.9),1,0)</f>
        <v/>
      </c>
      <c r="P111" s="63" t="n"/>
      <c r="Q111" s="63" t="n"/>
      <c r="R111" s="80" t="n">
        <v>48</v>
      </c>
      <c r="S111" s="48" t="n"/>
      <c r="T111" s="48" t="n"/>
      <c r="U111" s="48" t="n"/>
      <c r="V111" s="48" t="n"/>
      <c r="W111" s="44" t="n"/>
      <c r="X111" s="44" t="n"/>
      <c r="Y111" s="48" t="n"/>
      <c r="Z111" s="46" t="n"/>
      <c r="AA111" s="46" t="n"/>
      <c r="AB111" s="46" t="n"/>
      <c r="AC111" s="46" t="n"/>
    </row>
    <row r="112" ht="19.5" customHeight="1" s="98">
      <c r="A112" s="69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t="n">
        <v>18</v>
      </c>
      <c r="E112" s="70">
        <f>IF(D112&gt;=($D$6*0.7),1,0)</f>
        <v/>
      </c>
      <c r="F112" s="70">
        <f>IF(D112&gt;=($D$6*0.8),1,0)</f>
        <v/>
      </c>
      <c r="G112" s="70">
        <f>IF(D112&gt;=($D$6*0.9),1,0)</f>
        <v/>
      </c>
      <c r="H112" t="n">
        <v>18</v>
      </c>
      <c r="I112" s="70">
        <f>IF(H112&gt;=($H$6*0.7),1,0)</f>
        <v/>
      </c>
      <c r="J112" s="70">
        <f>IF(H112&gt;=($H$6*0.7),1,0)</f>
        <v/>
      </c>
      <c r="K112" s="70">
        <f>IF(H112&gt;=($H$6*0.9),1,0)</f>
        <v/>
      </c>
      <c r="L112" t="n">
        <v>11</v>
      </c>
      <c r="M112" s="70">
        <f>IF(L112&gt;=($L$6*0.7),1,0)</f>
        <v/>
      </c>
      <c r="N112" s="70">
        <f>IF(L112&gt;=($L$6*0.8),1,0)</f>
        <v/>
      </c>
      <c r="O112" s="70">
        <f>IF(L112&gt;=($L$6*0.9),1,0)</f>
        <v/>
      </c>
      <c r="P112" s="63" t="n"/>
      <c r="Q112" s="63" t="n"/>
      <c r="R112" s="80" t="n">
        <v>47</v>
      </c>
      <c r="S112" s="48" t="n"/>
      <c r="T112" s="48" t="n"/>
      <c r="U112" s="48" t="n"/>
      <c r="V112" s="48" t="n"/>
      <c r="W112" s="44" t="n"/>
      <c r="X112" s="44" t="n"/>
      <c r="Y112" s="48" t="n"/>
      <c r="Z112" s="46" t="n"/>
      <c r="AA112" s="46" t="n"/>
      <c r="AB112" s="46" t="n"/>
      <c r="AC112" s="46" t="n"/>
    </row>
    <row r="113" ht="19.5" customHeight="1" s="98">
      <c r="A113" s="69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80" t="n">
        <v>24</v>
      </c>
      <c r="E113" s="70">
        <f>IF(D113&gt;=($D$6*0.7),1,0)</f>
        <v/>
      </c>
      <c r="F113" s="70">
        <f>IF(D113&gt;=($D$6*0.8),1,0)</f>
        <v/>
      </c>
      <c r="G113" s="70">
        <f>IF(D113&gt;=($D$6*0.9),1,0)</f>
        <v/>
      </c>
      <c r="H113" s="80" t="n">
        <v>27</v>
      </c>
      <c r="I113" s="70">
        <f>IF(H113&gt;=($H$6*0.7),1,0)</f>
        <v/>
      </c>
      <c r="J113" s="70">
        <f>IF(H113&gt;=($H$6*0.7),1,0)</f>
        <v/>
      </c>
      <c r="K113" s="70">
        <f>IF(H113&gt;=($H$6*0.9),1,0)</f>
        <v/>
      </c>
      <c r="L113" s="80" t="n">
        <v>14</v>
      </c>
      <c r="M113" s="70">
        <f>IF(L113&gt;=($L$6*0.7),1,0)</f>
        <v/>
      </c>
      <c r="N113" s="70">
        <f>IF(L113&gt;=($L$6*0.8),1,0)</f>
        <v/>
      </c>
      <c r="O113" s="70">
        <f>IF(L113&gt;=($L$6*0.9),1,0)</f>
        <v/>
      </c>
      <c r="P113" s="63" t="n"/>
      <c r="Q113" s="63" t="n"/>
      <c r="R113" t="n">
        <v>65</v>
      </c>
      <c r="S113" s="48" t="n"/>
      <c r="T113" s="48" t="n"/>
      <c r="U113" s="48" t="n"/>
      <c r="V113" s="48" t="n"/>
      <c r="W113" s="44" t="n"/>
      <c r="X113" s="44" t="n"/>
      <c r="Y113" s="48" t="n"/>
      <c r="Z113" s="46" t="n"/>
      <c r="AA113" s="46" t="n"/>
      <c r="AB113" s="46" t="n"/>
      <c r="AC113" s="46" t="n"/>
    </row>
    <row r="114" ht="19.5" customHeight="1" s="98">
      <c r="A114" s="69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80" t="n">
        <v>26</v>
      </c>
      <c r="E114" s="70">
        <f>IF(D114&gt;=($D$6*0.7),1,0)</f>
        <v/>
      </c>
      <c r="F114" s="70">
        <f>IF(D114&gt;=($D$6*0.8),1,0)</f>
        <v/>
      </c>
      <c r="G114" s="70">
        <f>IF(D114&gt;=($D$6*0.9),1,0)</f>
        <v/>
      </c>
      <c r="H114" s="80" t="n">
        <v>25</v>
      </c>
      <c r="I114" s="70">
        <f>IF(H114&gt;=($H$6*0.7),1,0)</f>
        <v/>
      </c>
      <c r="J114" s="70">
        <f>IF(H114&gt;=($H$6*0.7),1,0)</f>
        <v/>
      </c>
      <c r="K114" s="70">
        <f>IF(H114&gt;=($H$6*0.9),1,0)</f>
        <v/>
      </c>
      <c r="L114" s="80" t="n">
        <v>14</v>
      </c>
      <c r="M114" s="70">
        <f>IF(L114&gt;=($L$6*0.7),1,0)</f>
        <v/>
      </c>
      <c r="N114" s="70">
        <f>IF(L114&gt;=($L$6*0.8),1,0)</f>
        <v/>
      </c>
      <c r="O114" s="70">
        <f>IF(L114&gt;=($L$6*0.9),1,0)</f>
        <v/>
      </c>
      <c r="P114" s="63" t="n"/>
      <c r="Q114" s="63" t="n"/>
      <c r="R114" s="80" t="n">
        <v>65</v>
      </c>
      <c r="S114" s="48" t="n"/>
      <c r="T114" s="48" t="n"/>
      <c r="U114" s="48" t="n"/>
      <c r="V114" s="48" t="n"/>
      <c r="W114" s="44" t="n"/>
      <c r="X114" s="44" t="n"/>
      <c r="Y114" s="48" t="n"/>
      <c r="Z114" s="46" t="n"/>
      <c r="AA114" s="46" t="n"/>
      <c r="AB114" s="46" t="n"/>
      <c r="AC114" s="46" t="n"/>
    </row>
    <row r="115" ht="19.5" customHeight="1" s="98">
      <c r="A115" s="69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80" t="n">
        <v>23</v>
      </c>
      <c r="E115" s="70">
        <f>IF(D115&gt;=($D$6*0.7),1,0)</f>
        <v/>
      </c>
      <c r="F115" s="70">
        <f>IF(D115&gt;=($D$6*0.8),1,0)</f>
        <v/>
      </c>
      <c r="G115" s="70">
        <f>IF(D115&gt;=($D$6*0.9),1,0)</f>
        <v/>
      </c>
      <c r="H115" s="80" t="n">
        <v>20</v>
      </c>
      <c r="I115" s="70">
        <f>IF(H115&gt;=($H$6*0.7),1,0)</f>
        <v/>
      </c>
      <c r="J115" s="70">
        <f>IF(H115&gt;=($H$6*0.7),1,0)</f>
        <v/>
      </c>
      <c r="K115" s="70">
        <f>IF(H115&gt;=($H$6*0.9),1,0)</f>
        <v/>
      </c>
      <c r="L115" s="80" t="n">
        <v>13</v>
      </c>
      <c r="M115" s="70">
        <f>IF(L115&gt;=($L$6*0.7),1,0)</f>
        <v/>
      </c>
      <c r="N115" s="70">
        <f>IF(L115&gt;=($L$6*0.8),1,0)</f>
        <v/>
      </c>
      <c r="O115" s="70">
        <f>IF(L115&gt;=($L$6*0.9),1,0)</f>
        <v/>
      </c>
      <c r="P115" s="70" t="n"/>
      <c r="Q115" s="70" t="n"/>
      <c r="R115" s="80" t="n">
        <v>56</v>
      </c>
      <c r="S115" s="48" t="n"/>
      <c r="T115" s="48" t="n"/>
      <c r="U115" s="48" t="n"/>
      <c r="V115" s="48" t="n"/>
      <c r="W115" s="44" t="n"/>
      <c r="X115" s="44" t="n"/>
      <c r="Y115" s="48" t="n"/>
      <c r="Z115" s="46" t="n"/>
      <c r="AA115" s="46" t="n"/>
      <c r="AB115" s="46" t="n"/>
      <c r="AC115" s="46" t="n"/>
    </row>
    <row r="116" ht="19.5" customHeight="1" s="98">
      <c r="A116" s="69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80" t="n">
        <v>21</v>
      </c>
      <c r="E116" s="70">
        <f>IF(D116&gt;=($D$6*0.7),1,0)</f>
        <v/>
      </c>
      <c r="F116" s="70">
        <f>IF(D116&gt;=($D$6*0.8),1,0)</f>
        <v/>
      </c>
      <c r="G116" s="70">
        <f>IF(D116&gt;=($D$6*0.9),1,0)</f>
        <v/>
      </c>
      <c r="H116" s="80" t="n">
        <v>21</v>
      </c>
      <c r="I116" s="70">
        <f>IF(H116&gt;=($H$6*0.7),1,0)</f>
        <v/>
      </c>
      <c r="J116" s="70">
        <f>IF(H116&gt;=($H$6*0.7),1,0)</f>
        <v/>
      </c>
      <c r="K116" s="70">
        <f>IF(H116&gt;=($H$6*0.9),1,0)</f>
        <v/>
      </c>
      <c r="L116" s="80" t="n">
        <v>13</v>
      </c>
      <c r="M116" s="70">
        <f>IF(L116&gt;=($L$6*0.7),1,0)</f>
        <v/>
      </c>
      <c r="N116" s="70">
        <f>IF(L116&gt;=($L$6*0.8),1,0)</f>
        <v/>
      </c>
      <c r="O116" s="70">
        <f>IF(L116&gt;=($L$6*0.9),1,0)</f>
        <v/>
      </c>
      <c r="P116" s="63" t="n"/>
      <c r="Q116" s="63" t="n"/>
      <c r="R116" s="80" t="n">
        <v>55</v>
      </c>
      <c r="S116" s="48" t="n"/>
      <c r="T116" s="48" t="n"/>
      <c r="U116" s="48" t="n"/>
      <c r="V116" s="48" t="n"/>
      <c r="W116" s="44" t="n"/>
      <c r="X116" s="44" t="n"/>
      <c r="Y116" s="48" t="n"/>
      <c r="Z116" s="46" t="n"/>
      <c r="AA116" s="46" t="n"/>
      <c r="AB116" s="46" t="n"/>
      <c r="AC116" s="46" t="n"/>
    </row>
    <row r="117" ht="19.5" customHeight="1" s="98">
      <c r="A117" s="69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t="n">
        <v>26</v>
      </c>
      <c r="E117" s="70">
        <f>IF(D117&gt;=($D$6*0.7),1,0)</f>
        <v/>
      </c>
      <c r="F117" s="70">
        <f>IF(D117&gt;=($D$6*0.8),1,0)</f>
        <v/>
      </c>
      <c r="G117" s="70">
        <f>IF(D117&gt;=($D$6*0.9),1,0)</f>
        <v/>
      </c>
      <c r="H117" t="n">
        <v>26</v>
      </c>
      <c r="I117" s="70">
        <f>IF(H117&gt;=($H$6*0.7),1,0)</f>
        <v/>
      </c>
      <c r="J117" s="70">
        <f>IF(H117&gt;=($H$6*0.7),1,0)</f>
        <v/>
      </c>
      <c r="K117" s="70">
        <f>IF(H117&gt;=($H$6*0.9),1,0)</f>
        <v/>
      </c>
      <c r="L117" t="n">
        <v>14</v>
      </c>
      <c r="M117" s="70">
        <f>IF(L117&gt;=($L$6*0.7),1,0)</f>
        <v/>
      </c>
      <c r="N117" s="70">
        <f>IF(L117&gt;=($L$6*0.8),1,0)</f>
        <v/>
      </c>
      <c r="O117" s="70">
        <f>IF(L117&gt;=($L$6*0.9),1,0)</f>
        <v/>
      </c>
      <c r="P117" s="70" t="n"/>
      <c r="Q117" s="70" t="n"/>
      <c r="R117" s="80" t="n">
        <v>66</v>
      </c>
      <c r="S117" s="48" t="n"/>
      <c r="T117" s="48" t="n"/>
      <c r="U117" s="48" t="n"/>
      <c r="V117" s="48" t="n"/>
      <c r="W117" s="44" t="n"/>
      <c r="X117" s="44" t="n"/>
      <c r="Y117" s="48" t="n"/>
      <c r="Z117" s="46" t="n"/>
      <c r="AA117" s="46" t="n"/>
      <c r="AB117" s="46" t="n"/>
      <c r="AC117" s="46" t="n"/>
    </row>
    <row r="118" ht="19.5" customHeight="1" s="98">
      <c r="A118" s="69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80" t="n">
        <v>20</v>
      </c>
      <c r="E118" s="70">
        <f>IF(D118&gt;=($D$6*0.7),1,0)</f>
        <v/>
      </c>
      <c r="F118" s="70">
        <f>IF(D118&gt;=($D$6*0.8),1,0)</f>
        <v/>
      </c>
      <c r="G118" s="70">
        <f>IF(D118&gt;=($D$6*0.9),1,0)</f>
        <v/>
      </c>
      <c r="H118" s="80" t="n">
        <v>23</v>
      </c>
      <c r="I118" s="70">
        <f>IF(H118&gt;=($H$6*0.7),1,0)</f>
        <v/>
      </c>
      <c r="J118" s="70">
        <f>IF(H118&gt;=($H$6*0.7),1,0)</f>
        <v/>
      </c>
      <c r="K118" s="70">
        <f>IF(H118&gt;=($H$6*0.9),1,0)</f>
        <v/>
      </c>
      <c r="L118" s="80" t="n">
        <v>13</v>
      </c>
      <c r="M118" s="70">
        <f>IF(L118&gt;=($L$6*0.7),1,0)</f>
        <v/>
      </c>
      <c r="N118" s="70">
        <f>IF(L118&gt;=($L$6*0.8),1,0)</f>
        <v/>
      </c>
      <c r="O118" s="70">
        <f>IF(L118&gt;=($L$6*0.9),1,0)</f>
        <v/>
      </c>
      <c r="P118" s="63" t="n"/>
      <c r="Q118" s="63" t="n"/>
      <c r="R118" s="80" t="n">
        <v>56</v>
      </c>
      <c r="S118" s="48" t="n"/>
      <c r="T118" s="48" t="n"/>
      <c r="U118" s="48" t="n"/>
      <c r="V118" s="48" t="n"/>
      <c r="W118" s="44" t="n"/>
      <c r="X118" s="44" t="n"/>
      <c r="Y118" s="48" t="n"/>
      <c r="Z118" s="46" t="n"/>
      <c r="AA118" s="46" t="n"/>
      <c r="AB118" s="46" t="n"/>
      <c r="AC118" s="46" t="n"/>
    </row>
    <row r="119" ht="19.5" customHeight="1" s="98">
      <c r="A119" s="69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t="n">
        <v>28</v>
      </c>
      <c r="E119" s="70">
        <f>IF(D119&gt;=($D$6*0.7),1,0)</f>
        <v/>
      </c>
      <c r="F119" s="70">
        <f>IF(D119&gt;=($D$6*0.8),1,0)</f>
        <v/>
      </c>
      <c r="G119" s="70">
        <f>IF(D119&gt;=($D$6*0.9),1,0)</f>
        <v/>
      </c>
      <c r="H119" t="n">
        <v>28</v>
      </c>
      <c r="I119" s="70">
        <f>IF(H119&gt;=($H$6*0.7),1,0)</f>
        <v/>
      </c>
      <c r="J119" s="70">
        <f>IF(H119&gt;=($H$6*0.7),1,0)</f>
        <v/>
      </c>
      <c r="K119" s="70">
        <f>IF(H119&gt;=($H$6*0.9),1,0)</f>
        <v/>
      </c>
      <c r="L119" t="n">
        <v>14</v>
      </c>
      <c r="M119" s="70">
        <f>IF(L119&gt;=($L$6*0.7),1,0)</f>
        <v/>
      </c>
      <c r="N119" s="70">
        <f>IF(L119&gt;=($L$6*0.8),1,0)</f>
        <v/>
      </c>
      <c r="O119" s="70">
        <f>IF(L119&gt;=($L$6*0.9),1,0)</f>
        <v/>
      </c>
      <c r="P119" s="70" t="n"/>
      <c r="Q119" s="70" t="n"/>
      <c r="R119" t="n">
        <v>70</v>
      </c>
      <c r="S119" s="48" t="n"/>
      <c r="T119" s="48" t="n"/>
      <c r="U119" s="48" t="n"/>
      <c r="V119" s="48" t="n"/>
      <c r="W119" s="44" t="n"/>
      <c r="X119" s="44" t="n"/>
      <c r="Y119" s="48" t="n"/>
      <c r="Z119" s="46" t="n"/>
      <c r="AA119" s="46" t="n"/>
      <c r="AB119" s="46" t="n"/>
      <c r="AC119" s="46" t="n"/>
    </row>
    <row r="120" ht="19.5" customHeight="1" s="98">
      <c r="A120" s="69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80" t="n">
        <v>24</v>
      </c>
      <c r="E120" s="70">
        <f>IF(D120&gt;=($D$6*0.7),1,0)</f>
        <v/>
      </c>
      <c r="F120" s="70">
        <f>IF(D120&gt;=($D$6*0.8),1,0)</f>
        <v/>
      </c>
      <c r="G120" s="70">
        <f>IF(D120&gt;=($D$6*0.9),1,0)</f>
        <v/>
      </c>
      <c r="H120" s="80" t="n">
        <v>24</v>
      </c>
      <c r="I120" s="70">
        <f>IF(H120&gt;=($H$6*0.7),1,0)</f>
        <v/>
      </c>
      <c r="J120" s="70">
        <f>IF(H120&gt;=($H$6*0.7),1,0)</f>
        <v/>
      </c>
      <c r="K120" s="70">
        <f>IF(H120&gt;=($H$6*0.9),1,0)</f>
        <v/>
      </c>
      <c r="L120" s="80" t="n">
        <v>13</v>
      </c>
      <c r="M120" s="70">
        <f>IF(L120&gt;=($L$6*0.7),1,0)</f>
        <v/>
      </c>
      <c r="N120" s="70">
        <f>IF(L120&gt;=($L$6*0.8),1,0)</f>
        <v/>
      </c>
      <c r="O120" s="70">
        <f>IF(L120&gt;=($L$6*0.9),1,0)</f>
        <v/>
      </c>
      <c r="P120" s="63" t="n"/>
      <c r="Q120" s="63" t="n"/>
      <c r="R120" t="n">
        <v>61</v>
      </c>
      <c r="S120" s="48" t="n"/>
      <c r="T120" s="48" t="n"/>
      <c r="U120" s="48" t="n"/>
      <c r="V120" s="48" t="n"/>
      <c r="W120" s="44" t="n"/>
      <c r="X120" s="44" t="n"/>
      <c r="Y120" s="48" t="n"/>
      <c r="Z120" s="46" t="n"/>
      <c r="AA120" s="46" t="n"/>
      <c r="AB120" s="46" t="n"/>
      <c r="AC120" s="46" t="n"/>
    </row>
    <row r="121" ht="19.5" customHeight="1" s="98">
      <c r="A121" s="69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80" t="n">
        <v>24</v>
      </c>
      <c r="E121" s="70">
        <f>IF(D121&gt;=($D$6*0.7),1,0)</f>
        <v/>
      </c>
      <c r="F121" s="70">
        <f>IF(D121&gt;=($D$6*0.8),1,0)</f>
        <v/>
      </c>
      <c r="G121" s="70">
        <f>IF(D121&gt;=($D$6*0.9),1,0)</f>
        <v/>
      </c>
      <c r="H121" s="80" t="n">
        <v>21</v>
      </c>
      <c r="I121" s="70">
        <f>IF(H121&gt;=($H$6*0.7),1,0)</f>
        <v/>
      </c>
      <c r="J121" s="70">
        <f>IF(H121&gt;=($H$6*0.7),1,0)</f>
        <v/>
      </c>
      <c r="K121" s="70">
        <f>IF(H121&gt;=($H$6*0.9),1,0)</f>
        <v/>
      </c>
      <c r="L121" s="80" t="n">
        <v>13</v>
      </c>
      <c r="M121" s="70">
        <f>IF(L121&gt;=($L$6*0.7),1,0)</f>
        <v/>
      </c>
      <c r="N121" s="70">
        <f>IF(L121&gt;=($L$6*0.8),1,0)</f>
        <v/>
      </c>
      <c r="O121" s="70">
        <f>IF(L121&gt;=($L$6*0.9),1,0)</f>
        <v/>
      </c>
      <c r="P121" s="70" t="n"/>
      <c r="Q121" s="70" t="n"/>
      <c r="R121" t="n">
        <v>58</v>
      </c>
      <c r="S121" s="48" t="n"/>
      <c r="T121" s="48" t="n"/>
      <c r="U121" s="48" t="n"/>
      <c r="V121" s="48" t="n"/>
      <c r="W121" s="44" t="n"/>
      <c r="X121" s="44" t="n"/>
      <c r="Y121" s="48" t="n"/>
      <c r="Z121" s="46" t="n"/>
      <c r="AA121" s="46" t="n"/>
      <c r="AB121" s="46" t="n"/>
      <c r="AC121" s="46" t="n"/>
    </row>
    <row r="122" ht="19.5" customHeight="1" s="98">
      <c r="A122" s="69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80" t="n">
        <v>25</v>
      </c>
      <c r="E122" s="70">
        <f>IF(D122&gt;=($D$6*0.7),1,0)</f>
        <v/>
      </c>
      <c r="F122" s="70">
        <f>IF(D122&gt;=($D$6*0.8),1,0)</f>
        <v/>
      </c>
      <c r="G122" s="70">
        <f>IF(D122&gt;=($D$6*0.9),1,0)</f>
        <v/>
      </c>
      <c r="H122" s="80" t="n">
        <v>26</v>
      </c>
      <c r="I122" s="70">
        <f>IF(H122&gt;=($H$6*0.7),1,0)</f>
        <v/>
      </c>
      <c r="J122" s="70">
        <f>IF(H122&gt;=($H$6*0.7),1,0)</f>
        <v/>
      </c>
      <c r="K122" s="70">
        <f>IF(H122&gt;=($H$6*0.9),1,0)</f>
        <v/>
      </c>
      <c r="L122" s="80" t="n">
        <v>13</v>
      </c>
      <c r="M122" s="70">
        <f>IF(L122&gt;=($L$6*0.7),1,0)</f>
        <v/>
      </c>
      <c r="N122" s="70">
        <f>IF(L122&gt;=($L$6*0.8),1,0)</f>
        <v/>
      </c>
      <c r="O122" s="70">
        <f>IF(L122&gt;=($L$6*0.9),1,0)</f>
        <v/>
      </c>
      <c r="P122" s="63" t="n"/>
      <c r="Q122" s="63" t="n"/>
      <c r="R122" s="80" t="n">
        <v>64</v>
      </c>
      <c r="S122" s="48" t="n"/>
      <c r="T122" s="48" t="n"/>
      <c r="U122" s="48" t="n"/>
      <c r="V122" s="48" t="n"/>
      <c r="W122" s="44" t="n"/>
      <c r="X122" s="44" t="n"/>
      <c r="Y122" s="48" t="n"/>
      <c r="Z122" s="46" t="n"/>
      <c r="AA122" s="46" t="n"/>
      <c r="AB122" s="46" t="n"/>
      <c r="AC122" s="46" t="n"/>
    </row>
    <row r="123" ht="19.5" customHeight="1" s="98">
      <c r="A123" s="69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80" t="n">
        <v>20</v>
      </c>
      <c r="E123" s="70">
        <f>IF(D123&gt;=($D$6*0.7),1,0)</f>
        <v/>
      </c>
      <c r="F123" s="70">
        <f>IF(D123&gt;=($D$6*0.8),1,0)</f>
        <v/>
      </c>
      <c r="G123" s="70">
        <f>IF(D123&gt;=($D$6*0.9),1,0)</f>
        <v/>
      </c>
      <c r="H123" s="80" t="n">
        <v>22</v>
      </c>
      <c r="I123" s="70">
        <f>IF(H123&gt;=($H$6*0.7),1,0)</f>
        <v/>
      </c>
      <c r="J123" s="70">
        <f>IF(H123&gt;=($H$6*0.7),1,0)</f>
        <v/>
      </c>
      <c r="K123" s="70">
        <f>IF(H123&gt;=($H$6*0.9),1,0)</f>
        <v/>
      </c>
      <c r="L123" s="80" t="n">
        <v>13</v>
      </c>
      <c r="M123" s="70">
        <f>IF(L123&gt;=($L$6*0.7),1,0)</f>
        <v/>
      </c>
      <c r="N123" s="70">
        <f>IF(L123&gt;=($L$6*0.8),1,0)</f>
        <v/>
      </c>
      <c r="O123" s="70">
        <f>IF(L123&gt;=($L$6*0.9),1,0)</f>
        <v/>
      </c>
      <c r="P123" s="70" t="n"/>
      <c r="Q123" s="70" t="n"/>
      <c r="R123" t="n">
        <v>55</v>
      </c>
      <c r="S123" s="48" t="n"/>
      <c r="T123" s="48" t="n"/>
      <c r="U123" s="48" t="n"/>
      <c r="V123" s="48" t="n"/>
      <c r="W123" s="44" t="n"/>
      <c r="X123" s="44" t="n"/>
      <c r="Y123" s="48" t="n"/>
      <c r="Z123" s="46" t="n"/>
      <c r="AA123" s="46" t="n"/>
      <c r="AB123" s="46" t="n"/>
      <c r="AC123" s="46" t="n"/>
    </row>
    <row r="124" ht="15.75" customHeight="1" s="98">
      <c r="A124" s="69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80" t="n">
        <v>28</v>
      </c>
      <c r="E124" s="70">
        <f>IF(D124&gt;=($D$6*0.7),1,0)</f>
        <v/>
      </c>
      <c r="F124" s="70">
        <f>IF(D124&gt;=($D$6*0.8),1,0)</f>
        <v/>
      </c>
      <c r="G124" s="70">
        <f>IF(D124&gt;=($D$6*0.9),1,0)</f>
        <v/>
      </c>
      <c r="H124" s="80" t="n">
        <v>28</v>
      </c>
      <c r="I124" s="70">
        <f>IF(H124&gt;=($H$6*0.7),1,0)</f>
        <v/>
      </c>
      <c r="J124" s="70">
        <f>IF(H124&gt;=($H$6*0.7),1,0)</f>
        <v/>
      </c>
      <c r="K124" s="70">
        <f>IF(H124&gt;=($H$6*0.9),1,0)</f>
        <v/>
      </c>
      <c r="L124" s="80" t="n">
        <v>14</v>
      </c>
      <c r="M124" s="70">
        <f>IF(L124&gt;=($L$6*0.7),1,0)</f>
        <v/>
      </c>
      <c r="N124" s="70">
        <f>IF(L124&gt;=($L$6*0.8),1,0)</f>
        <v/>
      </c>
      <c r="O124" s="70">
        <f>IF(L124&gt;=($L$6*0.9),1,0)</f>
        <v/>
      </c>
      <c r="P124" s="63" t="n"/>
      <c r="Q124" s="63" t="n"/>
      <c r="R124" t="n">
        <v>70</v>
      </c>
      <c r="S124" s="48" t="n"/>
      <c r="T124" s="48" t="n"/>
      <c r="U124" s="48" t="n"/>
      <c r="V124" s="48" t="n"/>
      <c r="W124" s="44" t="n"/>
      <c r="X124" s="44" t="n"/>
      <c r="Y124" s="48" t="n"/>
      <c r="Z124" s="46" t="n"/>
      <c r="AA124" s="46" t="n"/>
      <c r="AB124" s="46" t="n"/>
      <c r="AC124" s="46" t="n"/>
    </row>
    <row r="125" ht="15.75" customHeight="1" s="98">
      <c r="A125" s="69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80" t="n">
        <v>21</v>
      </c>
      <c r="E125" s="70">
        <f>IF(D125&gt;=($D$6*0.7),1,0)</f>
        <v/>
      </c>
      <c r="F125" s="70">
        <f>IF(D125&gt;=($D$6*0.8),1,0)</f>
        <v/>
      </c>
      <c r="G125" s="70">
        <f>IF(D125&gt;=($D$6*0.9),1,0)</f>
        <v/>
      </c>
      <c r="H125" s="80" t="n">
        <v>21</v>
      </c>
      <c r="I125" s="70">
        <f>IF(H125&gt;=($H$6*0.7),1,0)</f>
        <v/>
      </c>
      <c r="J125" s="70">
        <f>IF(H125&gt;=($H$6*0.7),1,0)</f>
        <v/>
      </c>
      <c r="K125" s="70">
        <f>IF(H125&gt;=($H$6*0.9),1,0)</f>
        <v/>
      </c>
      <c r="L125" s="80" t="n">
        <v>11</v>
      </c>
      <c r="M125" s="70">
        <f>IF(L125&gt;=($L$6*0.7),1,0)</f>
        <v/>
      </c>
      <c r="N125" s="70">
        <f>IF(L125&gt;=($L$6*0.8),1,0)</f>
        <v/>
      </c>
      <c r="O125" s="70">
        <f>IF(L125&gt;=($L$6*0.9),1,0)</f>
        <v/>
      </c>
      <c r="P125" s="63" t="n"/>
      <c r="Q125" s="63" t="n"/>
      <c r="R125" s="80" t="n">
        <v>53</v>
      </c>
      <c r="S125" s="48" t="n"/>
      <c r="T125" s="48" t="n"/>
      <c r="U125" s="48" t="n"/>
      <c r="V125" s="48" t="n"/>
      <c r="W125" s="44" t="n"/>
      <c r="X125" s="44" t="n"/>
      <c r="Y125" s="48" t="n"/>
      <c r="Z125" s="46" t="n"/>
      <c r="AA125" s="46" t="n"/>
      <c r="AB125" s="46" t="n"/>
    </row>
    <row r="126" ht="15.75" customHeight="1" s="98">
      <c r="A126" s="69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80" t="n">
        <v>23</v>
      </c>
      <c r="E126" s="70">
        <f>IF(D126&gt;=($D$6*0.7),1,0)</f>
        <v/>
      </c>
      <c r="F126" s="70">
        <f>IF(D126&gt;=($D$6*0.8),1,0)</f>
        <v/>
      </c>
      <c r="G126" s="70">
        <f>IF(D126&gt;=($D$6*0.9),1,0)</f>
        <v/>
      </c>
      <c r="H126" s="80" t="n">
        <v>20</v>
      </c>
      <c r="I126" s="70">
        <f>IF(H126&gt;=($H$6*0.7),1,0)</f>
        <v/>
      </c>
      <c r="J126" s="70">
        <f>IF(H126&gt;=($H$6*0.7),1,0)</f>
        <v/>
      </c>
      <c r="K126" s="70">
        <f>IF(H126&gt;=($H$6*0.9),1,0)</f>
        <v/>
      </c>
      <c r="L126" s="80" t="n">
        <v>11</v>
      </c>
      <c r="M126" s="70">
        <f>IF(L126&gt;=($L$6*0.7),1,0)</f>
        <v/>
      </c>
      <c r="N126" s="70">
        <f>IF(L126&gt;=($L$6*0.8),1,0)</f>
        <v/>
      </c>
      <c r="O126" s="70">
        <f>IF(L126&gt;=($L$6*0.9),1,0)</f>
        <v/>
      </c>
      <c r="P126" s="63" t="n"/>
      <c r="Q126" s="63" t="n"/>
      <c r="R126" s="80" t="n">
        <v>54</v>
      </c>
      <c r="S126" s="48" t="n"/>
      <c r="T126" s="48" t="n"/>
      <c r="U126" s="48" t="n"/>
      <c r="V126" s="48" t="n"/>
      <c r="W126" s="44" t="n"/>
      <c r="X126" s="44" t="n"/>
      <c r="Y126" s="48" t="n"/>
      <c r="Z126" s="46" t="n"/>
      <c r="AA126" s="46" t="n"/>
      <c r="AB126" s="46" t="n"/>
      <c r="AC126" s="24" t="n"/>
    </row>
    <row r="127" ht="15.75" customHeight="1" s="98">
      <c r="A127" s="69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t="n">
        <v>20</v>
      </c>
      <c r="E127" s="70">
        <f>IF(D127&gt;=($D$6*0.7),1,0)</f>
        <v/>
      </c>
      <c r="F127" s="70">
        <f>IF(D127&gt;=($D$6*0.8),1,0)</f>
        <v/>
      </c>
      <c r="G127" s="70">
        <f>IF(D127&gt;=($D$6*0.9),1,0)</f>
        <v/>
      </c>
      <c r="H127" t="n">
        <v>20</v>
      </c>
      <c r="I127" s="70">
        <f>IF(H127&gt;=($H$6*0.7),1,0)</f>
        <v/>
      </c>
      <c r="J127" s="70">
        <f>IF(H127&gt;=($H$6*0.7),1,0)</f>
        <v/>
      </c>
      <c r="K127" s="70">
        <f>IF(H127&gt;=($H$6*0.9),1,0)</f>
        <v/>
      </c>
      <c r="L127" t="n">
        <v>11</v>
      </c>
      <c r="M127" s="70">
        <f>IF(L127&gt;=($L$6*0.7),1,0)</f>
        <v/>
      </c>
      <c r="N127" s="70">
        <f>IF(L127&gt;=($L$6*0.8),1,0)</f>
        <v/>
      </c>
      <c r="O127" s="70">
        <f>IF(L127&gt;=($L$6*0.9),1,0)</f>
        <v/>
      </c>
      <c r="P127" s="63" t="n"/>
      <c r="Q127" s="63" t="n"/>
      <c r="R127" s="80" t="n">
        <v>51</v>
      </c>
      <c r="S127" s="48" t="n"/>
      <c r="T127" s="48" t="n"/>
      <c r="U127" s="48" t="n"/>
      <c r="V127" s="48" t="n"/>
      <c r="W127" s="44" t="n"/>
      <c r="X127" s="44" t="n"/>
      <c r="Y127" s="48" t="n"/>
      <c r="Z127" s="46" t="n"/>
      <c r="AA127" s="46" t="n"/>
      <c r="AB127" s="46" t="n"/>
      <c r="AC127" s="24" t="n"/>
    </row>
    <row r="128" ht="15.75" customHeight="1" s="98">
      <c r="A128" s="69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80" t="n">
        <v>21</v>
      </c>
      <c r="E128" s="70">
        <f>IF(D128&gt;=($D$6*0.7),1,0)</f>
        <v/>
      </c>
      <c r="F128" s="70">
        <f>IF(D128&gt;=($D$6*0.8),1,0)</f>
        <v/>
      </c>
      <c r="G128" s="70">
        <f>IF(D128&gt;=($D$6*0.9),1,0)</f>
        <v/>
      </c>
      <c r="H128" s="80" t="n">
        <v>23</v>
      </c>
      <c r="I128" s="70">
        <f>IF(H128&gt;=($H$6*0.7),1,0)</f>
        <v/>
      </c>
      <c r="J128" s="70">
        <f>IF(H128&gt;=($H$6*0.7),1,0)</f>
        <v/>
      </c>
      <c r="K128" s="70">
        <f>IF(H128&gt;=($H$6*0.9),1,0)</f>
        <v/>
      </c>
      <c r="L128" s="80" t="n">
        <v>13</v>
      </c>
      <c r="M128" s="70">
        <f>IF(L128&gt;=($L$6*0.7),1,0)</f>
        <v/>
      </c>
      <c r="N128" s="70">
        <f>IF(L128&gt;=($L$6*0.8),1,0)</f>
        <v/>
      </c>
      <c r="O128" s="70">
        <f>IF(L128&gt;=($L$6*0.9),1,0)</f>
        <v/>
      </c>
      <c r="P128" s="63" t="n"/>
      <c r="Q128" s="63" t="n"/>
      <c r="R128" t="n">
        <v>57</v>
      </c>
      <c r="S128" s="48" t="n"/>
      <c r="T128" s="48" t="n"/>
      <c r="U128" s="48" t="n"/>
      <c r="V128" s="48" t="n"/>
      <c r="W128" s="44" t="n"/>
      <c r="X128" s="44" t="n"/>
      <c r="Y128" s="48" t="n"/>
      <c r="Z128" s="46" t="n"/>
      <c r="AA128" s="46" t="n"/>
      <c r="AB128" s="46" t="n"/>
      <c r="AC128" s="24" t="n"/>
    </row>
    <row r="129" ht="15.75" customHeight="1" s="98">
      <c r="A129" s="69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t="n">
        <v>27</v>
      </c>
      <c r="E129" s="70">
        <f>IF(D129&gt;=($D$6*0.7),1,0)</f>
        <v/>
      </c>
      <c r="F129" s="70">
        <f>IF(D129&gt;=($D$6*0.8),1,0)</f>
        <v/>
      </c>
      <c r="G129" s="70">
        <f>IF(D129&gt;=($D$6*0.9),1,0)</f>
        <v/>
      </c>
      <c r="H129" t="n">
        <v>25</v>
      </c>
      <c r="I129" s="70">
        <f>IF(H129&gt;=($H$6*0.7),1,0)</f>
        <v/>
      </c>
      <c r="J129" s="70">
        <f>IF(H129&gt;=($H$6*0.7),1,0)</f>
        <v/>
      </c>
      <c r="K129" s="70">
        <f>IF(H129&gt;=($H$6*0.9),1,0)</f>
        <v/>
      </c>
      <c r="L129" t="n">
        <v>14</v>
      </c>
      <c r="M129" s="70">
        <f>IF(L129&gt;=($L$6*0.7),1,0)</f>
        <v/>
      </c>
      <c r="N129" s="70">
        <f>IF(L129&gt;=($L$6*0.8),1,0)</f>
        <v/>
      </c>
      <c r="O129" s="70">
        <f>IF(L129&gt;=($L$6*0.9),1,0)</f>
        <v/>
      </c>
      <c r="P129" s="63" t="n"/>
      <c r="Q129" s="63" t="n"/>
      <c r="R129" s="80" t="n">
        <v>66</v>
      </c>
      <c r="S129" s="48" t="n"/>
      <c r="T129" s="48" t="n"/>
      <c r="U129" s="48" t="n"/>
      <c r="V129" s="48" t="n"/>
      <c r="W129" s="44" t="n"/>
      <c r="X129" s="44" t="n"/>
      <c r="Y129" s="48" t="n"/>
      <c r="Z129" s="46" t="n"/>
      <c r="AA129" s="46" t="n"/>
      <c r="AB129" s="46" t="n"/>
      <c r="AC129" s="24" t="n"/>
    </row>
    <row r="130" ht="15.75" customHeight="1" s="98">
      <c r="A130" s="69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80" t="n">
        <v>28</v>
      </c>
      <c r="E130" s="70">
        <f>IF(D130&gt;=($D$6*0.7),1,0)</f>
        <v/>
      </c>
      <c r="F130" s="70">
        <f>IF(D130&gt;=($D$6*0.8),1,0)</f>
        <v/>
      </c>
      <c r="G130" s="70">
        <f>IF(D130&gt;=($D$6*0.9),1,0)</f>
        <v/>
      </c>
      <c r="H130" s="80" t="n">
        <v>28</v>
      </c>
      <c r="I130" s="70">
        <f>IF(H130&gt;=($H$6*0.7),1,0)</f>
        <v/>
      </c>
      <c r="J130" s="70">
        <f>IF(H130&gt;=($H$6*0.7),1,0)</f>
        <v/>
      </c>
      <c r="K130" s="70">
        <f>IF(H130&gt;=($H$6*0.9),1,0)</f>
        <v/>
      </c>
      <c r="L130" s="80" t="n">
        <v>14</v>
      </c>
      <c r="M130" s="70">
        <f>IF(L130&gt;=($L$6*0.7),1,0)</f>
        <v/>
      </c>
      <c r="N130" s="70">
        <f>IF(L130&gt;=($L$6*0.8),1,0)</f>
        <v/>
      </c>
      <c r="O130" s="70">
        <f>IF(L130&gt;=($L$6*0.9),1,0)</f>
        <v/>
      </c>
      <c r="P130" s="63" t="n"/>
      <c r="Q130" s="63" t="n"/>
      <c r="R130" s="80" t="n">
        <v>70</v>
      </c>
      <c r="S130" s="48" t="n"/>
      <c r="T130" s="48" t="n"/>
      <c r="U130" s="48" t="n"/>
      <c r="V130" s="48" t="n"/>
      <c r="W130" s="44" t="n"/>
      <c r="X130" s="44" t="n"/>
      <c r="Y130" s="48" t="n"/>
      <c r="Z130" s="46" t="n"/>
      <c r="AA130" s="46" t="n"/>
      <c r="AB130" s="46" t="n"/>
      <c r="AC130" s="24" t="n"/>
    </row>
    <row r="131" ht="15.75" customHeight="1" s="98">
      <c r="A131" s="69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80" t="n">
        <v>27</v>
      </c>
      <c r="E131" s="70">
        <f>IF(D131&gt;=($D$6*0.7),1,0)</f>
        <v/>
      </c>
      <c r="F131" s="70">
        <f>IF(D131&gt;=($D$6*0.8),1,0)</f>
        <v/>
      </c>
      <c r="G131" s="70">
        <f>IF(D131&gt;=($D$6*0.9),1,0)</f>
        <v/>
      </c>
      <c r="H131" s="80" t="n">
        <v>24</v>
      </c>
      <c r="I131" s="70">
        <f>IF(H131&gt;=($H$6*0.7),1,0)</f>
        <v/>
      </c>
      <c r="J131" s="70">
        <f>IF(H131&gt;=($H$6*0.7),1,0)</f>
        <v/>
      </c>
      <c r="K131" s="70">
        <f>IF(H131&gt;=($H$6*0.9),1,0)</f>
        <v/>
      </c>
      <c r="L131" s="80" t="n">
        <v>14</v>
      </c>
      <c r="M131" s="70">
        <f>IF(L131&gt;=($L$6*0.7),1,0)</f>
        <v/>
      </c>
      <c r="N131" s="70">
        <f>IF(L131&gt;=($L$6*0.8),1,0)</f>
        <v/>
      </c>
      <c r="O131" s="70">
        <f>IF(L131&gt;=($L$6*0.9),1,0)</f>
        <v/>
      </c>
      <c r="P131" s="63" t="n"/>
      <c r="Q131" s="63" t="n"/>
      <c r="R131" s="80" t="n">
        <v>65</v>
      </c>
      <c r="S131" s="48" t="n"/>
      <c r="T131" s="48" t="n"/>
      <c r="U131" s="48" t="n"/>
      <c r="V131" s="48" t="n"/>
      <c r="W131" s="44" t="n"/>
      <c r="X131" s="44" t="n"/>
      <c r="Y131" s="48" t="n"/>
      <c r="Z131" s="46" t="n"/>
      <c r="AA131" s="46" t="n"/>
      <c r="AB131" s="46" t="n"/>
      <c r="AC131" s="24" t="n"/>
    </row>
    <row r="132" ht="15.75" customHeight="1" s="98">
      <c r="A132" s="69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t="n">
        <v>20</v>
      </c>
      <c r="E132" s="70">
        <f>IF(D132&gt;=($D$6*0.7),1,0)</f>
        <v/>
      </c>
      <c r="F132" s="70">
        <f>IF(D132&gt;=($D$6*0.8),1,0)</f>
        <v/>
      </c>
      <c r="G132" s="70">
        <f>IF(D132&gt;=($D$6*0.9),1,0)</f>
        <v/>
      </c>
      <c r="H132" t="n">
        <v>20</v>
      </c>
      <c r="I132" s="70">
        <f>IF(H132&gt;=($H$6*0.7),1,0)</f>
        <v/>
      </c>
      <c r="J132" s="70">
        <f>IF(H132&gt;=($H$6*0.7),1,0)</f>
        <v/>
      </c>
      <c r="K132" s="70">
        <f>IF(H132&gt;=($H$6*0.9),1,0)</f>
        <v/>
      </c>
      <c r="L132" t="n">
        <v>11</v>
      </c>
      <c r="M132" s="70">
        <f>IF(L132&gt;=($L$6*0.7),1,0)</f>
        <v/>
      </c>
      <c r="N132" s="70">
        <f>IF(L132&gt;=($L$6*0.8),1,0)</f>
        <v/>
      </c>
      <c r="O132" s="70">
        <f>IF(L132&gt;=($L$6*0.9),1,0)</f>
        <v/>
      </c>
      <c r="P132" s="63" t="n"/>
      <c r="Q132" s="63" t="n"/>
      <c r="R132" s="80" t="n">
        <v>51</v>
      </c>
      <c r="S132" s="48" t="n"/>
      <c r="T132" s="48" t="n"/>
      <c r="U132" s="48" t="n"/>
      <c r="V132" s="48" t="n"/>
      <c r="W132" s="44" t="n"/>
      <c r="X132" s="44" t="n"/>
      <c r="Y132" s="48" t="n"/>
      <c r="Z132" s="46" t="n"/>
      <c r="AA132" s="46" t="n"/>
      <c r="AB132" s="46" t="n"/>
      <c r="AC132" s="24" t="n"/>
    </row>
    <row r="133" ht="15.75" customHeight="1" s="98">
      <c r="A133" s="69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t="n">
        <v>21</v>
      </c>
      <c r="E133" s="70">
        <f>IF(D133&gt;=($D$6*0.7),1,0)</f>
        <v/>
      </c>
      <c r="F133" s="70">
        <f>IF(D133&gt;=($D$6*0.8),1,0)</f>
        <v/>
      </c>
      <c r="G133" s="70">
        <f>IF(D133&gt;=($D$6*0.9),1,0)</f>
        <v/>
      </c>
      <c r="H133" t="n">
        <v>24</v>
      </c>
      <c r="I133" s="70">
        <f>IF(H133&gt;=($H$6*0.7),1,0)</f>
        <v/>
      </c>
      <c r="J133" s="70">
        <f>IF(H133&gt;=($H$6*0.7),1,0)</f>
        <v/>
      </c>
      <c r="K133" s="70">
        <f>IF(H133&gt;=($H$6*0.9),1,0)</f>
        <v/>
      </c>
      <c r="L133" t="n">
        <v>13</v>
      </c>
      <c r="M133" s="70">
        <f>IF(L133&gt;=($L$6*0.7),1,0)</f>
        <v/>
      </c>
      <c r="N133" s="70">
        <f>IF(L133&gt;=($L$6*0.8),1,0)</f>
        <v/>
      </c>
      <c r="O133" s="70">
        <f>IF(L133&gt;=($L$6*0.9),1,0)</f>
        <v/>
      </c>
      <c r="P133" s="63" t="n"/>
      <c r="Q133" s="63" t="n"/>
      <c r="R133" t="n">
        <v>58</v>
      </c>
      <c r="S133" s="48" t="n"/>
      <c r="T133" s="48" t="n"/>
      <c r="U133" s="48" t="n"/>
      <c r="V133" s="48" t="n"/>
      <c r="W133" s="44" t="n"/>
      <c r="X133" s="44" t="n"/>
      <c r="Y133" s="48" t="n"/>
      <c r="Z133" s="46" t="n"/>
      <c r="AA133" s="46" t="n"/>
      <c r="AB133" s="46" t="n"/>
      <c r="AC133" s="24" t="n"/>
    </row>
    <row r="134" ht="15.75" customHeight="1" s="98">
      <c r="A134" s="69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80" t="n">
        <v>22</v>
      </c>
      <c r="E134" s="70">
        <f>IF(D134&gt;=($D$6*0.7),1,0)</f>
        <v/>
      </c>
      <c r="F134" s="70">
        <f>IF(D134&gt;=($D$6*0.8),1,0)</f>
        <v/>
      </c>
      <c r="G134" s="70">
        <f>IF(D134&gt;=($D$6*0.9),1,0)</f>
        <v/>
      </c>
      <c r="H134" s="80" t="n">
        <v>20</v>
      </c>
      <c r="I134" s="70">
        <f>IF(H134&gt;=($H$6*0.7),1,0)</f>
        <v/>
      </c>
      <c r="J134" s="70">
        <f>IF(H134&gt;=($H$6*0.7),1,0)</f>
        <v/>
      </c>
      <c r="K134" s="70">
        <f>IF(H134&gt;=($H$6*0.9),1,0)</f>
        <v/>
      </c>
      <c r="L134" s="80" t="n">
        <v>11</v>
      </c>
      <c r="M134" s="70">
        <f>IF(L134&gt;=($L$6*0.7),1,0)</f>
        <v/>
      </c>
      <c r="N134" s="70">
        <f>IF(L134&gt;=($L$6*0.8),1,0)</f>
        <v/>
      </c>
      <c r="O134" s="70">
        <f>IF(L134&gt;=($L$6*0.9),1,0)</f>
        <v/>
      </c>
      <c r="P134" s="63" t="n"/>
      <c r="Q134" s="63" t="n"/>
      <c r="R134" s="80" t="n">
        <v>53</v>
      </c>
      <c r="S134" s="48" t="n"/>
      <c r="T134" s="48" t="n"/>
      <c r="U134" s="48" t="n"/>
      <c r="V134" s="48" t="n"/>
      <c r="W134" s="44" t="n"/>
      <c r="X134" s="44" t="n"/>
      <c r="Y134" s="48" t="n"/>
      <c r="Z134" s="46" t="n"/>
      <c r="AA134" s="46" t="n"/>
      <c r="AB134" s="46" t="n"/>
      <c r="AC134" s="24" t="n"/>
    </row>
    <row r="135" ht="15.75" customHeight="1" s="98">
      <c r="A135" s="69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t="n">
        <v>27</v>
      </c>
      <c r="E135" s="70">
        <f>IF(D135&gt;=($D$6*0.7),1,0)</f>
        <v/>
      </c>
      <c r="F135" s="70">
        <f>IF(D135&gt;=($D$6*0.8),1,0)</f>
        <v/>
      </c>
      <c r="G135" s="70">
        <f>IF(D135&gt;=($D$6*0.9),1,0)</f>
        <v/>
      </c>
      <c r="H135" t="n">
        <v>24</v>
      </c>
      <c r="I135" s="70">
        <f>IF(H135&gt;=($H$6*0.7),1,0)</f>
        <v/>
      </c>
      <c r="J135" s="70">
        <f>IF(H135&gt;=($H$6*0.7),1,0)</f>
        <v/>
      </c>
      <c r="K135" s="70">
        <f>IF(H135&gt;=($H$6*0.9),1,0)</f>
        <v/>
      </c>
      <c r="L135" t="n">
        <v>13</v>
      </c>
      <c r="M135" s="70">
        <f>IF(L135&gt;=($L$6*0.7),1,0)</f>
        <v/>
      </c>
      <c r="N135" s="70">
        <f>IF(L135&gt;=($L$6*0.8),1,0)</f>
        <v/>
      </c>
      <c r="O135" s="70">
        <f>IF(L135&gt;=($L$6*0.9),1,0)</f>
        <v/>
      </c>
      <c r="P135" s="63" t="n"/>
      <c r="Q135" s="63" t="n"/>
      <c r="R135" s="80" t="n">
        <v>64</v>
      </c>
      <c r="S135" s="48" t="n"/>
      <c r="T135" s="48" t="n"/>
      <c r="U135" s="48" t="n"/>
      <c r="V135" s="48" t="n"/>
      <c r="W135" s="44" t="n"/>
      <c r="X135" s="44" t="n"/>
      <c r="Y135" s="48" t="n"/>
      <c r="Z135" s="46" t="n"/>
      <c r="AA135" s="46" t="n"/>
      <c r="AB135" s="46" t="n"/>
      <c r="AC135" s="24" t="n"/>
    </row>
    <row r="136" ht="15.75" customHeight="1" s="98">
      <c r="A136" s="69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t="n">
        <v>26</v>
      </c>
      <c r="E136" s="70">
        <f>IF(D136&gt;=($D$6*0.7),1,0)</f>
        <v/>
      </c>
      <c r="F136" s="70">
        <f>IF(D136&gt;=($D$6*0.8),1,0)</f>
        <v/>
      </c>
      <c r="G136" s="70">
        <f>IF(D136&gt;=($D$6*0.9),1,0)</f>
        <v/>
      </c>
      <c r="H136" t="n">
        <v>26</v>
      </c>
      <c r="I136" s="70">
        <f>IF(H136&gt;=($H$6*0.7),1,0)</f>
        <v/>
      </c>
      <c r="J136" s="70">
        <f>IF(H136&gt;=($H$6*0.7),1,0)</f>
        <v/>
      </c>
      <c r="K136" s="70">
        <f>IF(H136&gt;=($H$6*0.9),1,0)</f>
        <v/>
      </c>
      <c r="L136" t="n">
        <v>14</v>
      </c>
      <c r="M136" s="70">
        <f>IF(L136&gt;=($L$6*0.7),1,0)</f>
        <v/>
      </c>
      <c r="N136" s="70">
        <f>IF(L136&gt;=($L$6*0.8),1,0)</f>
        <v/>
      </c>
      <c r="O136" s="70">
        <f>IF(L136&gt;=($L$6*0.9),1,0)</f>
        <v/>
      </c>
      <c r="P136" s="63" t="n"/>
      <c r="Q136" s="63" t="n"/>
      <c r="R136" s="80" t="n">
        <v>66</v>
      </c>
      <c r="S136" s="48" t="n"/>
      <c r="T136" s="48" t="n"/>
      <c r="U136" s="48" t="n"/>
      <c r="V136" s="48" t="n"/>
      <c r="W136" s="44" t="n"/>
      <c r="X136" s="44" t="n"/>
      <c r="Y136" s="48" t="n"/>
      <c r="Z136" s="46" t="n"/>
      <c r="AA136" s="46" t="n"/>
      <c r="AB136" s="46" t="n"/>
      <c r="AC136" s="24" t="n"/>
    </row>
    <row r="137" ht="15.75" customHeight="1" s="98">
      <c r="A137" s="69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80" t="n">
        <v>28</v>
      </c>
      <c r="E137" s="70">
        <f>IF(D137&gt;=($D$6*0.7),1,0)</f>
        <v/>
      </c>
      <c r="F137" s="70">
        <f>IF(D137&gt;=($D$6*0.8),1,0)</f>
        <v/>
      </c>
      <c r="G137" s="70">
        <f>IF(D137&gt;=($D$6*0.9),1,0)</f>
        <v/>
      </c>
      <c r="H137" s="80" t="n">
        <v>28</v>
      </c>
      <c r="I137" s="70">
        <f>IF(H137&gt;=($H$6*0.7),1,0)</f>
        <v/>
      </c>
      <c r="J137" s="70">
        <f>IF(H137&gt;=($H$6*0.7),1,0)</f>
        <v/>
      </c>
      <c r="K137" s="70">
        <f>IF(H137&gt;=($H$6*0.9),1,0)</f>
        <v/>
      </c>
      <c r="L137" s="80" t="n">
        <v>14</v>
      </c>
      <c r="M137" s="70">
        <f>IF(L137&gt;=($L$6*0.7),1,0)</f>
        <v/>
      </c>
      <c r="N137" s="70">
        <f>IF(L137&gt;=($L$6*0.8),1,0)</f>
        <v/>
      </c>
      <c r="O137" s="70">
        <f>IF(L137&gt;=($L$6*0.9),1,0)</f>
        <v/>
      </c>
      <c r="P137" s="63" t="n"/>
      <c r="Q137" s="63" t="n"/>
      <c r="R137" s="80" t="n">
        <v>70</v>
      </c>
      <c r="S137" s="48" t="n"/>
      <c r="T137" s="48" t="n"/>
      <c r="U137" s="48" t="n"/>
      <c r="V137" s="48" t="n"/>
      <c r="W137" s="44" t="n"/>
      <c r="X137" s="44" t="n"/>
      <c r="Y137" s="48" t="n"/>
      <c r="Z137" s="46" t="n"/>
      <c r="AA137" s="46" t="n"/>
      <c r="AB137" s="46" t="n"/>
      <c r="AC137" s="24" t="n"/>
    </row>
    <row r="138" ht="15.75" customHeight="1" s="98">
      <c r="A138" s="69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80" t="n">
        <v>21</v>
      </c>
      <c r="E138" s="70">
        <f>IF(D138&gt;=($D$6*0.7),1,0)</f>
        <v/>
      </c>
      <c r="F138" s="70">
        <f>IF(D138&gt;=($D$6*0.8),1,0)</f>
        <v/>
      </c>
      <c r="G138" s="70">
        <f>IF(D138&gt;=($D$6*0.9),1,0)</f>
        <v/>
      </c>
      <c r="H138" s="80" t="n">
        <v>24</v>
      </c>
      <c r="I138" s="70">
        <f>IF(H138&gt;=($H$6*0.7),1,0)</f>
        <v/>
      </c>
      <c r="J138" s="70">
        <f>IF(H138&gt;=($H$6*0.7),1,0)</f>
        <v/>
      </c>
      <c r="K138" s="70">
        <f>IF(H138&gt;=($H$6*0.9),1,0)</f>
        <v/>
      </c>
      <c r="L138" s="80" t="n">
        <v>13</v>
      </c>
      <c r="M138" s="70">
        <f>IF(L138&gt;=($L$6*0.7),1,0)</f>
        <v/>
      </c>
      <c r="N138" s="70">
        <f>IF(L138&gt;=($L$6*0.8),1,0)</f>
        <v/>
      </c>
      <c r="O138" s="70">
        <f>IF(L138&gt;=($L$6*0.9),1,0)</f>
        <v/>
      </c>
      <c r="P138" s="63" t="n"/>
      <c r="Q138" s="63" t="n"/>
      <c r="R138" s="80" t="n">
        <v>58</v>
      </c>
      <c r="S138" s="48" t="n"/>
      <c r="T138" s="48" t="n"/>
      <c r="U138" s="48" t="n"/>
      <c r="V138" s="48" t="n"/>
      <c r="W138" s="44" t="n"/>
      <c r="X138" s="44" t="n"/>
      <c r="Y138" s="48" t="n"/>
      <c r="Z138" s="46" t="n"/>
      <c r="AA138" s="46" t="n"/>
      <c r="AB138" s="46" t="n"/>
      <c r="AC138" s="24" t="n"/>
    </row>
    <row r="139" ht="15.75" customHeight="1" s="98">
      <c r="A139" s="69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80" t="n">
        <v>26</v>
      </c>
      <c r="E139" s="70">
        <f>IF(D139&gt;=($D$6*0.7),1,0)</f>
        <v/>
      </c>
      <c r="F139" s="70">
        <f>IF(D139&gt;=($D$6*0.8),1,0)</f>
        <v/>
      </c>
      <c r="G139" s="70">
        <f>IF(D139&gt;=($D$6*0.9),1,0)</f>
        <v/>
      </c>
      <c r="H139" s="80" t="n">
        <v>25</v>
      </c>
      <c r="I139" s="70">
        <f>IF(H139&gt;=($H$6*0.7),1,0)</f>
        <v/>
      </c>
      <c r="J139" s="70">
        <f>IF(H139&gt;=($H$6*0.7),1,0)</f>
        <v/>
      </c>
      <c r="K139" s="70">
        <f>IF(H139&gt;=($H$6*0.9),1,0)</f>
        <v/>
      </c>
      <c r="L139" s="80" t="n">
        <v>14</v>
      </c>
      <c r="M139" s="70">
        <f>IF(L139&gt;=($L$6*0.7),1,0)</f>
        <v/>
      </c>
      <c r="N139" s="70">
        <f>IF(L139&gt;=($L$6*0.8),1,0)</f>
        <v/>
      </c>
      <c r="O139" s="70">
        <f>IF(L139&gt;=($L$6*0.9),1,0)</f>
        <v/>
      </c>
      <c r="P139" s="63" t="n"/>
      <c r="Q139" s="63" t="n"/>
      <c r="R139" s="80" t="n">
        <v>65</v>
      </c>
      <c r="S139" s="48" t="n"/>
      <c r="T139" s="48" t="n"/>
      <c r="U139" s="48" t="n"/>
      <c r="V139" s="48" t="n"/>
      <c r="W139" s="44" t="n"/>
      <c r="X139" s="44" t="n"/>
      <c r="Y139" s="48" t="n"/>
      <c r="Z139" s="46" t="n"/>
      <c r="AA139" s="46" t="n"/>
      <c r="AB139" s="46" t="n"/>
      <c r="AC139" s="24" t="n"/>
    </row>
    <row r="140" ht="15.75" customHeight="1" s="98">
      <c r="A140" s="69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80" t="n">
        <v>28</v>
      </c>
      <c r="E140" s="70">
        <f>IF(D140&gt;=($D$6*0.7),1,0)</f>
        <v/>
      </c>
      <c r="F140" s="70">
        <f>IF(D140&gt;=($D$6*0.8),1,0)</f>
        <v/>
      </c>
      <c r="G140" s="70">
        <f>IF(D140&gt;=($D$6*0.9),1,0)</f>
        <v/>
      </c>
      <c r="H140" s="80" t="n">
        <v>28</v>
      </c>
      <c r="I140" s="70">
        <f>IF(H140&gt;=($H$6*0.7),1,0)</f>
        <v/>
      </c>
      <c r="J140" s="70">
        <f>IF(H140&gt;=($H$6*0.7),1,0)</f>
        <v/>
      </c>
      <c r="K140" s="70">
        <f>IF(H140&gt;=($H$6*0.9),1,0)</f>
        <v/>
      </c>
      <c r="L140" s="80" t="n">
        <v>14</v>
      </c>
      <c r="M140" s="70">
        <f>IF(L140&gt;=($L$6*0.7),1,0)</f>
        <v/>
      </c>
      <c r="N140" s="70">
        <f>IF(L140&gt;=($L$6*0.8),1,0)</f>
        <v/>
      </c>
      <c r="O140" s="70">
        <f>IF(L140&gt;=($L$6*0.9),1,0)</f>
        <v/>
      </c>
      <c r="P140" s="63" t="n"/>
      <c r="Q140" s="63" t="n"/>
      <c r="R140" s="80" t="n">
        <v>70</v>
      </c>
      <c r="S140" s="48" t="n"/>
      <c r="T140" s="48" t="n"/>
      <c r="U140" s="48" t="n"/>
      <c r="V140" s="48" t="n"/>
      <c r="W140" s="44" t="n"/>
      <c r="X140" s="44" t="n"/>
      <c r="Y140" s="48" t="n"/>
      <c r="Z140" s="46" t="n"/>
      <c r="AA140" s="46" t="n"/>
      <c r="AB140" s="46" t="n"/>
      <c r="AC140" s="24" t="n"/>
    </row>
    <row r="141" ht="15.75" customHeight="1" s="98">
      <c r="A141" s="69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t="n">
        <v>21</v>
      </c>
      <c r="E141" s="70">
        <f>IF(D141&gt;=($D$6*0.7),1,0)</f>
        <v/>
      </c>
      <c r="F141" s="70">
        <f>IF(D141&gt;=($D$6*0.8),1,0)</f>
        <v/>
      </c>
      <c r="G141" s="70">
        <f>IF(D141&gt;=($D$6*0.9),1,0)</f>
        <v/>
      </c>
      <c r="H141" t="n">
        <v>21</v>
      </c>
      <c r="I141" s="70">
        <f>IF(H141&gt;=($H$6*0.7),1,0)</f>
        <v/>
      </c>
      <c r="J141" s="70">
        <f>IF(H141&gt;=($H$6*0.7),1,0)</f>
        <v/>
      </c>
      <c r="K141" s="70">
        <f>IF(H141&gt;=($H$6*0.9),1,0)</f>
        <v/>
      </c>
      <c r="L141" t="n">
        <v>13</v>
      </c>
      <c r="M141" s="70">
        <f>IF(L141&gt;=($L$6*0.7),1,0)</f>
        <v/>
      </c>
      <c r="N141" s="70">
        <f>IF(L141&gt;=($L$6*0.8),1,0)</f>
        <v/>
      </c>
      <c r="O141" s="70">
        <f>IF(L141&gt;=($L$6*0.9),1,0)</f>
        <v/>
      </c>
      <c r="P141" s="63" t="n"/>
      <c r="Q141" s="63" t="n"/>
      <c r="R141" t="n">
        <v>55</v>
      </c>
      <c r="S141" s="48" t="n"/>
      <c r="T141" s="48" t="n"/>
      <c r="U141" s="48" t="n"/>
      <c r="V141" s="48" t="n"/>
      <c r="W141" s="44" t="n"/>
      <c r="X141" s="44" t="n"/>
      <c r="Y141" s="48" t="n"/>
      <c r="Z141" s="46" t="n"/>
      <c r="AA141" s="46" t="n"/>
      <c r="AB141" s="46" t="n"/>
      <c r="AC141" s="24" t="n"/>
    </row>
    <row r="142" ht="15.75" customHeight="1" s="98">
      <c r="A142" s="69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80" t="n"/>
      <c r="E142" s="70">
        <f>IF(D142&gt;=($D$6*0.7),1,0)</f>
        <v/>
      </c>
      <c r="F142" s="70">
        <f>IF(D142&gt;=($D$6*0.8),1,0)</f>
        <v/>
      </c>
      <c r="G142" s="70">
        <f>IF(D142&gt;=($D$6*0.9),1,0)</f>
        <v/>
      </c>
      <c r="H142" s="80" t="n"/>
      <c r="I142" s="70">
        <f>IF(H142&gt;=($H$6*0.7),1,0)</f>
        <v/>
      </c>
      <c r="J142" s="70">
        <f>IF(H142&gt;=($H$6*0.7),1,0)</f>
        <v/>
      </c>
      <c r="K142" s="70">
        <f>IF(H142&gt;=($H$6*0.9),1,0)</f>
        <v/>
      </c>
      <c r="L142" s="80" t="n"/>
      <c r="M142" s="70">
        <f>IF(L142&gt;=($L$6*0.7),1,0)</f>
        <v/>
      </c>
      <c r="N142" s="70">
        <f>IF(L142&gt;=($L$6*0.8),1,0)</f>
        <v/>
      </c>
      <c r="O142" s="70">
        <f>IF(L142&gt;=($L$6*0.9),1,0)</f>
        <v/>
      </c>
      <c r="P142" s="63" t="n"/>
      <c r="Q142" s="63" t="n"/>
      <c r="R142" s="80" t="n"/>
      <c r="S142" s="48" t="n"/>
      <c r="T142" s="48" t="n"/>
      <c r="U142" s="48" t="n"/>
      <c r="V142" s="48" t="n"/>
      <c r="W142" s="44" t="n"/>
      <c r="X142" s="44" t="n"/>
      <c r="Y142" s="48" t="n"/>
      <c r="Z142" s="46" t="n"/>
      <c r="AA142" s="46" t="n"/>
      <c r="AB142" s="46" t="n"/>
      <c r="AC142" s="24" t="n"/>
    </row>
    <row r="143" ht="15.75" customHeight="1" s="98">
      <c r="A143" s="69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80" t="n">
        <v>13</v>
      </c>
      <c r="E143" s="70">
        <f>IF(D143&gt;=($D$6*0.7),1,0)</f>
        <v/>
      </c>
      <c r="F143" s="70">
        <f>IF(D143&gt;=($D$6*0.8),1,0)</f>
        <v/>
      </c>
      <c r="G143" s="70">
        <f>IF(D143&gt;=($D$6*0.9),1,0)</f>
        <v/>
      </c>
      <c r="H143" s="80" t="n">
        <v>13</v>
      </c>
      <c r="I143" s="70">
        <f>IF(H143&gt;=($H$6*0.7),1,0)</f>
        <v/>
      </c>
      <c r="J143" s="70">
        <f>IF(H143&gt;=($H$6*0.7),1,0)</f>
        <v/>
      </c>
      <c r="K143" s="70">
        <f>IF(H143&gt;=($H$6*0.9),1,0)</f>
        <v/>
      </c>
      <c r="L143" s="80" t="n">
        <v>9</v>
      </c>
      <c r="M143" s="70">
        <f>IF(L143&gt;=($L$6*0.7),1,0)</f>
        <v/>
      </c>
      <c r="N143" s="70">
        <f>IF(L143&gt;=($L$6*0.8),1,0)</f>
        <v/>
      </c>
      <c r="O143" s="70">
        <f>IF(L143&gt;=($L$6*0.9),1,0)</f>
        <v/>
      </c>
      <c r="P143" s="63" t="n"/>
      <c r="Q143" s="63" t="n"/>
      <c r="R143" s="80" t="n">
        <v>35</v>
      </c>
      <c r="S143" s="48" t="n"/>
      <c r="T143" s="48" t="n"/>
      <c r="U143" s="48" t="n"/>
      <c r="V143" s="48" t="n"/>
      <c r="W143" s="44" t="n"/>
      <c r="X143" s="44" t="n"/>
      <c r="Y143" s="48" t="n"/>
      <c r="Z143" s="46" t="n"/>
      <c r="AA143" s="46" t="n"/>
      <c r="AB143" s="46" t="n"/>
      <c r="AC143" s="24" t="n"/>
    </row>
    <row r="144" ht="15.75" customHeight="1" s="98">
      <c r="A144" s="69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80" t="n">
        <v>28</v>
      </c>
      <c r="E144" s="70">
        <f>IF(D144&gt;=($D$6*0.7),1,0)</f>
        <v/>
      </c>
      <c r="F144" s="70">
        <f>IF(D144&gt;=($D$6*0.8),1,0)</f>
        <v/>
      </c>
      <c r="G144" s="70">
        <f>IF(D144&gt;=($D$6*0.9),1,0)</f>
        <v/>
      </c>
      <c r="H144" s="80" t="n">
        <v>28</v>
      </c>
      <c r="I144" s="70">
        <f>IF(H144&gt;=($H$6*0.7),1,0)</f>
        <v/>
      </c>
      <c r="J144" s="70">
        <f>IF(H144&gt;=($H$6*0.7),1,0)</f>
        <v/>
      </c>
      <c r="K144" s="70">
        <f>IF(H144&gt;=($H$6*0.9),1,0)</f>
        <v/>
      </c>
      <c r="L144" s="80" t="n">
        <v>14</v>
      </c>
      <c r="M144" s="70">
        <f>IF(L144&gt;=($L$6*0.7),1,0)</f>
        <v/>
      </c>
      <c r="N144" s="70">
        <f>IF(L144&gt;=($L$6*0.8),1,0)</f>
        <v/>
      </c>
      <c r="O144" s="70">
        <f>IF(L144&gt;=($L$6*0.9),1,0)</f>
        <v/>
      </c>
      <c r="P144" s="63" t="n"/>
      <c r="Q144" s="63" t="n"/>
      <c r="R144" t="n">
        <v>70</v>
      </c>
      <c r="S144" s="48" t="n"/>
      <c r="T144" s="48" t="n"/>
      <c r="U144" s="48" t="n"/>
      <c r="V144" s="48" t="n"/>
      <c r="W144" s="44" t="n"/>
      <c r="X144" s="44" t="n"/>
      <c r="Y144" s="48" t="n"/>
      <c r="Z144" s="46" t="n"/>
      <c r="AA144" s="46" t="n"/>
      <c r="AB144" s="46" t="n"/>
      <c r="AC144" s="24" t="n"/>
    </row>
    <row r="145" ht="15.75" customHeight="1" s="98">
      <c r="A145" s="69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80" t="n">
        <v>22</v>
      </c>
      <c r="E145" s="70">
        <f>IF(D145&gt;=($D$6*0.7),1,0)</f>
        <v/>
      </c>
      <c r="F145" s="70">
        <f>IF(D145&gt;=($D$6*0.8),1,0)</f>
        <v/>
      </c>
      <c r="G145" s="70">
        <f>IF(D145&gt;=($D$6*0.9),1,0)</f>
        <v/>
      </c>
      <c r="H145" s="80" t="n">
        <v>21</v>
      </c>
      <c r="I145" s="70">
        <f>IF(H145&gt;=($H$6*0.7),1,0)</f>
        <v/>
      </c>
      <c r="J145" s="70">
        <f>IF(H145&gt;=($H$6*0.7),1,0)</f>
        <v/>
      </c>
      <c r="K145" s="70">
        <f>IF(H145&gt;=($H$6*0.9),1,0)</f>
        <v/>
      </c>
      <c r="L145" s="80" t="n">
        <v>11</v>
      </c>
      <c r="M145" s="70">
        <f>IF(L145&gt;=($L$6*0.7),1,0)</f>
        <v/>
      </c>
      <c r="N145" s="70">
        <f>IF(L145&gt;=($L$6*0.8),1,0)</f>
        <v/>
      </c>
      <c r="O145" s="70">
        <f>IF(L145&gt;=($L$6*0.9),1,0)</f>
        <v/>
      </c>
      <c r="P145" s="63" t="n"/>
      <c r="Q145" s="63" t="n"/>
      <c r="R145" t="n">
        <v>54</v>
      </c>
      <c r="S145" s="48" t="n"/>
      <c r="T145" s="48" t="n"/>
      <c r="U145" s="48" t="n"/>
      <c r="V145" s="48" t="n"/>
      <c r="W145" s="44" t="n"/>
      <c r="X145" s="44" t="n"/>
      <c r="Y145" s="48" t="n"/>
      <c r="Z145" s="46" t="n"/>
      <c r="AA145" s="46" t="n"/>
      <c r="AB145" s="46" t="n"/>
      <c r="AC145" s="24" t="n"/>
    </row>
    <row r="146" ht="15.75" customHeight="1" s="98">
      <c r="A146" s="69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80" t="n">
        <v>25</v>
      </c>
      <c r="E146" s="70">
        <f>IF(D146&gt;=($D$6*0.7),1,0)</f>
        <v/>
      </c>
      <c r="F146" s="70">
        <f>IF(D146&gt;=($D$6*0.8),1,0)</f>
        <v/>
      </c>
      <c r="G146" s="70">
        <f>IF(D146&gt;=($D$6*0.9),1,0)</f>
        <v/>
      </c>
      <c r="H146" s="80" t="n">
        <v>25</v>
      </c>
      <c r="I146" s="70">
        <f>IF(H146&gt;=($H$6*0.7),1,0)</f>
        <v/>
      </c>
      <c r="J146" s="70">
        <f>IF(H146&gt;=($H$6*0.7),1,0)</f>
        <v/>
      </c>
      <c r="K146" s="70">
        <f>IF(H146&gt;=($H$6*0.9),1,0)</f>
        <v/>
      </c>
      <c r="L146" s="80" t="n">
        <v>13</v>
      </c>
      <c r="M146" s="70">
        <f>IF(L146&gt;=($L$6*0.7),1,0)</f>
        <v/>
      </c>
      <c r="N146" s="70">
        <f>IF(L146&gt;=($L$6*0.8),1,0)</f>
        <v/>
      </c>
      <c r="O146" s="70">
        <f>IF(L146&gt;=($L$6*0.9),1,0)</f>
        <v/>
      </c>
      <c r="P146" s="63" t="n"/>
      <c r="Q146" s="63" t="n"/>
      <c r="R146" t="n">
        <v>63</v>
      </c>
      <c r="S146" s="48" t="n"/>
      <c r="T146" s="48" t="n"/>
      <c r="U146" s="48" t="n"/>
      <c r="V146" s="48" t="n"/>
      <c r="W146" s="44" t="n"/>
      <c r="X146" s="44" t="n"/>
      <c r="Y146" s="48" t="n"/>
      <c r="Z146" s="46" t="n"/>
      <c r="AA146" s="46" t="n"/>
      <c r="AB146" s="46" t="n"/>
      <c r="AC146" s="24" t="n"/>
    </row>
    <row r="147" ht="15.75" customHeight="1" s="98">
      <c r="A147" s="69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80" t="n">
        <v>26</v>
      </c>
      <c r="E147" s="70">
        <f>IF(D147&gt;=($D$6*0.7),1,0)</f>
        <v/>
      </c>
      <c r="F147" s="70">
        <f>IF(D147&gt;=($D$6*0.8),1,0)</f>
        <v/>
      </c>
      <c r="G147" s="70">
        <f>IF(D147&gt;=($D$6*0.9),1,0)</f>
        <v/>
      </c>
      <c r="H147" s="80" t="n">
        <v>23</v>
      </c>
      <c r="I147" s="70">
        <f>IF(H147&gt;=($H$6*0.7),1,0)</f>
        <v/>
      </c>
      <c r="J147" s="70">
        <f>IF(H147&gt;=($H$6*0.7),1,0)</f>
        <v/>
      </c>
      <c r="K147" s="70">
        <f>IF(H147&gt;=($H$6*0.9),1,0)</f>
        <v/>
      </c>
      <c r="L147" s="80" t="n">
        <v>13</v>
      </c>
      <c r="M147" s="70">
        <f>IF(L147&gt;=($L$6*0.7),1,0)</f>
        <v/>
      </c>
      <c r="N147" s="70">
        <f>IF(L147&gt;=($L$6*0.8),1,0)</f>
        <v/>
      </c>
      <c r="O147" s="70">
        <f>IF(L147&gt;=($L$6*0.9),1,0)</f>
        <v/>
      </c>
      <c r="P147" s="63" t="n"/>
      <c r="Q147" s="63" t="n"/>
      <c r="R147" t="n">
        <v>62</v>
      </c>
      <c r="S147" s="48" t="n"/>
      <c r="T147" s="48" t="n"/>
      <c r="U147" s="48" t="n"/>
      <c r="V147" s="48" t="n"/>
      <c r="W147" s="44" t="n"/>
      <c r="X147" s="44" t="n"/>
      <c r="Y147" s="48" t="n"/>
      <c r="Z147" s="46" t="n"/>
      <c r="AA147" s="46" t="n"/>
      <c r="AB147" s="46" t="n"/>
      <c r="AC147" s="24" t="n"/>
    </row>
    <row r="148" ht="15.75" customHeight="1" s="98">
      <c r="A148" s="69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80" t="n">
        <v>21</v>
      </c>
      <c r="E148" s="70">
        <f>IF(D148&gt;=($D$6*0.7),1,0)</f>
        <v/>
      </c>
      <c r="F148" s="70">
        <f>IF(D148&gt;=($D$6*0.8),1,0)</f>
        <v/>
      </c>
      <c r="G148" s="70">
        <f>IF(D148&gt;=($D$6*0.9),1,0)</f>
        <v/>
      </c>
      <c r="H148" s="80" t="n">
        <v>21</v>
      </c>
      <c r="I148" s="70">
        <f>IF(H148&gt;=($H$6*0.7),1,0)</f>
        <v/>
      </c>
      <c r="J148" s="70">
        <f>IF(H148&gt;=($H$6*0.7),1,0)</f>
        <v/>
      </c>
      <c r="K148" s="70">
        <f>IF(H148&gt;=($H$6*0.9),1,0)</f>
        <v/>
      </c>
      <c r="L148" s="80" t="n">
        <v>13</v>
      </c>
      <c r="M148" s="70">
        <f>IF(L148&gt;=($L$6*0.7),1,0)</f>
        <v/>
      </c>
      <c r="N148" s="70">
        <f>IF(L148&gt;=($L$6*0.8),1,0)</f>
        <v/>
      </c>
      <c r="O148" s="70">
        <f>IF(L148&gt;=($L$6*0.9),1,0)</f>
        <v/>
      </c>
      <c r="P148" s="63" t="n"/>
      <c r="Q148" s="63" t="n"/>
      <c r="R148" s="80" t="n">
        <v>55</v>
      </c>
      <c r="S148" s="48" t="n"/>
      <c r="T148" s="48" t="n"/>
      <c r="U148" s="48" t="n"/>
      <c r="V148" s="48" t="n"/>
      <c r="W148" s="44" t="n"/>
      <c r="X148" s="44" t="n"/>
      <c r="Y148" s="48" t="n"/>
      <c r="Z148" s="46" t="n"/>
      <c r="AA148" s="46" t="n"/>
      <c r="AB148" s="46" t="n"/>
      <c r="AC148" s="24" t="n"/>
    </row>
    <row r="149" ht="15.75" customHeight="1" s="98">
      <c r="A149" s="69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t="n">
        <v>22</v>
      </c>
      <c r="E149" s="70">
        <f>IF(D149&gt;=($D$6*0.7),1,0)</f>
        <v/>
      </c>
      <c r="F149" s="70">
        <f>IF(D149&gt;=($D$6*0.8),1,0)</f>
        <v/>
      </c>
      <c r="G149" s="70">
        <f>IF(D149&gt;=($D$6*0.9),1,0)</f>
        <v/>
      </c>
      <c r="H149" t="n">
        <v>24</v>
      </c>
      <c r="I149" s="70">
        <f>IF(H149&gt;=($H$6*0.7),1,0)</f>
        <v/>
      </c>
      <c r="J149" s="70">
        <f>IF(H149&gt;=($H$6*0.7),1,0)</f>
        <v/>
      </c>
      <c r="K149" s="70">
        <f>IF(H149&gt;=($H$6*0.9),1,0)</f>
        <v/>
      </c>
      <c r="L149" t="n">
        <v>13</v>
      </c>
      <c r="M149" s="70">
        <f>IF(L149&gt;=($L$6*0.7),1,0)</f>
        <v/>
      </c>
      <c r="N149" s="70">
        <f>IF(L149&gt;=($L$6*0.8),1,0)</f>
        <v/>
      </c>
      <c r="O149" s="70">
        <f>IF(L149&gt;=($L$6*0.9),1,0)</f>
        <v/>
      </c>
      <c r="P149" s="63" t="n"/>
      <c r="Q149" s="63" t="n"/>
      <c r="R149" s="80" t="n">
        <v>59</v>
      </c>
      <c r="S149" s="48" t="n"/>
      <c r="T149" s="48" t="n"/>
      <c r="U149" s="48" t="n"/>
      <c r="V149" s="48" t="n"/>
      <c r="W149" s="44" t="n"/>
      <c r="X149" s="44" t="n"/>
      <c r="Y149" s="48" t="n"/>
      <c r="Z149" s="46" t="n"/>
      <c r="AA149" s="46" t="n"/>
      <c r="AB149" s="46" t="n"/>
      <c r="AC149" s="24" t="n"/>
    </row>
    <row r="150" ht="15.75" customHeight="1" s="98">
      <c r="A150" s="69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80" t="n">
        <v>28</v>
      </c>
      <c r="E150" s="70">
        <f>IF(D150&gt;=($D$6*0.7),1,0)</f>
        <v/>
      </c>
      <c r="F150" s="70">
        <f>IF(D150&gt;=($D$6*0.8),1,0)</f>
        <v/>
      </c>
      <c r="G150" s="70">
        <f>IF(D150&gt;=($D$6*0.9),1,0)</f>
        <v/>
      </c>
      <c r="H150" s="80" t="n">
        <v>28</v>
      </c>
      <c r="I150" s="70">
        <f>IF(H150&gt;=($H$6*0.7),1,0)</f>
        <v/>
      </c>
      <c r="J150" s="70">
        <f>IF(H150&gt;=($H$6*0.7),1,0)</f>
        <v/>
      </c>
      <c r="K150" s="70">
        <f>IF(H150&gt;=($H$6*0.9),1,0)</f>
        <v/>
      </c>
      <c r="L150" s="80" t="n">
        <v>14</v>
      </c>
      <c r="M150" s="70">
        <f>IF(L150&gt;=($L$6*0.7),1,0)</f>
        <v/>
      </c>
      <c r="N150" s="70">
        <f>IF(L150&gt;=($L$6*0.8),1,0)</f>
        <v/>
      </c>
      <c r="O150" s="70">
        <f>IF(L150&gt;=($L$6*0.9),1,0)</f>
        <v/>
      </c>
      <c r="P150" s="63" t="n"/>
      <c r="Q150" s="63" t="n"/>
      <c r="R150" s="80" t="n">
        <v>70</v>
      </c>
      <c r="S150" s="48" t="n"/>
      <c r="T150" s="48" t="n"/>
      <c r="U150" s="48" t="n"/>
      <c r="V150" s="48" t="n"/>
      <c r="W150" s="44" t="n"/>
      <c r="X150" s="44" t="n"/>
      <c r="Y150" s="48" t="n"/>
      <c r="Z150" s="46" t="n"/>
      <c r="AA150" s="46" t="n"/>
      <c r="AB150" s="46" t="n"/>
      <c r="AC150" s="24" t="n"/>
    </row>
    <row r="151" ht="15.75" customHeight="1" s="98">
      <c r="A151" s="69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80" t="n">
        <v>25</v>
      </c>
      <c r="E151" s="70">
        <f>IF(D151&gt;=($D$6*0.7),1,0)</f>
        <v/>
      </c>
      <c r="F151" s="70">
        <f>IF(D151&gt;=($D$6*0.8),1,0)</f>
        <v/>
      </c>
      <c r="G151" s="70">
        <f>IF(D151&gt;=($D$6*0.9),1,0)</f>
        <v/>
      </c>
      <c r="H151" s="80" t="n">
        <v>25</v>
      </c>
      <c r="I151" s="70">
        <f>IF(H151&gt;=($H$6*0.7),1,0)</f>
        <v/>
      </c>
      <c r="J151" s="70">
        <f>IF(H151&gt;=($H$6*0.7),1,0)</f>
        <v/>
      </c>
      <c r="K151" s="70">
        <f>IF(H151&gt;=($H$6*0.9),1,0)</f>
        <v/>
      </c>
      <c r="L151" s="80" t="n">
        <v>13</v>
      </c>
      <c r="M151" s="70">
        <f>IF(L151&gt;=($L$6*0.7),1,0)</f>
        <v/>
      </c>
      <c r="N151" s="70">
        <f>IF(L151&gt;=($L$6*0.8),1,0)</f>
        <v/>
      </c>
      <c r="O151" s="70">
        <f>IF(L151&gt;=($L$6*0.9),1,0)</f>
        <v/>
      </c>
      <c r="P151" s="63" t="n"/>
      <c r="Q151" s="63" t="n"/>
      <c r="R151" s="80" t="n">
        <v>63</v>
      </c>
      <c r="S151" s="48" t="n"/>
      <c r="T151" s="48" t="n"/>
      <c r="U151" s="48" t="n"/>
      <c r="V151" s="48" t="n"/>
      <c r="W151" s="44" t="n"/>
      <c r="X151" s="44" t="n"/>
      <c r="Y151" s="48" t="n"/>
      <c r="Z151" s="46" t="n"/>
      <c r="AA151" s="46" t="n"/>
      <c r="AB151" s="46" t="n"/>
      <c r="AC151" s="24" t="n"/>
    </row>
    <row r="152" ht="15.75" customHeight="1" s="98">
      <c r="A152" s="69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80" t="n">
        <v>27</v>
      </c>
      <c r="E152" s="70">
        <f>IF(D152&gt;=($D$6*0.7),1,0)</f>
        <v/>
      </c>
      <c r="F152" s="70">
        <f>IF(D152&gt;=($D$6*0.8),1,0)</f>
        <v/>
      </c>
      <c r="G152" s="70">
        <f>IF(D152&gt;=($D$6*0.9),1,0)</f>
        <v/>
      </c>
      <c r="H152" s="80" t="n">
        <v>27</v>
      </c>
      <c r="I152" s="70">
        <f>IF(H152&gt;=($H$6*0.7),1,0)</f>
        <v/>
      </c>
      <c r="J152" s="70">
        <f>IF(H152&gt;=($H$6*0.7),1,0)</f>
        <v/>
      </c>
      <c r="K152" s="70">
        <f>IF(H152&gt;=($H$6*0.9),1,0)</f>
        <v/>
      </c>
      <c r="L152" s="80" t="n">
        <v>14</v>
      </c>
      <c r="M152" s="70">
        <f>IF(L152&gt;=($L$6*0.7),1,0)</f>
        <v/>
      </c>
      <c r="N152" s="70">
        <f>IF(L152&gt;=($L$6*0.8),1,0)</f>
        <v/>
      </c>
      <c r="O152" s="70">
        <f>IF(L152&gt;=($L$6*0.9),1,0)</f>
        <v/>
      </c>
      <c r="P152" s="63" t="n"/>
      <c r="Q152" s="63" t="n"/>
      <c r="R152" s="80" t="n">
        <v>68</v>
      </c>
      <c r="S152" s="48" t="n"/>
      <c r="T152" s="48" t="n"/>
      <c r="U152" s="48" t="n"/>
      <c r="V152" s="48" t="n"/>
      <c r="W152" s="44" t="n"/>
      <c r="X152" s="44" t="n"/>
      <c r="Y152" s="48" t="n"/>
      <c r="Z152" s="46" t="n"/>
      <c r="AA152" s="46" t="n"/>
      <c r="AB152" s="46" t="n"/>
      <c r="AC152" s="24" t="n"/>
    </row>
    <row r="153" ht="15.75" customHeight="1" s="98">
      <c r="A153" s="69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t="n">
        <v>21</v>
      </c>
      <c r="E153" s="70">
        <f>IF(D153&gt;=($D$6*0.7),1,0)</f>
        <v/>
      </c>
      <c r="F153" s="70">
        <f>IF(D153&gt;=($D$6*0.8),1,0)</f>
        <v/>
      </c>
      <c r="G153" s="70">
        <f>IF(D153&gt;=($D$6*0.9),1,0)</f>
        <v/>
      </c>
      <c r="H153" t="n">
        <v>21</v>
      </c>
      <c r="I153" s="70">
        <f>IF(H153&gt;=($H$6*0.7),1,0)</f>
        <v/>
      </c>
      <c r="J153" s="70">
        <f>IF(H153&gt;=($H$6*0.7),1,0)</f>
        <v/>
      </c>
      <c r="K153" s="70">
        <f>IF(H153&gt;=($H$6*0.9),1,0)</f>
        <v/>
      </c>
      <c r="L153" t="n">
        <v>11</v>
      </c>
      <c r="M153" s="70">
        <f>IF(L153&gt;=($L$6*0.7),1,0)</f>
        <v/>
      </c>
      <c r="N153" s="70">
        <f>IF(L153&gt;=($L$6*0.8),1,0)</f>
        <v/>
      </c>
      <c r="O153" s="70">
        <f>IF(L153&gt;=($L$6*0.9),1,0)</f>
        <v/>
      </c>
      <c r="P153" s="63" t="n"/>
      <c r="Q153" s="63" t="n"/>
      <c r="R153" s="80" t="n">
        <v>53</v>
      </c>
      <c r="S153" s="48" t="n"/>
      <c r="T153" s="48" t="n"/>
      <c r="U153" s="48" t="n"/>
      <c r="V153" s="48" t="n"/>
      <c r="W153" s="44" t="n"/>
      <c r="X153" s="44" t="n"/>
      <c r="Y153" s="48" t="n"/>
      <c r="Z153" s="46" t="n"/>
      <c r="AA153" s="46" t="n"/>
      <c r="AB153" s="46" t="n"/>
      <c r="AC153" s="24" t="n"/>
    </row>
    <row r="154" ht="15.75" customHeight="1" s="98">
      <c r="A154" s="69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t="n">
        <v>21</v>
      </c>
      <c r="E154" s="70">
        <f>IF(D154&gt;=($D$6*0.7),1,0)</f>
        <v/>
      </c>
      <c r="F154" s="70">
        <f>IF(D154&gt;=($D$6*0.8),1,0)</f>
        <v/>
      </c>
      <c r="G154" s="70">
        <f>IF(D154&gt;=($D$6*0.9),1,0)</f>
        <v/>
      </c>
      <c r="H154" t="n">
        <v>23</v>
      </c>
      <c r="I154" s="70">
        <f>IF(H154&gt;=($H$6*0.7),1,0)</f>
        <v/>
      </c>
      <c r="J154" s="70">
        <f>IF(H154&gt;=($H$6*0.7),1,0)</f>
        <v/>
      </c>
      <c r="K154" s="70">
        <f>IF(H154&gt;=($H$6*0.9),1,0)</f>
        <v/>
      </c>
      <c r="L154" t="n">
        <v>13</v>
      </c>
      <c r="M154" s="70">
        <f>IF(L154&gt;=($L$6*0.7),1,0)</f>
        <v/>
      </c>
      <c r="N154" s="70">
        <f>IF(L154&gt;=($L$6*0.8),1,0)</f>
        <v/>
      </c>
      <c r="O154" s="70">
        <f>IF(L154&gt;=($L$6*0.9),1,0)</f>
        <v/>
      </c>
      <c r="P154" s="63" t="n"/>
      <c r="Q154" s="63" t="n"/>
      <c r="R154" t="n">
        <v>57</v>
      </c>
      <c r="S154" s="48" t="n"/>
      <c r="T154" s="48" t="n"/>
      <c r="U154" s="48" t="n"/>
      <c r="V154" s="48" t="n"/>
      <c r="W154" s="44" t="n"/>
      <c r="X154" s="44" t="n"/>
      <c r="Y154" s="48" t="n"/>
      <c r="Z154" s="46" t="n"/>
      <c r="AA154" s="46" t="n"/>
      <c r="AB154" s="46" t="n"/>
      <c r="AC154" s="24" t="n"/>
    </row>
    <row r="155" ht="15.75" customHeight="1" s="98">
      <c r="A155" s="69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80" t="n">
        <v>24</v>
      </c>
      <c r="E155" s="70">
        <f>IF(D155&gt;=($D$6*0.7),1,0)</f>
        <v/>
      </c>
      <c r="F155" s="70">
        <f>IF(D155&gt;=($D$6*0.8),1,0)</f>
        <v/>
      </c>
      <c r="G155" s="70">
        <f>IF(D155&gt;=($D$6*0.9),1,0)</f>
        <v/>
      </c>
      <c r="H155" s="80" t="n">
        <v>22</v>
      </c>
      <c r="I155" s="70">
        <f>IF(H155&gt;=($H$6*0.7),1,0)</f>
        <v/>
      </c>
      <c r="J155" s="70">
        <f>IF(H155&gt;=($H$6*0.7),1,0)</f>
        <v/>
      </c>
      <c r="K155" s="70">
        <f>IF(H155&gt;=($H$6*0.9),1,0)</f>
        <v/>
      </c>
      <c r="L155" s="80" t="n">
        <v>13</v>
      </c>
      <c r="M155" s="70">
        <f>IF(L155&gt;=($L$6*0.7),1,0)</f>
        <v/>
      </c>
      <c r="N155" s="70">
        <f>IF(L155&gt;=($L$6*0.8),1,0)</f>
        <v/>
      </c>
      <c r="O155" s="70">
        <f>IF(L155&gt;=($L$6*0.9),1,0)</f>
        <v/>
      </c>
      <c r="P155" s="63" t="n"/>
      <c r="Q155" s="63" t="n"/>
      <c r="R155" s="80" t="n">
        <v>59</v>
      </c>
      <c r="S155" s="48" t="n"/>
      <c r="T155" s="48" t="n"/>
      <c r="U155" s="48" t="n"/>
      <c r="V155" s="48" t="n"/>
      <c r="W155" s="44" t="n"/>
      <c r="X155" s="44" t="n"/>
      <c r="Y155" s="48" t="n"/>
      <c r="Z155" s="46" t="n"/>
      <c r="AA155" s="46" t="n"/>
      <c r="AB155" s="46" t="n"/>
      <c r="AC155" s="24" t="n"/>
    </row>
    <row r="156" ht="15.75" customHeight="1" s="98">
      <c r="A156" s="69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80" t="n">
        <v>28</v>
      </c>
      <c r="E156" s="70">
        <f>IF(D156&gt;=($D$6*0.7),1,0)</f>
        <v/>
      </c>
      <c r="F156" s="70">
        <f>IF(D156&gt;=($D$6*0.8),1,0)</f>
        <v/>
      </c>
      <c r="G156" s="70">
        <f>IF(D156&gt;=($D$6*0.9),1,0)</f>
        <v/>
      </c>
      <c r="H156" s="80" t="n">
        <v>28</v>
      </c>
      <c r="I156" s="70">
        <f>IF(H156&gt;=($H$6*0.7),1,0)</f>
        <v/>
      </c>
      <c r="J156" s="70">
        <f>IF(H156&gt;=($H$6*0.7),1,0)</f>
        <v/>
      </c>
      <c r="K156" s="70">
        <f>IF(H156&gt;=($H$6*0.9),1,0)</f>
        <v/>
      </c>
      <c r="L156" s="80" t="n">
        <v>14</v>
      </c>
      <c r="M156" s="70">
        <f>IF(L156&gt;=($L$6*0.7),1,0)</f>
        <v/>
      </c>
      <c r="N156" s="70">
        <f>IF(L156&gt;=($L$6*0.8),1,0)</f>
        <v/>
      </c>
      <c r="O156" s="70">
        <f>IF(L156&gt;=($L$6*0.9),1,0)</f>
        <v/>
      </c>
      <c r="P156" s="63" t="n"/>
      <c r="Q156" s="63" t="n"/>
      <c r="R156" t="n">
        <v>70</v>
      </c>
      <c r="S156" s="48" t="n"/>
      <c r="T156" s="48" t="n"/>
      <c r="U156" s="48" t="n"/>
      <c r="V156" s="48" t="n"/>
      <c r="W156" s="44" t="n"/>
      <c r="X156" s="44" t="n"/>
      <c r="Y156" s="48" t="n"/>
      <c r="Z156" s="46" t="n"/>
      <c r="AA156" s="46" t="n"/>
      <c r="AB156" s="46" t="n"/>
      <c r="AC156" s="24" t="n"/>
    </row>
    <row r="157" ht="15.75" customHeight="1" s="98">
      <c r="A157" s="69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80" t="n">
        <v>25</v>
      </c>
      <c r="E157" s="70">
        <f>IF(D157&gt;=($D$6*0.7),1,0)</f>
        <v/>
      </c>
      <c r="F157" s="70">
        <f>IF(D157&gt;=($D$6*0.8),1,0)</f>
        <v/>
      </c>
      <c r="G157" s="70">
        <f>IF(D157&gt;=($D$6*0.9),1,0)</f>
        <v/>
      </c>
      <c r="H157" s="80" t="n">
        <v>25</v>
      </c>
      <c r="I157" s="70">
        <f>IF(H157&gt;=($H$6*0.7),1,0)</f>
        <v/>
      </c>
      <c r="J157" s="70">
        <f>IF(H157&gt;=($H$6*0.7),1,0)</f>
        <v/>
      </c>
      <c r="K157" s="70">
        <f>IF(H157&gt;=($H$6*0.9),1,0)</f>
        <v/>
      </c>
      <c r="L157" s="80" t="n">
        <v>13</v>
      </c>
      <c r="M157" s="70">
        <f>IF(L157&gt;=($L$6*0.7),1,0)</f>
        <v/>
      </c>
      <c r="N157" s="70">
        <f>IF(L157&gt;=($L$6*0.8),1,0)</f>
        <v/>
      </c>
      <c r="O157" s="70">
        <f>IF(L157&gt;=($L$6*0.9),1,0)</f>
        <v/>
      </c>
      <c r="P157" s="63" t="n"/>
      <c r="Q157" s="63" t="n"/>
      <c r="R157" s="80" t="n">
        <v>63</v>
      </c>
      <c r="S157" s="48" t="n"/>
      <c r="T157" s="48" t="n"/>
      <c r="U157" s="48" t="n"/>
      <c r="V157" s="48" t="n"/>
      <c r="W157" s="44" t="n"/>
      <c r="X157" s="44" t="n"/>
      <c r="Y157" s="48" t="n"/>
      <c r="Z157" s="46" t="n"/>
      <c r="AA157" s="46" t="n"/>
      <c r="AB157" s="46" t="n"/>
      <c r="AC157" s="24" t="n"/>
    </row>
    <row r="158" ht="15.75" customHeight="1" s="98">
      <c r="A158" s="69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80" t="n">
        <v>22</v>
      </c>
      <c r="E158" s="70">
        <f>IF(D158&gt;=($D$6*0.7),1,0)</f>
        <v/>
      </c>
      <c r="F158" s="70">
        <f>IF(D158&gt;=($D$6*0.8),1,0)</f>
        <v/>
      </c>
      <c r="G158" s="70">
        <f>IF(D158&gt;=($D$6*0.9),1,0)</f>
        <v/>
      </c>
      <c r="H158" s="80" t="n">
        <v>23</v>
      </c>
      <c r="I158" s="70">
        <f>IF(H158&gt;=($H$6*0.7),1,0)</f>
        <v/>
      </c>
      <c r="J158" s="70">
        <f>IF(H158&gt;=($H$6*0.7),1,0)</f>
        <v/>
      </c>
      <c r="K158" s="70">
        <f>IF(H158&gt;=($H$6*0.9),1,0)</f>
        <v/>
      </c>
      <c r="L158" s="80" t="n">
        <v>13</v>
      </c>
      <c r="M158" s="70">
        <f>IF(L158&gt;=($L$6*0.7),1,0)</f>
        <v/>
      </c>
      <c r="N158" s="70">
        <f>IF(L158&gt;=($L$6*0.8),1,0)</f>
        <v/>
      </c>
      <c r="O158" s="70">
        <f>IF(L158&gt;=($L$6*0.9),1,0)</f>
        <v/>
      </c>
      <c r="P158" s="63" t="n"/>
      <c r="Q158" s="63" t="n"/>
      <c r="R158" t="n">
        <v>58</v>
      </c>
      <c r="S158" s="48" t="n"/>
      <c r="T158" s="48" t="n"/>
      <c r="U158" s="48" t="n"/>
      <c r="V158" s="48" t="n"/>
      <c r="W158" s="44" t="n"/>
      <c r="X158" s="44" t="n"/>
      <c r="Y158" s="48" t="n"/>
      <c r="Z158" s="46" t="n"/>
      <c r="AA158" s="46" t="n"/>
      <c r="AB158" s="46" t="n"/>
      <c r="AC158" s="24" t="n"/>
    </row>
    <row r="159" ht="15.75" customHeight="1" s="98">
      <c r="A159" s="69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t="n">
        <v>20</v>
      </c>
      <c r="E159" s="70">
        <f>IF(D159&gt;=($D$6*0.7),1,0)</f>
        <v/>
      </c>
      <c r="F159" s="70">
        <f>IF(D159&gt;=($D$6*0.8),1,0)</f>
        <v/>
      </c>
      <c r="G159" s="70">
        <f>IF(D159&gt;=($D$6*0.9),1,0)</f>
        <v/>
      </c>
      <c r="H159" t="n">
        <v>22</v>
      </c>
      <c r="I159" s="70">
        <f>IF(H159&gt;=($H$6*0.7),1,0)</f>
        <v/>
      </c>
      <c r="J159" s="70">
        <f>IF(H159&gt;=($H$6*0.7),1,0)</f>
        <v/>
      </c>
      <c r="K159" s="70">
        <f>IF(H159&gt;=($H$6*0.9),1,0)</f>
        <v/>
      </c>
      <c r="L159" t="n">
        <v>13</v>
      </c>
      <c r="M159" s="70">
        <f>IF(L159&gt;=($L$6*0.7),1,0)</f>
        <v/>
      </c>
      <c r="N159" s="70">
        <f>IF(L159&gt;=($L$6*0.8),1,0)</f>
        <v/>
      </c>
      <c r="O159" s="70">
        <f>IF(L159&gt;=($L$6*0.9),1,0)</f>
        <v/>
      </c>
      <c r="P159" s="63" t="n"/>
      <c r="Q159" s="63" t="n"/>
      <c r="R159" t="n">
        <v>55</v>
      </c>
      <c r="S159" s="48" t="n"/>
      <c r="T159" s="48" t="n"/>
      <c r="U159" s="48" t="n"/>
      <c r="V159" s="48" t="n"/>
      <c r="W159" s="44" t="n"/>
      <c r="X159" s="44" t="n"/>
      <c r="Y159" s="48" t="n"/>
      <c r="Z159" s="46" t="n"/>
      <c r="AA159" s="46" t="n"/>
      <c r="AB159" s="46" t="n"/>
      <c r="AC159" s="24" t="n"/>
    </row>
    <row r="160" ht="15.75" customHeight="1" s="98">
      <c r="A160" s="69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80" t="n">
        <v>25</v>
      </c>
      <c r="E160" s="70">
        <f>IF(D160&gt;=($D$6*0.7),1,0)</f>
        <v/>
      </c>
      <c r="F160" s="70">
        <f>IF(D160&gt;=($D$6*0.8),1,0)</f>
        <v/>
      </c>
      <c r="G160" s="70">
        <f>IF(D160&gt;=($D$6*0.9),1,0)</f>
        <v/>
      </c>
      <c r="H160" s="80" t="n">
        <v>24</v>
      </c>
      <c r="I160" s="70">
        <f>IF(H160&gt;=($H$6*0.7),1,0)</f>
        <v/>
      </c>
      <c r="J160" s="70">
        <f>IF(H160&gt;=($H$6*0.7),1,0)</f>
        <v/>
      </c>
      <c r="K160" s="70">
        <f>IF(H160&gt;=($H$6*0.9),1,0)</f>
        <v/>
      </c>
      <c r="L160" s="80" t="n">
        <v>13</v>
      </c>
      <c r="M160" s="70">
        <f>IF(L160&gt;=($L$6*0.7),1,0)</f>
        <v/>
      </c>
      <c r="N160" s="70">
        <f>IF(L160&gt;=($L$6*0.8),1,0)</f>
        <v/>
      </c>
      <c r="O160" s="70">
        <f>IF(L160&gt;=($L$6*0.9),1,0)</f>
        <v/>
      </c>
      <c r="P160" s="63" t="n"/>
      <c r="Q160" s="63" t="n"/>
      <c r="R160" t="n">
        <v>62</v>
      </c>
      <c r="S160" s="48" t="n"/>
      <c r="T160" s="48" t="n"/>
      <c r="U160" s="48" t="n"/>
      <c r="V160" s="48" t="n"/>
      <c r="W160" s="44" t="n"/>
      <c r="X160" s="44" t="n"/>
      <c r="Y160" s="48" t="n"/>
      <c r="Z160" s="46" t="n"/>
      <c r="AA160" s="46" t="n"/>
      <c r="AB160" s="46" t="n"/>
      <c r="AC160" s="24" t="n"/>
    </row>
    <row r="161" ht="15.75" customHeight="1" s="98">
      <c r="A161" s="69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80" t="n">
        <v>26</v>
      </c>
      <c r="E161" s="70">
        <f>IF(D161&gt;=($D$6*0.7),1,0)</f>
        <v/>
      </c>
      <c r="F161" s="70">
        <f>IF(D161&gt;=($D$6*0.8),1,0)</f>
        <v/>
      </c>
      <c r="G161" s="70">
        <f>IF(D161&gt;=($D$6*0.9),1,0)</f>
        <v/>
      </c>
      <c r="H161" s="80" t="n">
        <v>26</v>
      </c>
      <c r="I161" s="70">
        <f>IF(H161&gt;=($H$6*0.7),1,0)</f>
        <v/>
      </c>
      <c r="J161" s="70">
        <f>IF(H161&gt;=($H$6*0.7),1,0)</f>
        <v/>
      </c>
      <c r="K161" s="70">
        <f>IF(H161&gt;=($H$6*0.9),1,0)</f>
        <v/>
      </c>
      <c r="L161" s="80" t="n">
        <v>14</v>
      </c>
      <c r="M161" s="70">
        <f>IF(L161&gt;=($L$6*0.7),1,0)</f>
        <v/>
      </c>
      <c r="N161" s="70">
        <f>IF(L161&gt;=($L$6*0.8),1,0)</f>
        <v/>
      </c>
      <c r="O161" s="70">
        <f>IF(L161&gt;=($L$6*0.9),1,0)</f>
        <v/>
      </c>
      <c r="P161" s="63" t="n"/>
      <c r="Q161" s="63" t="n"/>
      <c r="R161" s="80" t="n">
        <v>66</v>
      </c>
      <c r="S161" s="48" t="n"/>
      <c r="T161" s="48" t="n"/>
      <c r="U161" s="48" t="n"/>
      <c r="V161" s="48" t="n"/>
      <c r="W161" s="44" t="n"/>
      <c r="X161" s="44" t="n"/>
      <c r="Y161" s="48" t="n"/>
      <c r="Z161" s="46" t="n"/>
      <c r="AA161" s="46" t="n"/>
      <c r="AB161" s="46" t="n"/>
      <c r="AC161" s="24" t="n"/>
    </row>
    <row r="162" ht="15.75" customHeight="1" s="98">
      <c r="A162" s="69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80" t="n">
        <v>23</v>
      </c>
      <c r="E162" s="70">
        <f>IF(D162&gt;=($D$6*0.7),1,0)</f>
        <v/>
      </c>
      <c r="F162" s="70">
        <f>IF(D162&gt;=($D$6*0.8),1,0)</f>
        <v/>
      </c>
      <c r="G162" s="70">
        <f>IF(D162&gt;=($D$6*0.9),1,0)</f>
        <v/>
      </c>
      <c r="H162" s="80" t="n">
        <v>20</v>
      </c>
      <c r="I162" s="70">
        <f>IF(H162&gt;=($H$6*0.7),1,0)</f>
        <v/>
      </c>
      <c r="J162" s="70">
        <f>IF(H162&gt;=($H$6*0.7),1,0)</f>
        <v/>
      </c>
      <c r="K162" s="70">
        <f>IF(H162&gt;=($H$6*0.9),1,0)</f>
        <v/>
      </c>
      <c r="L162" s="80" t="n">
        <v>13</v>
      </c>
      <c r="M162" s="70">
        <f>IF(L162&gt;=($L$6*0.7),1,0)</f>
        <v/>
      </c>
      <c r="N162" s="70">
        <f>IF(L162&gt;=($L$6*0.8),1,0)</f>
        <v/>
      </c>
      <c r="O162" s="70">
        <f>IF(L162&gt;=($L$6*0.9),1,0)</f>
        <v/>
      </c>
      <c r="P162" s="63" t="n"/>
      <c r="Q162" s="63" t="n"/>
      <c r="R162" s="80" t="n">
        <v>56</v>
      </c>
      <c r="S162" s="48" t="n"/>
      <c r="T162" s="48" t="n"/>
      <c r="U162" s="48" t="n"/>
      <c r="V162" s="48" t="n"/>
      <c r="W162" s="44" t="n"/>
      <c r="X162" s="44" t="n"/>
      <c r="Y162" s="48" t="n"/>
      <c r="Z162" s="46" t="n"/>
      <c r="AA162" s="46" t="n"/>
      <c r="AB162" s="46" t="n"/>
      <c r="AC162" s="24" t="n"/>
    </row>
    <row r="163" ht="15.75" customHeight="1" s="98">
      <c r="A163" s="69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80" t="n">
        <v>19</v>
      </c>
      <c r="E163" s="70">
        <f>IF(D163&gt;=($D$6*0.7),1,0)</f>
        <v/>
      </c>
      <c r="F163" s="70">
        <f>IF(D163&gt;=($D$6*0.8),1,0)</f>
        <v/>
      </c>
      <c r="G163" s="70">
        <f>IF(D163&gt;=($D$6*0.9),1,0)</f>
        <v/>
      </c>
      <c r="H163" s="80" t="n">
        <v>19</v>
      </c>
      <c r="I163" s="70">
        <f>IF(H163&gt;=($H$6*0.7),1,0)</f>
        <v/>
      </c>
      <c r="J163" s="70">
        <f>IF(H163&gt;=($H$6*0.7),1,0)</f>
        <v/>
      </c>
      <c r="K163" s="70">
        <f>IF(H163&gt;=($H$6*0.9),1,0)</f>
        <v/>
      </c>
      <c r="L163" s="80" t="n">
        <v>11</v>
      </c>
      <c r="M163" s="70">
        <f>IF(L163&gt;=($L$6*0.7),1,0)</f>
        <v/>
      </c>
      <c r="N163" s="70">
        <f>IF(L163&gt;=($L$6*0.8),1,0)</f>
        <v/>
      </c>
      <c r="O163" s="70">
        <f>IF(L163&gt;=($L$6*0.9),1,0)</f>
        <v/>
      </c>
      <c r="P163" s="63" t="n"/>
      <c r="Q163" s="63" t="n"/>
      <c r="R163" t="n">
        <v>49</v>
      </c>
      <c r="S163" s="48" t="n"/>
      <c r="T163" s="48" t="n"/>
      <c r="U163" s="48" t="n"/>
      <c r="V163" s="48" t="n"/>
      <c r="W163" s="44" t="n"/>
      <c r="X163" s="44" t="n"/>
      <c r="Y163" s="48" t="n"/>
      <c r="Z163" s="46" t="n"/>
      <c r="AA163" s="46" t="n"/>
      <c r="AB163" s="46" t="n"/>
      <c r="AC163" s="24" t="n"/>
    </row>
    <row r="164" ht="15.75" customHeight="1" s="98">
      <c r="A164" s="69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80" t="n">
        <v>20</v>
      </c>
      <c r="E164" s="70">
        <f>IF(D164&gt;=($D$6*0.7),1,0)</f>
        <v/>
      </c>
      <c r="F164" s="70">
        <f>IF(D164&gt;=($D$6*0.8),1,0)</f>
        <v/>
      </c>
      <c r="G164" s="70">
        <f>IF(D164&gt;=($D$6*0.9),1,0)</f>
        <v/>
      </c>
      <c r="H164" s="80" t="n">
        <v>23</v>
      </c>
      <c r="I164" s="70">
        <f>IF(H164&gt;=($H$6*0.7),1,0)</f>
        <v/>
      </c>
      <c r="J164" s="70">
        <f>IF(H164&gt;=($H$6*0.7),1,0)</f>
        <v/>
      </c>
      <c r="K164" s="70">
        <f>IF(H164&gt;=($H$6*0.9),1,0)</f>
        <v/>
      </c>
      <c r="L164" s="80" t="n">
        <v>11</v>
      </c>
      <c r="M164" s="70">
        <f>IF(L164&gt;=($L$6*0.7),1,0)</f>
        <v/>
      </c>
      <c r="N164" s="70">
        <f>IF(L164&gt;=($L$6*0.8),1,0)</f>
        <v/>
      </c>
      <c r="O164" s="70">
        <f>IF(L164&gt;=($L$6*0.9),1,0)</f>
        <v/>
      </c>
      <c r="P164" s="63" t="n"/>
      <c r="Q164" s="63" t="n"/>
      <c r="R164" s="80" t="n">
        <v>54</v>
      </c>
      <c r="S164" s="48" t="n"/>
      <c r="T164" s="48" t="n"/>
      <c r="U164" s="48" t="n"/>
      <c r="V164" s="48" t="n"/>
      <c r="W164" s="44" t="n"/>
      <c r="X164" s="44" t="n"/>
      <c r="Y164" s="48" t="n"/>
      <c r="Z164" s="46" t="n"/>
      <c r="AA164" s="46" t="n"/>
      <c r="AB164" s="46" t="n"/>
      <c r="AC164" s="24" t="n"/>
    </row>
    <row r="165" ht="15.75" customHeight="1" s="98">
      <c r="A165" s="69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80" t="n">
        <v>27</v>
      </c>
      <c r="E165" s="70">
        <f>IF(D165&gt;=($D$6*0.7),1,0)</f>
        <v/>
      </c>
      <c r="F165" s="70">
        <f>IF(D165&gt;=($D$6*0.8),1,0)</f>
        <v/>
      </c>
      <c r="G165" s="70">
        <f>IF(D165&gt;=($D$6*0.9),1,0)</f>
        <v/>
      </c>
      <c r="H165" s="80" t="n">
        <v>26</v>
      </c>
      <c r="I165" s="70">
        <f>IF(H165&gt;=($H$6*0.7),1,0)</f>
        <v/>
      </c>
      <c r="J165" s="70">
        <f>IF(H165&gt;=($H$6*0.7),1,0)</f>
        <v/>
      </c>
      <c r="K165" s="70">
        <f>IF(H165&gt;=($H$6*0.9),1,0)</f>
        <v/>
      </c>
      <c r="L165" s="80" t="n">
        <v>14</v>
      </c>
      <c r="M165" s="70">
        <f>IF(L165&gt;=($L$6*0.7),1,0)</f>
        <v/>
      </c>
      <c r="N165" s="70">
        <f>IF(L165&gt;=($L$6*0.8),1,0)</f>
        <v/>
      </c>
      <c r="O165" s="70">
        <f>IF(L165&gt;=($L$6*0.9),1,0)</f>
        <v/>
      </c>
      <c r="P165" s="63" t="n"/>
      <c r="Q165" s="63" t="n"/>
      <c r="R165" t="n">
        <v>67</v>
      </c>
      <c r="S165" s="48" t="n"/>
      <c r="T165" s="48" t="n"/>
      <c r="U165" s="48" t="n"/>
      <c r="V165" s="48" t="n"/>
      <c r="W165" s="44" t="n"/>
      <c r="X165" s="44" t="n"/>
      <c r="Y165" s="48" t="n"/>
      <c r="Z165" s="46" t="n"/>
      <c r="AA165" s="46" t="n"/>
      <c r="AB165" s="46" t="n"/>
      <c r="AC165" s="24" t="n"/>
    </row>
    <row r="166" ht="15.75" customHeight="1" s="98">
      <c r="A166" s="69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80" t="n">
        <v>27</v>
      </c>
      <c r="E166" s="70">
        <f>IF(D166&gt;=($D$6*0.7),1,0)</f>
        <v/>
      </c>
      <c r="F166" s="70">
        <f>IF(D166&gt;=($D$6*0.8),1,0)</f>
        <v/>
      </c>
      <c r="G166" s="70">
        <f>IF(D166&gt;=($D$6*0.9),1,0)</f>
        <v/>
      </c>
      <c r="H166" s="80" t="n">
        <v>24</v>
      </c>
      <c r="I166" s="70">
        <f>IF(H166&gt;=($H$6*0.7),1,0)</f>
        <v/>
      </c>
      <c r="J166" s="70">
        <f>IF(H166&gt;=($H$6*0.7),1,0)</f>
        <v/>
      </c>
      <c r="K166" s="70">
        <f>IF(H166&gt;=($H$6*0.9),1,0)</f>
        <v/>
      </c>
      <c r="L166" s="80" t="n">
        <v>13</v>
      </c>
      <c r="M166" s="70">
        <f>IF(L166&gt;=($L$6*0.7),1,0)</f>
        <v/>
      </c>
      <c r="N166" s="70">
        <f>IF(L166&gt;=($L$6*0.8),1,0)</f>
        <v/>
      </c>
      <c r="O166" s="70">
        <f>IF(L166&gt;=($L$6*0.9),1,0)</f>
        <v/>
      </c>
      <c r="P166" s="63" t="n"/>
      <c r="Q166" s="63" t="n"/>
      <c r="R166" s="80" t="n">
        <v>64</v>
      </c>
      <c r="S166" s="48" t="n"/>
      <c r="T166" s="48" t="n"/>
      <c r="U166" s="48" t="n"/>
      <c r="V166" s="48" t="n"/>
      <c r="W166" s="44" t="n"/>
      <c r="X166" s="44" t="n"/>
      <c r="Y166" s="48" t="n"/>
      <c r="Z166" s="46" t="n"/>
      <c r="AA166" s="46" t="n"/>
      <c r="AB166" s="46" t="n"/>
      <c r="AC166" s="24" t="n"/>
    </row>
    <row r="167" ht="15.75" customHeight="1" s="98">
      <c r="A167" s="69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80" t="n">
        <v>23</v>
      </c>
      <c r="E167" s="70">
        <f>IF(D167&gt;=($D$6*0.7),1,0)</f>
        <v/>
      </c>
      <c r="F167" s="70">
        <f>IF(D167&gt;=($D$6*0.8),1,0)</f>
        <v/>
      </c>
      <c r="G167" s="70">
        <f>IF(D167&gt;=($D$6*0.9),1,0)</f>
        <v/>
      </c>
      <c r="H167" s="80" t="n">
        <v>20</v>
      </c>
      <c r="I167" s="70">
        <f>IF(H167&gt;=($H$6*0.7),1,0)</f>
        <v/>
      </c>
      <c r="J167" s="70">
        <f>IF(H167&gt;=($H$6*0.7),1,0)</f>
        <v/>
      </c>
      <c r="K167" s="70">
        <f>IF(H167&gt;=($H$6*0.9),1,0)</f>
        <v/>
      </c>
      <c r="L167" s="80" t="n">
        <v>11</v>
      </c>
      <c r="M167" s="70">
        <f>IF(L167&gt;=($L$6*0.7),1,0)</f>
        <v/>
      </c>
      <c r="N167" s="70">
        <f>IF(L167&gt;=($L$6*0.8),1,0)</f>
        <v/>
      </c>
      <c r="O167" s="70">
        <f>IF(L167&gt;=($L$6*0.9),1,0)</f>
        <v/>
      </c>
      <c r="P167" s="63" t="n"/>
      <c r="Q167" s="63" t="n"/>
      <c r="R167" t="n">
        <v>54</v>
      </c>
      <c r="S167" s="48" t="n"/>
      <c r="T167" s="48" t="n"/>
      <c r="U167" s="48" t="n"/>
      <c r="V167" s="48" t="n"/>
      <c r="W167" s="44" t="n"/>
      <c r="X167" s="44" t="n"/>
      <c r="Y167" s="48" t="n"/>
      <c r="Z167" s="46" t="n"/>
      <c r="AA167" s="46" t="n"/>
      <c r="AB167" s="46" t="n"/>
      <c r="AC167" s="24" t="n"/>
    </row>
    <row r="168" ht="15.75" customHeight="1" s="98">
      <c r="A168" s="69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80" t="n">
        <v>26</v>
      </c>
      <c r="E168" s="70">
        <f>IF(D168&gt;=($D$6*0.7),1,0)</f>
        <v/>
      </c>
      <c r="F168" s="70">
        <f>IF(D168&gt;=($D$6*0.8),1,0)</f>
        <v/>
      </c>
      <c r="G168" s="70">
        <f>IF(D168&gt;=($D$6*0.9),1,0)</f>
        <v/>
      </c>
      <c r="H168" s="80" t="n">
        <v>27</v>
      </c>
      <c r="I168" s="70">
        <f>IF(H168&gt;=($H$6*0.7),1,0)</f>
        <v/>
      </c>
      <c r="J168" s="70">
        <f>IF(H168&gt;=($H$6*0.7),1,0)</f>
        <v/>
      </c>
      <c r="K168" s="70">
        <f>IF(H168&gt;=($H$6*0.9),1,0)</f>
        <v/>
      </c>
      <c r="L168" s="80" t="n">
        <v>14</v>
      </c>
      <c r="M168" s="70">
        <f>IF(L168&gt;=($L$6*0.7),1,0)</f>
        <v/>
      </c>
      <c r="N168" s="70">
        <f>IF(L168&gt;=($L$6*0.8),1,0)</f>
        <v/>
      </c>
      <c r="O168" s="70">
        <f>IF(L168&gt;=($L$6*0.9),1,0)</f>
        <v/>
      </c>
      <c r="P168" s="63" t="n"/>
      <c r="Q168" s="63" t="n"/>
      <c r="R168" s="80" t="n">
        <v>67</v>
      </c>
      <c r="S168" s="48" t="n"/>
      <c r="T168" s="48" t="n"/>
      <c r="U168" s="48" t="n"/>
      <c r="V168" s="48" t="n"/>
      <c r="W168" s="44" t="n"/>
      <c r="X168" s="44" t="n"/>
      <c r="Y168" s="48" t="n"/>
      <c r="Z168" s="46" t="n"/>
      <c r="AA168" s="46" t="n"/>
      <c r="AB168" s="46" t="n"/>
      <c r="AC168" s="24" t="n"/>
    </row>
    <row r="169" ht="15.75" customHeight="1" s="98">
      <c r="A169" s="69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80" t="n">
        <v>20</v>
      </c>
      <c r="E169" s="70">
        <f>IF(D169&gt;=($D$6*0.7),1,0)</f>
        <v/>
      </c>
      <c r="F169" s="70">
        <f>IF(D169&gt;=($D$6*0.8),1,0)</f>
        <v/>
      </c>
      <c r="G169" s="70">
        <f>IF(D169&gt;=($D$6*0.9),1,0)</f>
        <v/>
      </c>
      <c r="H169" s="80" t="n">
        <v>23</v>
      </c>
      <c r="I169" s="70">
        <f>IF(H169&gt;=($H$6*0.7),1,0)</f>
        <v/>
      </c>
      <c r="J169" s="70">
        <f>IF(H169&gt;=($H$6*0.7),1,0)</f>
        <v/>
      </c>
      <c r="K169" s="70">
        <f>IF(H169&gt;=($H$6*0.9),1,0)</f>
        <v/>
      </c>
      <c r="L169" s="80" t="n">
        <v>13</v>
      </c>
      <c r="M169" s="70">
        <f>IF(L169&gt;=($L$6*0.7),1,0)</f>
        <v/>
      </c>
      <c r="N169" s="70">
        <f>IF(L169&gt;=($L$6*0.8),1,0)</f>
        <v/>
      </c>
      <c r="O169" s="70">
        <f>IF(L169&gt;=($L$6*0.9),1,0)</f>
        <v/>
      </c>
      <c r="P169" s="63" t="n"/>
      <c r="Q169" s="63" t="n"/>
      <c r="R169" s="80" t="n">
        <v>56</v>
      </c>
      <c r="S169" s="48" t="n"/>
      <c r="T169" s="48" t="n"/>
      <c r="U169" s="48" t="n"/>
      <c r="V169" s="48" t="n"/>
      <c r="W169" s="44" t="n"/>
      <c r="X169" s="44" t="n"/>
      <c r="Y169" s="48" t="n"/>
      <c r="Z169" s="46" t="n"/>
      <c r="AA169" s="46" t="n"/>
      <c r="AB169" s="46" t="n"/>
      <c r="AC169" s="24" t="n"/>
    </row>
    <row r="170" ht="15.75" customHeight="1" s="98">
      <c r="A170" s="69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80" t="n">
        <v>28</v>
      </c>
      <c r="E170" s="70">
        <f>IF(D170&gt;=($D$6*0.7),1,0)</f>
        <v/>
      </c>
      <c r="F170" s="70">
        <f>IF(D170&gt;=($D$6*0.8),1,0)</f>
        <v/>
      </c>
      <c r="G170" s="70">
        <f>IF(D170&gt;=($D$6*0.9),1,0)</f>
        <v/>
      </c>
      <c r="H170" s="80" t="n">
        <v>28</v>
      </c>
      <c r="I170" s="70">
        <f>IF(H170&gt;=($H$6*0.7),1,0)</f>
        <v/>
      </c>
      <c r="J170" s="70">
        <f>IF(H170&gt;=($H$6*0.7),1,0)</f>
        <v/>
      </c>
      <c r="K170" s="70">
        <f>IF(H170&gt;=($H$6*0.9),1,0)</f>
        <v/>
      </c>
      <c r="L170" s="80" t="n">
        <v>14</v>
      </c>
      <c r="M170" s="70">
        <f>IF(L170&gt;=($L$6*0.7),1,0)</f>
        <v/>
      </c>
      <c r="N170" s="70">
        <f>IF(L170&gt;=($L$6*0.8),1,0)</f>
        <v/>
      </c>
      <c r="O170" s="70">
        <f>IF(L170&gt;=($L$6*0.9),1,0)</f>
        <v/>
      </c>
      <c r="P170" s="63" t="n"/>
      <c r="Q170" s="63" t="n"/>
      <c r="R170" t="n">
        <v>70</v>
      </c>
      <c r="S170" s="48" t="n"/>
      <c r="T170" s="48" t="n"/>
      <c r="U170" s="48" t="n"/>
      <c r="V170" s="48" t="n"/>
      <c r="W170" s="44" t="n"/>
      <c r="X170" s="44" t="n"/>
      <c r="Y170" s="48" t="n"/>
      <c r="Z170" s="46" t="n"/>
      <c r="AA170" s="46" t="n"/>
      <c r="AB170" s="46" t="n"/>
      <c r="AC170" s="24" t="n"/>
    </row>
    <row r="171" ht="15.75" customHeight="1" s="98">
      <c r="A171" s="69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80" t="n">
        <v>21</v>
      </c>
      <c r="E171" s="70">
        <f>IF(D171&gt;=($D$6*0.7),1,0)</f>
        <v/>
      </c>
      <c r="F171" s="70">
        <f>IF(D171&gt;=($D$6*0.8),1,0)</f>
        <v/>
      </c>
      <c r="G171" s="70">
        <f>IF(D171&gt;=($D$6*0.9),1,0)</f>
        <v/>
      </c>
      <c r="H171" s="80" t="n">
        <v>21</v>
      </c>
      <c r="I171" s="70">
        <f>IF(H171&gt;=($H$6*0.7),1,0)</f>
        <v/>
      </c>
      <c r="J171" s="70">
        <f>IF(H171&gt;=($H$6*0.7),1,0)</f>
        <v/>
      </c>
      <c r="K171" s="70">
        <f>IF(H171&gt;=($H$6*0.9),1,0)</f>
        <v/>
      </c>
      <c r="L171" s="80" t="n">
        <v>13</v>
      </c>
      <c r="M171" s="70">
        <f>IF(L171&gt;=($L$6*0.7),1,0)</f>
        <v/>
      </c>
      <c r="N171" s="70">
        <f>IF(L171&gt;=($L$6*0.8),1,0)</f>
        <v/>
      </c>
      <c r="O171" s="70">
        <f>IF(L171&gt;=($L$6*0.9),1,0)</f>
        <v/>
      </c>
      <c r="P171" s="63" t="n"/>
      <c r="Q171" s="63" t="n"/>
      <c r="R171" s="80" t="n">
        <v>55</v>
      </c>
      <c r="S171" s="48" t="n"/>
      <c r="T171" s="48" t="n"/>
      <c r="U171" s="48" t="n"/>
      <c r="V171" s="48" t="n"/>
      <c r="W171" s="44" t="n"/>
      <c r="X171" s="44" t="n"/>
      <c r="Y171" s="48" t="n"/>
      <c r="Z171" s="46" t="n"/>
      <c r="AA171" s="46" t="n"/>
      <c r="AB171" s="46" t="n"/>
      <c r="AC171" s="24" t="n"/>
    </row>
    <row r="172" ht="15.75" customHeight="1" s="98">
      <c r="A172" s="69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80" t="n">
        <v>22</v>
      </c>
      <c r="E172" s="70">
        <f>IF(D172&gt;=($D$6*0.7),1,0)</f>
        <v/>
      </c>
      <c r="F172" s="70">
        <f>IF(D172&gt;=($D$6*0.8),1,0)</f>
        <v/>
      </c>
      <c r="G172" s="70">
        <f>IF(D172&gt;=($D$6*0.9),1,0)</f>
        <v/>
      </c>
      <c r="H172" s="80" t="n">
        <v>19</v>
      </c>
      <c r="I172" s="70">
        <f>IF(H172&gt;=($H$6*0.7),1,0)</f>
        <v/>
      </c>
      <c r="J172" s="70">
        <f>IF(H172&gt;=($H$6*0.7),1,0)</f>
        <v/>
      </c>
      <c r="K172" s="70">
        <f>IF(H172&gt;=($H$6*0.9),1,0)</f>
        <v/>
      </c>
      <c r="L172" s="80" t="n">
        <v>11</v>
      </c>
      <c r="M172" s="70">
        <f>IF(L172&gt;=($L$6*0.7),1,0)</f>
        <v/>
      </c>
      <c r="N172" s="70">
        <f>IF(L172&gt;=($L$6*0.8),1,0)</f>
        <v/>
      </c>
      <c r="O172" s="70">
        <f>IF(L172&gt;=($L$6*0.9),1,0)</f>
        <v/>
      </c>
      <c r="P172" s="63" t="n"/>
      <c r="Q172" s="63" t="n"/>
      <c r="R172" t="n">
        <v>52</v>
      </c>
      <c r="S172" s="48" t="n"/>
      <c r="T172" s="48" t="n"/>
      <c r="U172" s="48" t="n"/>
      <c r="V172" s="48" t="n"/>
      <c r="W172" s="44" t="n"/>
      <c r="X172" s="44" t="n"/>
      <c r="Y172" s="48" t="n"/>
      <c r="Z172" s="46" t="n"/>
      <c r="AA172" s="46" t="n"/>
      <c r="AB172" s="46" t="n"/>
      <c r="AC172" s="24" t="n"/>
    </row>
    <row r="173" ht="15.75" customHeight="1" s="98">
      <c r="A173" s="69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80" t="n">
        <v>25</v>
      </c>
      <c r="E173" s="70">
        <f>IF(D173&gt;=($D$6*0.7),1,0)</f>
        <v/>
      </c>
      <c r="F173" s="70">
        <f>IF(D173&gt;=($D$6*0.8),1,0)</f>
        <v/>
      </c>
      <c r="G173" s="70">
        <f>IF(D173&gt;=($D$6*0.9),1,0)</f>
        <v/>
      </c>
      <c r="H173" s="80" t="n">
        <v>25</v>
      </c>
      <c r="I173" s="70">
        <f>IF(H173&gt;=($H$6*0.7),1,0)</f>
        <v/>
      </c>
      <c r="J173" s="70">
        <f>IF(H173&gt;=($H$6*0.7),1,0)</f>
        <v/>
      </c>
      <c r="K173" s="70">
        <f>IF(H173&gt;=($H$6*0.9),1,0)</f>
        <v/>
      </c>
      <c r="L173" s="80" t="n">
        <v>13</v>
      </c>
      <c r="M173" s="70">
        <f>IF(L173&gt;=($L$6*0.7),1,0)</f>
        <v/>
      </c>
      <c r="N173" s="70">
        <f>IF(L173&gt;=($L$6*0.8),1,0)</f>
        <v/>
      </c>
      <c r="O173" s="70">
        <f>IF(L173&gt;=($L$6*0.9),1,0)</f>
        <v/>
      </c>
      <c r="P173" s="63" t="n"/>
      <c r="Q173" s="63" t="n"/>
      <c r="R173" t="n">
        <v>63</v>
      </c>
      <c r="S173" s="48" t="n"/>
      <c r="T173" s="48" t="n"/>
      <c r="U173" s="48" t="n"/>
      <c r="V173" s="48" t="n"/>
      <c r="W173" s="44" t="n"/>
      <c r="X173" s="44" t="n"/>
      <c r="Y173" s="48" t="n"/>
      <c r="Z173" s="46" t="n"/>
      <c r="AA173" s="46" t="n"/>
      <c r="AB173" s="46" t="n"/>
      <c r="AC173" s="24" t="n"/>
    </row>
    <row r="174" ht="15.75" customHeight="1" s="98">
      <c r="A174" s="69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80" t="n">
        <v>28</v>
      </c>
      <c r="E174" s="70">
        <f>IF(D174&gt;=($D$6*0.7),1,0)</f>
        <v/>
      </c>
      <c r="F174" s="70">
        <f>IF(D174&gt;=($D$6*0.8),1,0)</f>
        <v/>
      </c>
      <c r="G174" s="70">
        <f>IF(D174&gt;=($D$6*0.9),1,0)</f>
        <v/>
      </c>
      <c r="H174" s="80" t="n">
        <v>28</v>
      </c>
      <c r="I174" s="70">
        <f>IF(H174&gt;=($H$6*0.7),1,0)</f>
        <v/>
      </c>
      <c r="J174" s="70">
        <f>IF(H174&gt;=($H$6*0.7),1,0)</f>
        <v/>
      </c>
      <c r="K174" s="70">
        <f>IF(H174&gt;=($H$6*0.9),1,0)</f>
        <v/>
      </c>
      <c r="L174" s="80" t="n">
        <v>14</v>
      </c>
      <c r="M174" s="70">
        <f>IF(L174&gt;=($L$6*0.7),1,0)</f>
        <v/>
      </c>
      <c r="N174" s="70">
        <f>IF(L174&gt;=($L$6*0.8),1,0)</f>
        <v/>
      </c>
      <c r="O174" s="70">
        <f>IF(L174&gt;=($L$6*0.9),1,0)</f>
        <v/>
      </c>
      <c r="P174" s="63" t="n"/>
      <c r="Q174" s="63" t="n"/>
      <c r="R174" s="80" t="n">
        <v>70</v>
      </c>
      <c r="S174" s="48" t="n"/>
      <c r="T174" s="48" t="n"/>
      <c r="U174" s="48" t="n"/>
      <c r="V174" s="48" t="n"/>
      <c r="W174" s="44" t="n"/>
      <c r="X174" s="44" t="n"/>
      <c r="Y174" s="48" t="n"/>
      <c r="Z174" s="46" t="n"/>
      <c r="AA174" s="46" t="n"/>
      <c r="AB174" s="46" t="n"/>
      <c r="AC174" s="24" t="n"/>
    </row>
    <row r="175" ht="15.75" customHeight="1" s="98">
      <c r="A175" s="69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80" t="n">
        <v>23</v>
      </c>
      <c r="E175" s="70">
        <f>IF(D175&gt;=($D$6*0.7),1,0)</f>
        <v/>
      </c>
      <c r="F175" s="70">
        <f>IF(D175&gt;=($D$6*0.8),1,0)</f>
        <v/>
      </c>
      <c r="G175" s="70">
        <f>IF(D175&gt;=($D$6*0.9),1,0)</f>
        <v/>
      </c>
      <c r="H175" s="80" t="n">
        <v>22</v>
      </c>
      <c r="I175" s="70">
        <f>IF(H175&gt;=($H$6*0.7),1,0)</f>
        <v/>
      </c>
      <c r="J175" s="70">
        <f>IF(H175&gt;=($H$6*0.7),1,0)</f>
        <v/>
      </c>
      <c r="K175" s="70">
        <f>IF(H175&gt;=($H$6*0.9),1,0)</f>
        <v/>
      </c>
      <c r="L175" s="80" t="n">
        <v>13</v>
      </c>
      <c r="M175" s="70">
        <f>IF(L175&gt;=($L$6*0.7),1,0)</f>
        <v/>
      </c>
      <c r="N175" s="70">
        <f>IF(L175&gt;=($L$6*0.8),1,0)</f>
        <v/>
      </c>
      <c r="O175" s="70">
        <f>IF(L175&gt;=($L$6*0.9),1,0)</f>
        <v/>
      </c>
      <c r="P175" s="63" t="n"/>
      <c r="Q175" s="63" t="n"/>
      <c r="R175" s="80" t="n">
        <v>58</v>
      </c>
      <c r="S175" s="48" t="n"/>
      <c r="T175" s="48" t="n"/>
      <c r="U175" s="48" t="n"/>
      <c r="V175" s="48" t="n"/>
      <c r="W175" s="44" t="n"/>
      <c r="X175" s="44" t="n"/>
      <c r="Y175" s="48" t="n"/>
      <c r="Z175" s="46" t="n"/>
      <c r="AA175" s="46" t="n"/>
      <c r="AB175" s="46" t="n"/>
      <c r="AC175" s="24" t="n"/>
    </row>
    <row r="176" ht="15.75" customHeight="1" s="98">
      <c r="A176" s="69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80" t="n">
        <v>27</v>
      </c>
      <c r="E176" s="70">
        <f>IF(D176&gt;=($D$6*0.7),1,0)</f>
        <v/>
      </c>
      <c r="F176" s="70">
        <f>IF(D176&gt;=($D$6*0.8),1,0)</f>
        <v/>
      </c>
      <c r="G176" s="70">
        <f>IF(D176&gt;=($D$6*0.9),1,0)</f>
        <v/>
      </c>
      <c r="H176" s="80" t="n">
        <v>24</v>
      </c>
      <c r="I176" s="70">
        <f>IF(H176&gt;=($H$6*0.7),1,0)</f>
        <v/>
      </c>
      <c r="J176" s="70">
        <f>IF(H176&gt;=($H$6*0.7),1,0)</f>
        <v/>
      </c>
      <c r="K176" s="70">
        <f>IF(H176&gt;=($H$6*0.9),1,0)</f>
        <v/>
      </c>
      <c r="L176" s="80" t="n">
        <v>14</v>
      </c>
      <c r="M176" s="70">
        <f>IF(L176&gt;=($L$6*0.7),1,0)</f>
        <v/>
      </c>
      <c r="N176" s="70">
        <f>IF(L176&gt;=($L$6*0.8),1,0)</f>
        <v/>
      </c>
      <c r="O176" s="70">
        <f>IF(L176&gt;=($L$6*0.9),1,0)</f>
        <v/>
      </c>
      <c r="P176" s="63" t="n"/>
      <c r="Q176" s="63" t="n"/>
      <c r="R176" t="n">
        <v>65</v>
      </c>
      <c r="S176" s="48" t="n"/>
      <c r="T176" s="48" t="n"/>
      <c r="U176" s="48" t="n"/>
      <c r="V176" s="48" t="n"/>
      <c r="W176" s="44" t="n"/>
      <c r="X176" s="44" t="n"/>
      <c r="Y176" s="48" t="n"/>
      <c r="Z176" s="46" t="n"/>
      <c r="AA176" s="46" t="n"/>
      <c r="AB176" s="46" t="n"/>
      <c r="AC176" s="24" t="n"/>
    </row>
    <row r="177" ht="15.75" customHeight="1" s="98">
      <c r="A177" s="69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80" t="n">
        <v>21</v>
      </c>
      <c r="E177" s="70">
        <f>IF(D177&gt;=($D$6*0.7),1,0)</f>
        <v/>
      </c>
      <c r="F177" s="70">
        <f>IF(D177&gt;=($D$6*0.8),1,0)</f>
        <v/>
      </c>
      <c r="G177" s="70">
        <f>IF(D177&gt;=($D$6*0.9),1,0)</f>
        <v/>
      </c>
      <c r="H177" s="80" t="n">
        <v>21</v>
      </c>
      <c r="I177" s="70">
        <f>IF(H177&gt;=($H$6*0.7),1,0)</f>
        <v/>
      </c>
      <c r="J177" s="70">
        <f>IF(H177&gt;=($H$6*0.7),1,0)</f>
        <v/>
      </c>
      <c r="K177" s="70">
        <f>IF(H177&gt;=($H$6*0.9),1,0)</f>
        <v/>
      </c>
      <c r="L177" s="80" t="n">
        <v>13</v>
      </c>
      <c r="M177" s="70">
        <f>IF(L177&gt;=($L$6*0.7),1,0)</f>
        <v/>
      </c>
      <c r="N177" s="70">
        <f>IF(L177&gt;=($L$6*0.8),1,0)</f>
        <v/>
      </c>
      <c r="O177" s="70">
        <f>IF(L177&gt;=($L$6*0.9),1,0)</f>
        <v/>
      </c>
      <c r="P177" s="71" t="n"/>
      <c r="Q177" s="71" t="n"/>
      <c r="R177" t="n">
        <v>55</v>
      </c>
      <c r="S177" s="48" t="n"/>
      <c r="T177" s="48" t="n"/>
      <c r="U177" s="48" t="n"/>
      <c r="V177" s="48" t="n"/>
      <c r="W177" s="44" t="n"/>
      <c r="X177" s="44" t="n"/>
    </row>
    <row r="178" ht="15.75" customHeight="1" s="98">
      <c r="A178" s="69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80" t="n">
        <v>22</v>
      </c>
      <c r="E178" s="70">
        <f>IF(D178&gt;=($D$6*0.7),1,0)</f>
        <v/>
      </c>
      <c r="F178" s="70">
        <f>IF(D178&gt;=($D$6*0.8),1,0)</f>
        <v/>
      </c>
      <c r="G178" s="70">
        <f>IF(D178&gt;=($D$6*0.9),1,0)</f>
        <v/>
      </c>
      <c r="H178" s="80" t="n">
        <v>22</v>
      </c>
      <c r="I178" s="70">
        <f>IF(H178&gt;=($H$6*0.7),1,0)</f>
        <v/>
      </c>
      <c r="J178" s="70">
        <f>IF(H178&gt;=($H$6*0.7),1,0)</f>
        <v/>
      </c>
      <c r="K178" s="70">
        <f>IF(H178&gt;=($H$6*0.9),1,0)</f>
        <v/>
      </c>
      <c r="L178" s="80" t="n">
        <v>13</v>
      </c>
      <c r="M178" s="70">
        <f>IF(L178&gt;=($L$6*0.7),1,0)</f>
        <v/>
      </c>
      <c r="N178" s="70">
        <f>IF(L178&gt;=($L$6*0.8),1,0)</f>
        <v/>
      </c>
      <c r="O178" s="70">
        <f>IF(L178&gt;=($L$6*0.9),1,0)</f>
        <v/>
      </c>
      <c r="P178" s="71" t="n"/>
      <c r="Q178" s="71" t="n"/>
      <c r="R178" s="80" t="n">
        <v>57</v>
      </c>
      <c r="S178" s="48" t="n"/>
      <c r="T178" s="48" t="n"/>
      <c r="U178" s="48" t="n"/>
      <c r="V178" s="48" t="n"/>
      <c r="W178" s="44" t="n"/>
      <c r="X178" s="44" t="n"/>
    </row>
    <row r="179" ht="15.75" customHeight="1" s="98">
      <c r="A179" s="69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80" t="n">
        <v>24</v>
      </c>
      <c r="E179" s="70">
        <f>IF(D179&gt;=($D$6*0.7),1,0)</f>
        <v/>
      </c>
      <c r="F179" s="70">
        <f>IF(D179&gt;=($D$6*0.8),1,0)</f>
        <v/>
      </c>
      <c r="G179" s="70">
        <f>IF(D179&gt;=($D$6*0.9),1,0)</f>
        <v/>
      </c>
      <c r="H179" s="80" t="n">
        <v>26</v>
      </c>
      <c r="I179" s="70">
        <f>IF(H179&gt;=($H$6*0.7),1,0)</f>
        <v/>
      </c>
      <c r="J179" s="70">
        <f>IF(H179&gt;=($H$6*0.7),1,0)</f>
        <v/>
      </c>
      <c r="K179" s="70">
        <f>IF(H179&gt;=($H$6*0.9),1,0)</f>
        <v/>
      </c>
      <c r="L179" s="80" t="n">
        <v>13</v>
      </c>
      <c r="M179" s="70">
        <f>IF(L179&gt;=($L$6*0.7),1,0)</f>
        <v/>
      </c>
      <c r="N179" s="70">
        <f>IF(L179&gt;=($L$6*0.8),1,0)</f>
        <v/>
      </c>
      <c r="O179" s="70">
        <f>IF(L179&gt;=($L$6*0.9),1,0)</f>
        <v/>
      </c>
      <c r="P179" s="71" t="n"/>
      <c r="Q179" s="71" t="n"/>
      <c r="R179" t="n">
        <v>63</v>
      </c>
      <c r="S179" s="48" t="n"/>
      <c r="T179" s="48" t="n"/>
      <c r="U179" s="48" t="n"/>
      <c r="V179" s="48" t="n"/>
      <c r="W179" s="44" t="n"/>
      <c r="X179" s="44" t="n"/>
    </row>
    <row r="180" ht="15.75" customHeight="1" s="98">
      <c r="A180" s="69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80" t="n">
        <v>27</v>
      </c>
      <c r="E180" s="70">
        <f>IF(D180&gt;=($D$6*0.7),1,0)</f>
        <v/>
      </c>
      <c r="F180" s="70">
        <f>IF(D180&gt;=($D$6*0.8),1,0)</f>
        <v/>
      </c>
      <c r="G180" s="70">
        <f>IF(D180&gt;=($D$6*0.9),1,0)</f>
        <v/>
      </c>
      <c r="H180" s="80" t="n">
        <v>26</v>
      </c>
      <c r="I180" s="70">
        <f>IF(H180&gt;=($H$6*0.7),1,0)</f>
        <v/>
      </c>
      <c r="J180" s="70">
        <f>IF(H180&gt;=($H$6*0.7),1,0)</f>
        <v/>
      </c>
      <c r="K180" s="70">
        <f>IF(H180&gt;=($H$6*0.9),1,0)</f>
        <v/>
      </c>
      <c r="L180" s="80" t="n">
        <v>14</v>
      </c>
      <c r="M180" s="70">
        <f>IF(L180&gt;=($L$6*0.7),1,0)</f>
        <v/>
      </c>
      <c r="N180" s="70">
        <f>IF(L180&gt;=($L$6*0.8),1,0)</f>
        <v/>
      </c>
      <c r="O180" s="70">
        <f>IF(L180&gt;=($L$6*0.9),1,0)</f>
        <v/>
      </c>
      <c r="P180" s="71" t="n"/>
      <c r="Q180" s="71" t="n"/>
      <c r="R180" s="80" t="n">
        <v>67</v>
      </c>
      <c r="S180" s="48" t="n"/>
      <c r="T180" s="48" t="n"/>
      <c r="U180" s="48" t="n"/>
      <c r="V180" s="48" t="n"/>
      <c r="W180" s="44" t="n"/>
      <c r="X180" s="44" t="n"/>
    </row>
    <row r="181" ht="15.75" customHeight="1" s="98">
      <c r="A181" s="69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80" t="n">
        <v>14</v>
      </c>
      <c r="E181" s="70">
        <f>IF(D181&gt;=($D$6*0.7),1,0)</f>
        <v/>
      </c>
      <c r="F181" s="70">
        <f>IF(D181&gt;=($D$6*0.8),1,0)</f>
        <v/>
      </c>
      <c r="G181" s="70">
        <f>IF(D181&gt;=($D$6*0.9),1,0)</f>
        <v/>
      </c>
      <c r="H181" s="80" t="n">
        <v>14</v>
      </c>
      <c r="I181" s="70">
        <f>IF(H181&gt;=($H$6*0.7),1,0)</f>
        <v/>
      </c>
      <c r="J181" s="70">
        <f>IF(H181&gt;=($H$6*0.7),1,0)</f>
        <v/>
      </c>
      <c r="K181" s="70">
        <f>IF(H181&gt;=($H$6*0.9),1,0)</f>
        <v/>
      </c>
      <c r="L181" s="80" t="n">
        <v>9</v>
      </c>
      <c r="M181" s="70">
        <f>IF(L181&gt;=($L$6*0.7),1,0)</f>
        <v/>
      </c>
      <c r="N181" s="70">
        <f>IF(L181&gt;=($L$6*0.8),1,0)</f>
        <v/>
      </c>
      <c r="O181" s="70">
        <f>IF(L181&gt;=($L$6*0.9),1,0)</f>
        <v/>
      </c>
      <c r="P181" s="71" t="n"/>
      <c r="Q181" s="71" t="n"/>
      <c r="R181" t="n">
        <v>37</v>
      </c>
      <c r="S181" s="48" t="n"/>
      <c r="T181" s="48" t="n"/>
      <c r="U181" s="48" t="n"/>
      <c r="V181" s="48" t="n"/>
      <c r="W181" s="44" t="n"/>
      <c r="X181" s="44" t="n"/>
    </row>
    <row r="182" ht="15.75" customHeight="1" s="98">
      <c r="A182" s="69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80" t="n">
        <v>25</v>
      </c>
      <c r="E182" s="70">
        <f>IF(D182&gt;=($D$6*0.7),1,0)</f>
        <v/>
      </c>
      <c r="F182" s="70">
        <f>IF(D182&gt;=($D$6*0.8),1,0)</f>
        <v/>
      </c>
      <c r="G182" s="70">
        <f>IF(D182&gt;=($D$6*0.9),1,0)</f>
        <v/>
      </c>
      <c r="H182" s="80" t="n">
        <v>25</v>
      </c>
      <c r="I182" s="70">
        <f>IF(H182&gt;=($H$6*0.7),1,0)</f>
        <v/>
      </c>
      <c r="J182" s="70">
        <f>IF(H182&gt;=($H$6*0.7),1,0)</f>
        <v/>
      </c>
      <c r="K182" s="70">
        <f>IF(H182&gt;=($H$6*0.9),1,0)</f>
        <v/>
      </c>
      <c r="L182" s="80" t="n">
        <v>13</v>
      </c>
      <c r="M182" s="70">
        <f>IF(L182&gt;=($L$6*0.7),1,0)</f>
        <v/>
      </c>
      <c r="N182" s="70">
        <f>IF(L182&gt;=($L$6*0.8),1,0)</f>
        <v/>
      </c>
      <c r="O182" s="70">
        <f>IF(L182&gt;=($L$6*0.9),1,0)</f>
        <v/>
      </c>
      <c r="P182" s="71" t="n"/>
      <c r="Q182" s="71" t="n"/>
      <c r="R182" s="80" t="n">
        <v>63</v>
      </c>
      <c r="S182" s="48" t="n"/>
      <c r="T182" s="48" t="n"/>
      <c r="U182" s="48" t="n"/>
      <c r="V182" s="48" t="n"/>
      <c r="W182" s="44" t="n"/>
      <c r="X182" s="44" t="n"/>
    </row>
    <row r="183" ht="15.75" customHeight="1" s="98">
      <c r="A183" s="69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80" t="n"/>
      <c r="E183" s="70">
        <f>IF(D183&gt;=($D$6*0.7),1,0)</f>
        <v/>
      </c>
      <c r="F183" s="70">
        <f>IF(D183&gt;=($D$6*0.8),1,0)</f>
        <v/>
      </c>
      <c r="G183" s="70">
        <f>IF(D183&gt;=($D$6*0.9),1,0)</f>
        <v/>
      </c>
      <c r="H183" s="80" t="n"/>
      <c r="I183" s="70">
        <f>IF(H183&gt;=($H$6*0.7),1,0)</f>
        <v/>
      </c>
      <c r="J183" s="70">
        <f>IF(H183&gt;=($H$6*0.7),1,0)</f>
        <v/>
      </c>
      <c r="K183" s="70">
        <f>IF(H183&gt;=($H$6*0.9),1,0)</f>
        <v/>
      </c>
      <c r="L183" s="80" t="n"/>
      <c r="M183" s="70">
        <f>IF(L183&gt;=($L$6*0.7),1,0)</f>
        <v/>
      </c>
      <c r="N183" s="70">
        <f>IF(L183&gt;=($L$6*0.8),1,0)</f>
        <v/>
      </c>
      <c r="O183" s="70">
        <f>IF(L183&gt;=($L$6*0.9),1,0)</f>
        <v/>
      </c>
      <c r="P183" s="75" t="n"/>
      <c r="Q183" s="75" t="n"/>
      <c r="R183" s="80" t="n"/>
      <c r="S183" s="48" t="n"/>
      <c r="T183" s="48" t="n"/>
      <c r="U183" s="48" t="n"/>
      <c r="V183" s="48" t="n"/>
      <c r="W183" s="44" t="n"/>
      <c r="X183" s="44" t="n"/>
    </row>
    <row r="184" ht="15.75" customHeight="1" s="98">
      <c r="A184" s="69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80" t="n"/>
      <c r="E184" s="70">
        <f>IF(D184&gt;=($D$6*0.7),1,0)</f>
        <v/>
      </c>
      <c r="F184" s="70">
        <f>IF(D184&gt;=($D$6*0.8),1,0)</f>
        <v/>
      </c>
      <c r="G184" s="70">
        <f>IF(D184&gt;=($D$6*0.9),1,0)</f>
        <v/>
      </c>
      <c r="H184" s="80" t="n"/>
      <c r="I184" s="70">
        <f>IF(H184&gt;=($H$6*0.7),1,0)</f>
        <v/>
      </c>
      <c r="J184" s="70">
        <f>IF(H184&gt;=($H$6*0.7),1,0)</f>
        <v/>
      </c>
      <c r="K184" s="70">
        <f>IF(H184&gt;=($H$6*0.9),1,0)</f>
        <v/>
      </c>
      <c r="L184" s="80" t="n"/>
      <c r="M184" s="70">
        <f>IF(L184&gt;=($L$6*0.7),1,0)</f>
        <v/>
      </c>
      <c r="N184" s="70">
        <f>IF(L184&gt;=($L$6*0.8),1,0)</f>
        <v/>
      </c>
      <c r="O184" s="70">
        <f>IF(L184&gt;=($L$6*0.9),1,0)</f>
        <v/>
      </c>
      <c r="P184" s="75" t="n"/>
      <c r="Q184" s="75" t="n"/>
      <c r="S184" s="48" t="n"/>
      <c r="T184" s="48" t="n"/>
      <c r="U184" s="48" t="n"/>
      <c r="V184" s="48" t="n"/>
      <c r="W184" s="44" t="n"/>
      <c r="X184" s="44" t="n"/>
    </row>
    <row r="185" ht="15.75" customHeight="1" s="98">
      <c r="A185" s="69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80" t="n"/>
      <c r="E185" s="70">
        <f>IF(D185&gt;=($D$6*0.7),1,0)</f>
        <v/>
      </c>
      <c r="F185" s="70">
        <f>IF(D185&gt;=($D$6*0.8),1,0)</f>
        <v/>
      </c>
      <c r="G185" s="70">
        <f>IF(D185&gt;=($D$6*0.9),1,0)</f>
        <v/>
      </c>
      <c r="H185" s="80" t="n"/>
      <c r="I185" s="70">
        <f>IF(H185&gt;=($H$6*0.7),1,0)</f>
        <v/>
      </c>
      <c r="J185" s="70">
        <f>IF(H185&gt;=($H$6*0.7),1,0)</f>
        <v/>
      </c>
      <c r="K185" s="70">
        <f>IF(H185&gt;=($H$6*0.9),1,0)</f>
        <v/>
      </c>
      <c r="L185" s="80" t="n"/>
      <c r="M185" s="70">
        <f>IF(L185&gt;=($L$6*0.7),1,0)</f>
        <v/>
      </c>
      <c r="N185" s="70">
        <f>IF(L185&gt;=($L$6*0.8),1,0)</f>
        <v/>
      </c>
      <c r="O185" s="70">
        <f>IF(L185&gt;=($L$6*0.9),1,0)</f>
        <v/>
      </c>
      <c r="P185" s="75" t="n"/>
      <c r="Q185" s="75" t="n"/>
      <c r="R185" s="80" t="n"/>
      <c r="S185" s="48" t="n"/>
      <c r="T185" s="48" t="n"/>
      <c r="U185" s="48" t="n"/>
      <c r="V185" s="48" t="n"/>
      <c r="W185" s="44" t="n"/>
      <c r="X185" s="44" t="n"/>
    </row>
    <row r="186" ht="15.75" customHeight="1" s="98">
      <c r="A186" s="69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80" t="n"/>
      <c r="E186" s="70">
        <f>IF(D186&gt;=($D$6*0.7),1,0)</f>
        <v/>
      </c>
      <c r="F186" s="70">
        <f>IF(D186&gt;=($D$6*0.8),1,0)</f>
        <v/>
      </c>
      <c r="G186" s="70">
        <f>IF(D186&gt;=($D$6*0.9),1,0)</f>
        <v/>
      </c>
      <c r="H186" s="80" t="n"/>
      <c r="I186" s="70">
        <f>IF(H186&gt;=($H$6*0.7),1,0)</f>
        <v/>
      </c>
      <c r="J186" s="70">
        <f>IF(H186&gt;=($H$6*0.7),1,0)</f>
        <v/>
      </c>
      <c r="K186" s="70">
        <f>IF(H186&gt;=($H$6*0.9),1,0)</f>
        <v/>
      </c>
      <c r="L186" s="80" t="n"/>
      <c r="M186" s="70">
        <f>IF(L186&gt;=($L$6*0.7),1,0)</f>
        <v/>
      </c>
      <c r="N186" s="70">
        <f>IF(L186&gt;=($L$6*0.8),1,0)</f>
        <v/>
      </c>
      <c r="O186" s="70">
        <f>IF(L186&gt;=($L$6*0.9),1,0)</f>
        <v/>
      </c>
      <c r="P186" s="75" t="n"/>
      <c r="Q186" s="75" t="n"/>
      <c r="R186" s="80" t="n"/>
      <c r="S186" s="48" t="n"/>
      <c r="T186" s="48" t="n"/>
      <c r="U186" s="48" t="n"/>
      <c r="V186" s="48" t="n"/>
      <c r="W186" s="44" t="n"/>
      <c r="X186" s="44" t="n"/>
    </row>
    <row r="187" ht="15.75" customHeight="1" s="98">
      <c r="A187" s="69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80" t="n"/>
      <c r="E187" s="70">
        <f>IF(D187&gt;=($D$6*0.7),1,0)</f>
        <v/>
      </c>
      <c r="F187" s="70">
        <f>IF(D187&gt;=($D$6*0.8),1,0)</f>
        <v/>
      </c>
      <c r="G187" s="70">
        <f>IF(D187&gt;=($D$6*0.9),1,0)</f>
        <v/>
      </c>
      <c r="H187" s="80" t="n"/>
      <c r="I187" s="70">
        <f>IF(H187&gt;=($H$6*0.7),1,0)</f>
        <v/>
      </c>
      <c r="J187" s="70">
        <f>IF(H187&gt;=($H$6*0.7),1,0)</f>
        <v/>
      </c>
      <c r="K187" s="70">
        <f>IF(H187&gt;=($H$6*0.9),1,0)</f>
        <v/>
      </c>
      <c r="L187" s="80" t="n"/>
      <c r="M187" s="70">
        <f>IF(L187&gt;=($L$6*0.7),1,0)</f>
        <v/>
      </c>
      <c r="N187" s="70">
        <f>IF(L187&gt;=($L$6*0.8),1,0)</f>
        <v/>
      </c>
      <c r="O187" s="70">
        <f>IF(L187&gt;=($L$6*0.9),1,0)</f>
        <v/>
      </c>
      <c r="P187" s="75" t="n"/>
      <c r="Q187" s="75" t="n"/>
      <c r="S187" s="48" t="n"/>
      <c r="T187" s="48" t="n"/>
      <c r="U187" s="48" t="n"/>
      <c r="V187" s="48" t="n"/>
      <c r="W187" s="44" t="n"/>
      <c r="X187" s="44" t="n"/>
    </row>
    <row r="188" ht="15.75" customHeight="1" s="98">
      <c r="A188" s="69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80" t="n"/>
      <c r="E188" s="70">
        <f>IF(D188&gt;=($D$6*0.7),1,0)</f>
        <v/>
      </c>
      <c r="F188" s="70">
        <f>IF(D188&gt;=($D$6*0.8),1,0)</f>
        <v/>
      </c>
      <c r="G188" s="70">
        <f>IF(D188&gt;=($D$6*0.9),1,0)</f>
        <v/>
      </c>
      <c r="H188" s="80" t="n"/>
      <c r="I188" s="70">
        <f>IF(H188&gt;=($H$6*0.7),1,0)</f>
        <v/>
      </c>
      <c r="J188" s="70">
        <f>IF(H188&gt;=($H$6*0.7),1,0)</f>
        <v/>
      </c>
      <c r="K188" s="70">
        <f>IF(H188&gt;=($H$6*0.9),1,0)</f>
        <v/>
      </c>
      <c r="L188" s="80" t="n"/>
      <c r="M188" s="70">
        <f>IF(L188&gt;=($L$6*0.7),1,0)</f>
        <v/>
      </c>
      <c r="N188" s="70">
        <f>IF(L188&gt;=($L$6*0.8),1,0)</f>
        <v/>
      </c>
      <c r="O188" s="70">
        <f>IF(L188&gt;=($L$6*0.9),1,0)</f>
        <v/>
      </c>
      <c r="P188" s="75" t="n"/>
      <c r="Q188" s="75" t="n"/>
      <c r="R188" s="80" t="n"/>
      <c r="S188" s="48" t="n"/>
      <c r="T188" s="48" t="n"/>
      <c r="U188" s="48" t="n"/>
      <c r="V188" s="48" t="n"/>
      <c r="W188" s="44" t="n"/>
      <c r="X188" s="44" t="n"/>
    </row>
    <row r="189" ht="15.75" customHeight="1" s="98">
      <c r="A189" s="69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80" t="n"/>
      <c r="E189" s="70">
        <f>IF(D189&gt;=($D$6*0.7),1,0)</f>
        <v/>
      </c>
      <c r="F189" s="70">
        <f>IF(D189&gt;=($D$6*0.8),1,0)</f>
        <v/>
      </c>
      <c r="G189" s="70">
        <f>IF(D189&gt;=($D$6*0.9),1,0)</f>
        <v/>
      </c>
      <c r="H189" s="80" t="n"/>
      <c r="I189" s="70">
        <f>IF(H189&gt;=($H$6*0.7),1,0)</f>
        <v/>
      </c>
      <c r="J189" s="70">
        <f>IF(H189&gt;=($H$6*0.7),1,0)</f>
        <v/>
      </c>
      <c r="K189" s="70">
        <f>IF(H189&gt;=($H$6*0.9),1,0)</f>
        <v/>
      </c>
      <c r="L189" s="80" t="n"/>
      <c r="M189" s="70">
        <f>IF(L189&gt;=($L$6*0.7),1,0)</f>
        <v/>
      </c>
      <c r="N189" s="70">
        <f>IF(L189&gt;=($L$6*0.8),1,0)</f>
        <v/>
      </c>
      <c r="O189" s="70">
        <f>IF(L189&gt;=($L$6*0.9),1,0)</f>
        <v/>
      </c>
      <c r="P189" s="75" t="n"/>
      <c r="Q189" s="75" t="n"/>
      <c r="S189" s="48" t="n"/>
      <c r="T189" s="48" t="n"/>
      <c r="U189" s="48" t="n"/>
      <c r="V189" s="48" t="n"/>
      <c r="W189" s="44" t="n"/>
      <c r="X189" s="44" t="n"/>
    </row>
    <row r="190" ht="15.75" customHeight="1" s="98">
      <c r="A190" s="69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80" t="n"/>
      <c r="E190" s="70">
        <f>IF(D190&gt;=($D$6*0.7),1,0)</f>
        <v/>
      </c>
      <c r="F190" s="70">
        <f>IF(D190&gt;=($D$6*0.8),1,0)</f>
        <v/>
      </c>
      <c r="G190" s="70">
        <f>IF(D190&gt;=($D$6*0.9),1,0)</f>
        <v/>
      </c>
      <c r="H190" s="80" t="n"/>
      <c r="I190" s="70">
        <f>IF(H190&gt;=($H$6*0.7),1,0)</f>
        <v/>
      </c>
      <c r="J190" s="70">
        <f>IF(H190&gt;=($H$6*0.7),1,0)</f>
        <v/>
      </c>
      <c r="K190" s="70">
        <f>IF(H190&gt;=($H$6*0.9),1,0)</f>
        <v/>
      </c>
      <c r="L190" s="80" t="n"/>
      <c r="M190" s="70">
        <f>IF(L190&gt;=($L$6*0.7),1,0)</f>
        <v/>
      </c>
      <c r="N190" s="70">
        <f>IF(L190&gt;=($L$6*0.8),1,0)</f>
        <v/>
      </c>
      <c r="O190" s="70">
        <f>IF(L190&gt;=($L$6*0.9),1,0)</f>
        <v/>
      </c>
      <c r="P190" s="75" t="n"/>
      <c r="Q190" s="75" t="n"/>
      <c r="S190" s="48" t="n"/>
      <c r="T190" s="48" t="n"/>
      <c r="U190" s="48" t="n"/>
      <c r="V190" s="48" t="n"/>
      <c r="W190" s="44" t="n"/>
      <c r="X190" s="44" t="n"/>
    </row>
    <row r="191" ht="15.75" customHeight="1" s="98">
      <c r="A191" s="69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80" t="n"/>
      <c r="E191" s="70">
        <f>IF(D191&gt;=($D$6*0.7),1,0)</f>
        <v/>
      </c>
      <c r="F191" s="70">
        <f>IF(D191&gt;=($D$6*0.8),1,0)</f>
        <v/>
      </c>
      <c r="G191" s="70">
        <f>IF(D191&gt;=($D$6*0.9),1,0)</f>
        <v/>
      </c>
      <c r="H191" s="80" t="n"/>
      <c r="I191" s="70">
        <f>IF(H191&gt;=($H$6*0.7),1,0)</f>
        <v/>
      </c>
      <c r="J191" s="70">
        <f>IF(H191&gt;=($H$6*0.7),1,0)</f>
        <v/>
      </c>
      <c r="K191" s="70">
        <f>IF(H191&gt;=($H$6*0.9),1,0)</f>
        <v/>
      </c>
      <c r="L191" s="80" t="n"/>
      <c r="M191" s="70">
        <f>IF(L191&gt;=($L$6*0.7),1,0)</f>
        <v/>
      </c>
      <c r="N191" s="70">
        <f>IF(L191&gt;=($L$6*0.8),1,0)</f>
        <v/>
      </c>
      <c r="O191" s="70">
        <f>IF(L191&gt;=($L$6*0.9),1,0)</f>
        <v/>
      </c>
      <c r="P191" s="75" t="n"/>
      <c r="Q191" s="75" t="n"/>
      <c r="S191" s="48" t="n"/>
      <c r="T191" s="48" t="n"/>
      <c r="U191" s="48" t="n"/>
      <c r="V191" s="48" t="n"/>
      <c r="W191" s="44" t="n"/>
      <c r="X191" s="44" t="n"/>
    </row>
    <row r="192" ht="15.75" customHeight="1" s="98">
      <c r="A192" s="69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80" t="n"/>
      <c r="E192" s="70">
        <f>IF(D192&gt;=($D$6*0.7),1,0)</f>
        <v/>
      </c>
      <c r="F192" s="70">
        <f>IF(D192&gt;=($D$6*0.8),1,0)</f>
        <v/>
      </c>
      <c r="G192" s="70">
        <f>IF(D192&gt;=($D$6*0.9),1,0)</f>
        <v/>
      </c>
      <c r="H192" s="80" t="n"/>
      <c r="I192" s="70">
        <f>IF(H192&gt;=($H$6*0.7),1,0)</f>
        <v/>
      </c>
      <c r="J192" s="70">
        <f>IF(H192&gt;=($H$6*0.7),1,0)</f>
        <v/>
      </c>
      <c r="K192" s="70">
        <f>IF(H192&gt;=($H$6*0.9),1,0)</f>
        <v/>
      </c>
      <c r="L192" s="80" t="n"/>
      <c r="M192" s="70">
        <f>IF(L192&gt;=($L$6*0.7),1,0)</f>
        <v/>
      </c>
      <c r="N192" s="70">
        <f>IF(L192&gt;=($L$6*0.8),1,0)</f>
        <v/>
      </c>
      <c r="O192" s="70">
        <f>IF(L192&gt;=($L$6*0.9),1,0)</f>
        <v/>
      </c>
      <c r="P192" s="75" t="n"/>
      <c r="Q192" s="75" t="n"/>
      <c r="R192" s="80" t="n"/>
      <c r="S192" s="48" t="n"/>
      <c r="T192" s="48" t="n"/>
      <c r="U192" s="48" t="n"/>
      <c r="V192" s="48" t="n"/>
      <c r="W192" s="44" t="n"/>
      <c r="X192" s="44" t="n"/>
    </row>
    <row r="193" ht="15.75" customHeight="1" s="98">
      <c r="A193" s="69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80" t="n"/>
      <c r="E193" s="70">
        <f>IF(D193&gt;=($D$6*0.7),1,0)</f>
        <v/>
      </c>
      <c r="F193" s="70">
        <f>IF(D193&gt;=($D$6*0.8),1,0)</f>
        <v/>
      </c>
      <c r="G193" s="70">
        <f>IF(D193&gt;=($D$6*0.9),1,0)</f>
        <v/>
      </c>
      <c r="H193" s="80" t="n"/>
      <c r="I193" s="70">
        <f>IF(H193&gt;=($H$6*0.7),1,0)</f>
        <v/>
      </c>
      <c r="J193" s="70">
        <f>IF(H193&gt;=($H$6*0.7),1,0)</f>
        <v/>
      </c>
      <c r="K193" s="70">
        <f>IF(H193&gt;=($H$6*0.9),1,0)</f>
        <v/>
      </c>
      <c r="L193" s="80" t="n"/>
      <c r="M193" s="70">
        <f>IF(L193&gt;=($L$6*0.7),1,0)</f>
        <v/>
      </c>
      <c r="N193" s="70">
        <f>IF(L193&gt;=($L$6*0.8),1,0)</f>
        <v/>
      </c>
      <c r="O193" s="70">
        <f>IF(L193&gt;=($L$6*0.9),1,0)</f>
        <v/>
      </c>
      <c r="P193" s="75" t="n"/>
      <c r="Q193" s="75" t="n"/>
      <c r="S193" s="48" t="n"/>
      <c r="T193" s="48" t="n"/>
      <c r="U193" s="48" t="n"/>
      <c r="V193" s="48" t="n"/>
      <c r="W193" s="44" t="n"/>
      <c r="X193" s="44" t="n"/>
    </row>
    <row r="194" ht="15.75" customHeight="1" s="98">
      <c r="A194" s="69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80" t="n"/>
      <c r="E194" s="70">
        <f>IF(D194&gt;=($D$6*0.7),1,0)</f>
        <v/>
      </c>
      <c r="F194" s="70">
        <f>IF(D194&gt;=($D$6*0.8),1,0)</f>
        <v/>
      </c>
      <c r="G194" s="70">
        <f>IF(D194&gt;=($D$6*0.9),1,0)</f>
        <v/>
      </c>
      <c r="H194" s="80" t="n"/>
      <c r="I194" s="70">
        <f>IF(H194&gt;=($H$6*0.7),1,0)</f>
        <v/>
      </c>
      <c r="J194" s="70">
        <f>IF(H194&gt;=($H$6*0.7),1,0)</f>
        <v/>
      </c>
      <c r="K194" s="70">
        <f>IF(H194&gt;=($H$6*0.9),1,0)</f>
        <v/>
      </c>
      <c r="L194" s="80" t="n"/>
      <c r="M194" s="70">
        <f>IF(L194&gt;=($L$6*0.7),1,0)</f>
        <v/>
      </c>
      <c r="N194" s="70">
        <f>IF(L194&gt;=($L$6*0.8),1,0)</f>
        <v/>
      </c>
      <c r="O194" s="70">
        <f>IF(L194&gt;=($L$6*0.9),1,0)</f>
        <v/>
      </c>
      <c r="P194" s="75" t="n"/>
      <c r="Q194" s="75" t="n"/>
      <c r="R194" s="80" t="n"/>
      <c r="S194" s="48" t="n"/>
      <c r="T194" s="48" t="n"/>
      <c r="U194" s="48" t="n"/>
      <c r="V194" s="48" t="n"/>
      <c r="W194" s="44" t="n"/>
      <c r="X194" s="44" t="n"/>
    </row>
    <row r="195" ht="15.75" customHeight="1" s="98">
      <c r="A195" s="69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80" t="n"/>
      <c r="E195" s="70">
        <f>IF(D195&gt;=($D$6*0.7),1,0)</f>
        <v/>
      </c>
      <c r="F195" s="70">
        <f>IF(D195&gt;=($D$6*0.8),1,0)</f>
        <v/>
      </c>
      <c r="G195" s="70">
        <f>IF(D195&gt;=($D$6*0.9),1,0)</f>
        <v/>
      </c>
      <c r="H195" s="80" t="n"/>
      <c r="I195" s="70">
        <f>IF(H195&gt;=($H$6*0.7),1,0)</f>
        <v/>
      </c>
      <c r="J195" s="70">
        <f>IF(H195&gt;=($H$6*0.7),1,0)</f>
        <v/>
      </c>
      <c r="K195" s="70">
        <f>IF(H195&gt;=($H$6*0.9),1,0)</f>
        <v/>
      </c>
      <c r="L195" s="80" t="n"/>
      <c r="M195" s="70">
        <f>IF(L195&gt;=($L$6*0.7),1,0)</f>
        <v/>
      </c>
      <c r="N195" s="70">
        <f>IF(L195&gt;=($L$6*0.8),1,0)</f>
        <v/>
      </c>
      <c r="O195" s="70">
        <f>IF(L195&gt;=($L$6*0.9),1,0)</f>
        <v/>
      </c>
      <c r="P195" s="75" t="n"/>
      <c r="Q195" s="75" t="n"/>
      <c r="R195" s="80" t="n"/>
      <c r="S195" s="48" t="n"/>
      <c r="T195" s="48" t="n"/>
      <c r="U195" s="48" t="n"/>
      <c r="V195" s="48" t="n"/>
      <c r="W195" s="44" t="n"/>
      <c r="X195" s="44" t="n"/>
    </row>
    <row r="196" ht="15.75" customHeight="1" s="98">
      <c r="A196" s="69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80" t="n"/>
      <c r="E196" s="70">
        <f>IF(D196&gt;=($D$6*0.7),1,0)</f>
        <v/>
      </c>
      <c r="F196" s="70">
        <f>IF(D196&gt;=($D$6*0.8),1,0)</f>
        <v/>
      </c>
      <c r="G196" s="70">
        <f>IF(D196&gt;=($D$6*0.9),1,0)</f>
        <v/>
      </c>
      <c r="H196" s="80" t="n"/>
      <c r="I196" s="70">
        <f>IF(H196&gt;=($H$6*0.7),1,0)</f>
        <v/>
      </c>
      <c r="J196" s="70">
        <f>IF(H196&gt;=($H$6*0.7),1,0)</f>
        <v/>
      </c>
      <c r="K196" s="70">
        <f>IF(H196&gt;=($H$6*0.9),1,0)</f>
        <v/>
      </c>
      <c r="L196" s="80" t="n"/>
      <c r="M196" s="70">
        <f>IF(L196&gt;=($L$6*0.7),1,0)</f>
        <v/>
      </c>
      <c r="N196" s="70">
        <f>IF(L196&gt;=($L$6*0.8),1,0)</f>
        <v/>
      </c>
      <c r="O196" s="70">
        <f>IF(L196&gt;=($L$6*0.9),1,0)</f>
        <v/>
      </c>
      <c r="P196" s="75" t="n"/>
      <c r="Q196" s="75" t="n"/>
      <c r="R196" s="80" t="n"/>
      <c r="S196" s="48" t="n"/>
      <c r="T196" s="48" t="n"/>
      <c r="U196" s="48" t="n"/>
      <c r="V196" s="48" t="n"/>
      <c r="W196" s="44" t="n"/>
      <c r="X196" s="44" t="n"/>
    </row>
    <row r="197" ht="15.75" customHeight="1" s="98">
      <c r="A197" s="69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80" t="n"/>
      <c r="E197" s="70">
        <f>IF(D197&gt;=($D$6*0.7),1,0)</f>
        <v/>
      </c>
      <c r="F197" s="70">
        <f>IF(D197&gt;=($D$6*0.8),1,0)</f>
        <v/>
      </c>
      <c r="G197" s="70">
        <f>IF(D197&gt;=($D$6*0.9),1,0)</f>
        <v/>
      </c>
      <c r="H197" s="80" t="n"/>
      <c r="I197" s="70">
        <f>IF(H197&gt;=($H$6*0.7),1,0)</f>
        <v/>
      </c>
      <c r="J197" s="70">
        <f>IF(H197&gt;=($H$6*0.7),1,0)</f>
        <v/>
      </c>
      <c r="K197" s="70">
        <f>IF(H197&gt;=($H$6*0.9),1,0)</f>
        <v/>
      </c>
      <c r="L197" s="80" t="n"/>
      <c r="M197" s="70">
        <f>IF(L197&gt;=($L$6*0.7),1,0)</f>
        <v/>
      </c>
      <c r="N197" s="70">
        <f>IF(L197&gt;=($L$6*0.8),1,0)</f>
        <v/>
      </c>
      <c r="O197" s="70">
        <f>IF(L197&gt;=($L$6*0.9),1,0)</f>
        <v/>
      </c>
      <c r="P197" s="75" t="n"/>
      <c r="Q197" s="75" t="n"/>
      <c r="R197" s="80" t="n"/>
      <c r="S197" s="48" t="n"/>
      <c r="T197" s="48" t="n"/>
      <c r="U197" s="48" t="n"/>
      <c r="V197" s="48" t="n"/>
      <c r="W197" s="44" t="n"/>
      <c r="X197" s="44" t="n"/>
    </row>
    <row r="198" ht="15.75" customHeight="1" s="98">
      <c r="A198" s="69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80" t="n"/>
      <c r="E198" s="70">
        <f>IF(D198&gt;=($D$6*0.7),1,0)</f>
        <v/>
      </c>
      <c r="F198" s="70">
        <f>IF(D198&gt;=($D$6*0.8),1,0)</f>
        <v/>
      </c>
      <c r="G198" s="70">
        <f>IF(D198&gt;=($D$6*0.9),1,0)</f>
        <v/>
      </c>
      <c r="H198" s="80" t="n"/>
      <c r="I198" s="70">
        <f>IF(H198&gt;=($H$6*0.7),1,0)</f>
        <v/>
      </c>
      <c r="J198" s="70">
        <f>IF(H198&gt;=($H$6*0.7),1,0)</f>
        <v/>
      </c>
      <c r="K198" s="70">
        <f>IF(H198&gt;=($H$6*0.9),1,0)</f>
        <v/>
      </c>
      <c r="L198" s="80" t="n"/>
      <c r="M198" s="70">
        <f>IF(L198&gt;=($L$6*0.7),1,0)</f>
        <v/>
      </c>
      <c r="N198" s="70">
        <f>IF(L198&gt;=($L$6*0.8),1,0)</f>
        <v/>
      </c>
      <c r="O198" s="70">
        <f>IF(L198&gt;=($L$6*0.9),1,0)</f>
        <v/>
      </c>
      <c r="P198" s="75" t="n"/>
      <c r="Q198" s="75" t="n"/>
      <c r="R198" s="80" t="n"/>
      <c r="S198" s="48" t="n"/>
      <c r="T198" s="48" t="n"/>
      <c r="U198" s="48" t="n"/>
      <c r="V198" s="48" t="n"/>
      <c r="W198" s="44" t="n"/>
      <c r="X198" s="44" t="n"/>
    </row>
    <row r="199" ht="15.75" customHeight="1" s="98">
      <c r="A199" s="69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80" t="n"/>
      <c r="E199" s="70">
        <f>IF(D199&gt;=($D$6*0.7),1,0)</f>
        <v/>
      </c>
      <c r="F199" s="70">
        <f>IF(D199&gt;=($D$6*0.8),1,0)</f>
        <v/>
      </c>
      <c r="G199" s="70">
        <f>IF(D199&gt;=($D$6*0.9),1,0)</f>
        <v/>
      </c>
      <c r="H199" s="80" t="n"/>
      <c r="I199" s="70">
        <f>IF(H199&gt;=($H$6*0.7),1,0)</f>
        <v/>
      </c>
      <c r="J199" s="70">
        <f>IF(H199&gt;=($H$6*0.7),1,0)</f>
        <v/>
      </c>
      <c r="K199" s="70">
        <f>IF(H199&gt;=($H$6*0.9),1,0)</f>
        <v/>
      </c>
      <c r="L199" s="80" t="n"/>
      <c r="M199" s="70">
        <f>IF(L199&gt;=($L$6*0.7),1,0)</f>
        <v/>
      </c>
      <c r="N199" s="70">
        <f>IF(L199&gt;=($L$6*0.8),1,0)</f>
        <v/>
      </c>
      <c r="O199" s="70">
        <f>IF(L199&gt;=($L$6*0.9),1,0)</f>
        <v/>
      </c>
      <c r="P199" s="75" t="n"/>
      <c r="Q199" s="75" t="n"/>
      <c r="R199" s="80" t="n"/>
      <c r="S199" s="48" t="n"/>
      <c r="T199" s="48" t="n"/>
      <c r="U199" s="48" t="n"/>
      <c r="V199" s="48" t="n"/>
      <c r="W199" s="44" t="n"/>
      <c r="X199" s="44" t="n"/>
    </row>
    <row r="200" ht="15.75" customHeight="1" s="98">
      <c r="A200" s="69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80" t="n"/>
      <c r="E200" s="70">
        <f>IF(D200&gt;=($D$6*0.7),1,0)</f>
        <v/>
      </c>
      <c r="F200" s="70">
        <f>IF(D200&gt;=($D$6*0.8),1,0)</f>
        <v/>
      </c>
      <c r="G200" s="70">
        <f>IF(D200&gt;=($D$6*0.9),1,0)</f>
        <v/>
      </c>
      <c r="H200" s="80" t="n"/>
      <c r="I200" s="70">
        <f>IF(H200&gt;=($H$6*0.7),1,0)</f>
        <v/>
      </c>
      <c r="J200" s="70">
        <f>IF(H200&gt;=($H$6*0.7),1,0)</f>
        <v/>
      </c>
      <c r="K200" s="70">
        <f>IF(H200&gt;=($H$6*0.9),1,0)</f>
        <v/>
      </c>
      <c r="L200" s="80" t="n"/>
      <c r="M200" s="70">
        <f>IF(L200&gt;=($L$6*0.7),1,0)</f>
        <v/>
      </c>
      <c r="N200" s="70">
        <f>IF(L200&gt;=($L$6*0.8),1,0)</f>
        <v/>
      </c>
      <c r="O200" s="70">
        <f>IF(L200&gt;=($L$6*0.9),1,0)</f>
        <v/>
      </c>
      <c r="P200" s="75" t="n"/>
      <c r="Q200" s="75" t="n"/>
      <c r="R200" s="80" t="n"/>
      <c r="S200" s="48" t="n"/>
      <c r="T200" s="48" t="n"/>
      <c r="U200" s="48" t="n"/>
      <c r="V200" s="48" t="n"/>
      <c r="W200" s="44" t="n"/>
      <c r="X200" s="44" t="n"/>
    </row>
    <row r="201" ht="15.75" customHeight="1" s="98">
      <c r="A201" s="69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80" t="n"/>
      <c r="E201" s="70">
        <f>IF(D201&gt;=($D$6*0.7),1,0)</f>
        <v/>
      </c>
      <c r="F201" s="70">
        <f>IF(D201&gt;=($D$6*0.8),1,0)</f>
        <v/>
      </c>
      <c r="G201" s="70">
        <f>IF(D201&gt;=($D$6*0.9),1,0)</f>
        <v/>
      </c>
      <c r="H201" s="80" t="n"/>
      <c r="I201" s="70">
        <f>IF(H201&gt;=($H$6*0.7),1,0)</f>
        <v/>
      </c>
      <c r="J201" s="70">
        <f>IF(H201&gt;=($H$6*0.7),1,0)</f>
        <v/>
      </c>
      <c r="K201" s="70">
        <f>IF(H201&gt;=($H$6*0.9),1,0)</f>
        <v/>
      </c>
      <c r="L201" s="80" t="n"/>
      <c r="M201" s="70">
        <f>IF(L201&gt;=($L$6*0.7),1,0)</f>
        <v/>
      </c>
      <c r="N201" s="70">
        <f>IF(L201&gt;=($L$6*0.8),1,0)</f>
        <v/>
      </c>
      <c r="O201" s="70">
        <f>IF(L201&gt;=($L$6*0.9),1,0)</f>
        <v/>
      </c>
      <c r="P201" s="75" t="n"/>
      <c r="Q201" s="75" t="n"/>
      <c r="S201" s="48" t="n"/>
      <c r="T201" s="48" t="n"/>
      <c r="U201" s="48" t="n"/>
      <c r="V201" s="48" t="n"/>
      <c r="W201" s="44" t="n"/>
      <c r="X201" s="44" t="n"/>
    </row>
    <row r="202" ht="15.75" customHeight="1" s="98">
      <c r="A202" s="69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80" t="n"/>
      <c r="E202" s="70">
        <f>IF(D202&gt;=($D$6*0.7),1,0)</f>
        <v/>
      </c>
      <c r="F202" s="70">
        <f>IF(D202&gt;=($D$6*0.8),1,0)</f>
        <v/>
      </c>
      <c r="G202" s="70">
        <f>IF(D202&gt;=($D$6*0.9),1,0)</f>
        <v/>
      </c>
      <c r="H202" s="80" t="n"/>
      <c r="I202" s="70">
        <f>IF(H202&gt;=($H$6*0.7),1,0)</f>
        <v/>
      </c>
      <c r="J202" s="70">
        <f>IF(H202&gt;=($H$6*0.7),1,0)</f>
        <v/>
      </c>
      <c r="K202" s="70">
        <f>IF(H202&gt;=($H$6*0.9),1,0)</f>
        <v/>
      </c>
      <c r="L202" s="80" t="n"/>
      <c r="M202" s="70">
        <f>IF(L202&gt;=($L$6*0.7),1,0)</f>
        <v/>
      </c>
      <c r="N202" s="70">
        <f>IF(L202&gt;=($L$6*0.8),1,0)</f>
        <v/>
      </c>
      <c r="O202" s="70">
        <f>IF(L202&gt;=($L$6*0.9),1,0)</f>
        <v/>
      </c>
      <c r="P202" s="75" t="n"/>
      <c r="Q202" s="75" t="n"/>
      <c r="R202" s="80" t="n"/>
      <c r="S202" s="48" t="n"/>
      <c r="T202" s="48" t="n"/>
      <c r="U202" s="48" t="n"/>
      <c r="V202" s="48" t="n"/>
      <c r="W202" s="44" t="n"/>
      <c r="X202" s="44" t="n"/>
    </row>
    <row r="203" ht="15.75" customHeight="1" s="98">
      <c r="A203" s="69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80" t="n"/>
      <c r="E203" s="70">
        <f>IF(D203&gt;=($D$6*0.7),1,0)</f>
        <v/>
      </c>
      <c r="F203" s="70">
        <f>IF(D203&gt;=($D$6*0.8),1,0)</f>
        <v/>
      </c>
      <c r="G203" s="70">
        <f>IF(D203&gt;=($D$6*0.9),1,0)</f>
        <v/>
      </c>
      <c r="H203" s="80" t="n"/>
      <c r="I203" s="70">
        <f>IF(H203&gt;=($H$6*0.7),1,0)</f>
        <v/>
      </c>
      <c r="J203" s="70">
        <f>IF(H203&gt;=($H$6*0.7),1,0)</f>
        <v/>
      </c>
      <c r="K203" s="70">
        <f>IF(H203&gt;=($H$6*0.9),1,0)</f>
        <v/>
      </c>
      <c r="L203" s="80" t="n"/>
      <c r="M203" s="70">
        <f>IF(L203&gt;=($L$6*0.7),1,0)</f>
        <v/>
      </c>
      <c r="N203" s="70">
        <f>IF(L203&gt;=($L$6*0.8),1,0)</f>
        <v/>
      </c>
      <c r="O203" s="70">
        <f>IF(L203&gt;=($L$6*0.9),1,0)</f>
        <v/>
      </c>
      <c r="P203" s="75" t="n"/>
      <c r="Q203" s="75" t="n"/>
      <c r="R203" s="80" t="n"/>
      <c r="S203" s="48" t="n"/>
      <c r="T203" s="48" t="n"/>
      <c r="U203" s="48" t="n"/>
      <c r="V203" s="48" t="n"/>
      <c r="W203" s="44" t="n"/>
      <c r="X203" s="44" t="n"/>
    </row>
    <row r="204" ht="15.75" customHeight="1" s="98">
      <c r="A204" s="69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E204" s="70">
        <f>IF(D204&gt;=($D$6*0.7),1,0)</f>
        <v/>
      </c>
      <c r="F204" s="70">
        <f>IF(D204&gt;=($D$6*0.8),1,0)</f>
        <v/>
      </c>
      <c r="G204" s="70">
        <f>IF(D204&gt;=($D$6*0.9),1,0)</f>
        <v/>
      </c>
      <c r="I204" s="70">
        <f>IF(H204&gt;=($H$6*0.7),1,0)</f>
        <v/>
      </c>
      <c r="J204" s="70">
        <f>IF(H204&gt;=($H$6*0.7),1,0)</f>
        <v/>
      </c>
      <c r="K204" s="70">
        <f>IF(H204&gt;=($H$6*0.9),1,0)</f>
        <v/>
      </c>
      <c r="M204" s="70">
        <f>IF(L204&gt;=($L$6*0.7),1,0)</f>
        <v/>
      </c>
      <c r="N204" s="70">
        <f>IF(L204&gt;=($L$6*0.8),1,0)</f>
        <v/>
      </c>
      <c r="O204" s="70">
        <f>IF(L204&gt;=($L$6*0.9),1,0)</f>
        <v/>
      </c>
      <c r="P204" s="75" t="n"/>
      <c r="Q204" s="75" t="n"/>
      <c r="S204" s="48" t="n"/>
      <c r="T204" s="48" t="n"/>
      <c r="U204" s="48" t="n"/>
      <c r="V204" s="48" t="n"/>
      <c r="W204" s="44" t="n"/>
      <c r="X204" s="44" t="n"/>
    </row>
    <row r="205" ht="15.75" customHeight="1" s="98">
      <c r="A205" s="69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80" t="n"/>
      <c r="E205" s="70">
        <f>IF(D205&gt;=($D$6*0.7),1,0)</f>
        <v/>
      </c>
      <c r="F205" s="70">
        <f>IF(D205&gt;=($D$6*0.8),1,0)</f>
        <v/>
      </c>
      <c r="G205" s="70">
        <f>IF(D205&gt;=($D$6*0.9),1,0)</f>
        <v/>
      </c>
      <c r="H205" s="80" t="n"/>
      <c r="I205" s="70">
        <f>IF(H205&gt;=($H$6*0.7),1,0)</f>
        <v/>
      </c>
      <c r="J205" s="70">
        <f>IF(H205&gt;=($H$6*0.7),1,0)</f>
        <v/>
      </c>
      <c r="K205" s="70">
        <f>IF(H205&gt;=($H$6*0.9),1,0)</f>
        <v/>
      </c>
      <c r="L205" s="80" t="n"/>
      <c r="M205" s="70">
        <f>IF(L205&gt;=($L$6*0.7),1,0)</f>
        <v/>
      </c>
      <c r="N205" s="70">
        <f>IF(L205&gt;=($L$6*0.8),1,0)</f>
        <v/>
      </c>
      <c r="O205" s="70">
        <f>IF(L205&gt;=($L$6*0.9),1,0)</f>
        <v/>
      </c>
      <c r="P205" s="75" t="n"/>
      <c r="Q205" s="75" t="n"/>
      <c r="R205" s="80" t="n"/>
      <c r="S205" s="48" t="n"/>
      <c r="T205" s="48" t="n"/>
      <c r="U205" s="48" t="n"/>
      <c r="V205" s="48" t="n"/>
      <c r="W205" s="44" t="n"/>
      <c r="X205" s="44" t="n"/>
    </row>
    <row r="206" ht="15.75" customHeight="1" s="98">
      <c r="A206" s="69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80" t="n"/>
      <c r="E206" s="70">
        <f>IF(D206&gt;=($D$6*0.7),1,0)</f>
        <v/>
      </c>
      <c r="F206" s="70">
        <f>IF(D206&gt;=($D$6*0.8),1,0)</f>
        <v/>
      </c>
      <c r="G206" s="70">
        <f>IF(D206&gt;=($D$6*0.9),1,0)</f>
        <v/>
      </c>
      <c r="H206" s="80" t="n"/>
      <c r="I206" s="70">
        <f>IF(H206&gt;=($H$6*0.7),1,0)</f>
        <v/>
      </c>
      <c r="J206" s="70">
        <f>IF(H206&gt;=($H$6*0.7),1,0)</f>
        <v/>
      </c>
      <c r="K206" s="70">
        <f>IF(H206&gt;=($H$6*0.9),1,0)</f>
        <v/>
      </c>
      <c r="L206" s="80" t="n"/>
      <c r="M206" s="70">
        <f>IF(L206&gt;=($L$6*0.7),1,0)</f>
        <v/>
      </c>
      <c r="N206" s="70">
        <f>IF(L206&gt;=($L$6*0.8),1,0)</f>
        <v/>
      </c>
      <c r="O206" s="70">
        <f>IF(L206&gt;=($L$6*0.9),1,0)</f>
        <v/>
      </c>
      <c r="P206" s="75" t="n"/>
      <c r="Q206" s="75" t="n"/>
      <c r="R206" s="80" t="n"/>
      <c r="S206" s="48" t="n"/>
      <c r="T206" s="48" t="n"/>
      <c r="U206" s="48" t="n"/>
      <c r="V206" s="48" t="n"/>
      <c r="W206" s="44" t="n"/>
      <c r="X206" s="44" t="n"/>
    </row>
    <row r="207" ht="15.75" customHeight="1" s="98">
      <c r="A207" s="69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E207" s="70">
        <f>IF(D207&gt;=($D$6*0.7),1,0)</f>
        <v/>
      </c>
      <c r="F207" s="70">
        <f>IF(D207&gt;=($D$6*0.8),1,0)</f>
        <v/>
      </c>
      <c r="G207" s="70">
        <f>IF(D207&gt;=($D$6*0.9),1,0)</f>
        <v/>
      </c>
      <c r="I207" s="70">
        <f>IF(H207&gt;=($H$6*0.7),1,0)</f>
        <v/>
      </c>
      <c r="J207" s="70">
        <f>IF(H207&gt;=($H$6*0.7),1,0)</f>
        <v/>
      </c>
      <c r="K207" s="70">
        <f>IF(H207&gt;=($H$6*0.9),1,0)</f>
        <v/>
      </c>
      <c r="M207" s="70">
        <f>IF(L207&gt;=($L$6*0.7),1,0)</f>
        <v/>
      </c>
      <c r="N207" s="70">
        <f>IF(L207&gt;=($L$6*0.8),1,0)</f>
        <v/>
      </c>
      <c r="O207" s="70">
        <f>IF(L207&gt;=($L$6*0.9),1,0)</f>
        <v/>
      </c>
      <c r="P207" s="75" t="n"/>
      <c r="Q207" s="75" t="n"/>
      <c r="R207" s="80" t="n"/>
      <c r="S207" s="48" t="n"/>
      <c r="T207" s="48" t="n"/>
      <c r="U207" s="48" t="n"/>
      <c r="V207" s="48" t="n"/>
      <c r="W207" s="44" t="n"/>
      <c r="X207" s="44" t="n"/>
    </row>
    <row r="208" ht="15.75" customHeight="1" s="98">
      <c r="A208" s="69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80" t="n"/>
      <c r="E208" s="70">
        <f>IF(D208&gt;=($D$6*0.7),1,0)</f>
        <v/>
      </c>
      <c r="F208" s="70">
        <f>IF(D208&gt;=($D$6*0.8),1,0)</f>
        <v/>
      </c>
      <c r="G208" s="70">
        <f>IF(D208&gt;=($D$6*0.9),1,0)</f>
        <v/>
      </c>
      <c r="H208" s="80" t="n"/>
      <c r="I208" s="70">
        <f>IF(H208&gt;=($H$6*0.7),1,0)</f>
        <v/>
      </c>
      <c r="J208" s="70">
        <f>IF(H208&gt;=($H$6*0.7),1,0)</f>
        <v/>
      </c>
      <c r="K208" s="70">
        <f>IF(H208&gt;=($H$6*0.9),1,0)</f>
        <v/>
      </c>
      <c r="L208" s="80" t="n"/>
      <c r="M208" s="70">
        <f>IF(L208&gt;=($L$6*0.7),1,0)</f>
        <v/>
      </c>
      <c r="N208" s="70">
        <f>IF(L208&gt;=($L$6*0.8),1,0)</f>
        <v/>
      </c>
      <c r="O208" s="70">
        <f>IF(L208&gt;=($L$6*0.9),1,0)</f>
        <v/>
      </c>
      <c r="P208" s="75" t="n"/>
      <c r="Q208" s="75" t="n"/>
      <c r="R208" s="80" t="n"/>
      <c r="S208" s="48" t="n"/>
      <c r="T208" s="48" t="n"/>
      <c r="U208" s="48" t="n"/>
      <c r="V208" s="48" t="n"/>
      <c r="W208" s="44" t="n"/>
      <c r="X208" s="44" t="n"/>
    </row>
    <row r="209" ht="15.75" customHeight="1" s="98">
      <c r="A209" s="69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80" t="n"/>
      <c r="E209" s="70">
        <f>IF(D209&gt;=($D$6*0.7),1,0)</f>
        <v/>
      </c>
      <c r="F209" s="70">
        <f>IF(D209&gt;=($D$6*0.8),1,0)</f>
        <v/>
      </c>
      <c r="G209" s="70">
        <f>IF(D209&gt;=($D$6*0.9),1,0)</f>
        <v/>
      </c>
      <c r="H209" s="80" t="n"/>
      <c r="I209" s="70">
        <f>IF(H209&gt;=($H$6*0.7),1,0)</f>
        <v/>
      </c>
      <c r="J209" s="70">
        <f>IF(H209&gt;=($H$6*0.7),1,0)</f>
        <v/>
      </c>
      <c r="K209" s="70">
        <f>IF(H209&gt;=($H$6*0.9),1,0)</f>
        <v/>
      </c>
      <c r="L209" s="80" t="n"/>
      <c r="M209" s="70">
        <f>IF(L209&gt;=($L$6*0.7),1,0)</f>
        <v/>
      </c>
      <c r="N209" s="70">
        <f>IF(L209&gt;=($L$6*0.8),1,0)</f>
        <v/>
      </c>
      <c r="O209" s="70">
        <f>IF(L209&gt;=($L$6*0.9),1,0)</f>
        <v/>
      </c>
      <c r="P209" s="75" t="n"/>
      <c r="Q209" s="75" t="n"/>
      <c r="S209" s="48" t="n"/>
      <c r="T209" s="48" t="n"/>
      <c r="U209" s="48" t="n"/>
      <c r="V209" s="48" t="n"/>
      <c r="W209" s="44" t="n"/>
      <c r="X209" s="44" t="n"/>
    </row>
    <row r="210" ht="15.75" customHeight="1" s="98">
      <c r="A210" s="69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80" t="n"/>
      <c r="E210" s="70">
        <f>IF(D210&gt;=($D$6*0.7),1,0)</f>
        <v/>
      </c>
      <c r="F210" s="70">
        <f>IF(D210&gt;=($D$6*0.8),1,0)</f>
        <v/>
      </c>
      <c r="G210" s="70">
        <f>IF(D210&gt;=($D$6*0.9),1,0)</f>
        <v/>
      </c>
      <c r="H210" s="80" t="n"/>
      <c r="I210" s="70">
        <f>IF(H210&gt;=($H$6*0.7),1,0)</f>
        <v/>
      </c>
      <c r="J210" s="70">
        <f>IF(H210&gt;=($H$6*0.7),1,0)</f>
        <v/>
      </c>
      <c r="K210" s="70">
        <f>IF(H210&gt;=($H$6*0.9),1,0)</f>
        <v/>
      </c>
      <c r="L210" s="80" t="n"/>
      <c r="M210" s="70">
        <f>IF(L210&gt;=($L$6*0.7),1,0)</f>
        <v/>
      </c>
      <c r="N210" s="70">
        <f>IF(L210&gt;=($L$6*0.8),1,0)</f>
        <v/>
      </c>
      <c r="O210" s="70">
        <f>IF(L210&gt;=($L$6*0.9),1,0)</f>
        <v/>
      </c>
      <c r="P210" s="75" t="n"/>
      <c r="Q210" s="75" t="n"/>
      <c r="S210" s="48" t="n"/>
      <c r="T210" s="48" t="n"/>
      <c r="U210" s="48" t="n"/>
      <c r="V210" s="48" t="n"/>
      <c r="W210" s="44" t="n"/>
      <c r="X210" s="44" t="n"/>
    </row>
    <row r="211" ht="15.75" customHeight="1" s="98">
      <c r="A211" s="69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80" t="n"/>
      <c r="E211" s="70">
        <f>IF(D211&gt;=($D$6*0.7),1,0)</f>
        <v/>
      </c>
      <c r="F211" s="70">
        <f>IF(D211&gt;=($D$6*0.8),1,0)</f>
        <v/>
      </c>
      <c r="G211" s="70">
        <f>IF(D211&gt;=($D$6*0.9),1,0)</f>
        <v/>
      </c>
      <c r="H211" s="80" t="n"/>
      <c r="I211" s="70">
        <f>IF(H211&gt;=($H$6*0.7),1,0)</f>
        <v/>
      </c>
      <c r="J211" s="70">
        <f>IF(H211&gt;=($H$6*0.7),1,0)</f>
        <v/>
      </c>
      <c r="K211" s="70">
        <f>IF(H211&gt;=($H$6*0.9),1,0)</f>
        <v/>
      </c>
      <c r="L211" s="80" t="n"/>
      <c r="M211" s="70">
        <f>IF(L211&gt;=($L$6*0.7),1,0)</f>
        <v/>
      </c>
      <c r="N211" s="70">
        <f>IF(L211&gt;=($L$6*0.8),1,0)</f>
        <v/>
      </c>
      <c r="O211" s="70">
        <f>IF(L211&gt;=($L$6*0.9),1,0)</f>
        <v/>
      </c>
      <c r="P211" s="44" t="n"/>
      <c r="Q211" s="44" t="n"/>
      <c r="R211" s="80" t="n"/>
      <c r="S211" s="44" t="n"/>
      <c r="T211" s="44" t="n"/>
      <c r="U211" s="44" t="n"/>
      <c r="V211" s="44" t="n"/>
      <c r="W211" s="44" t="n"/>
      <c r="X211" s="44" t="n"/>
    </row>
    <row r="212" ht="15.75" customHeight="1" s="98">
      <c r="A212" s="69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80" t="n"/>
      <c r="E212" s="70">
        <f>IF(D212&gt;=($D$6*0.7),1,0)</f>
        <v/>
      </c>
      <c r="F212" s="70">
        <f>IF(D212&gt;=($D$6*0.8),1,0)</f>
        <v/>
      </c>
      <c r="G212" s="70">
        <f>IF(D212&gt;=($D$6*0.9),1,0)</f>
        <v/>
      </c>
      <c r="H212" s="80" t="n"/>
      <c r="I212" s="70">
        <f>IF(H212&gt;=($H$6*0.7),1,0)</f>
        <v/>
      </c>
      <c r="J212" s="70">
        <f>IF(H212&gt;=($H$6*0.7),1,0)</f>
        <v/>
      </c>
      <c r="K212" s="70">
        <f>IF(H212&gt;=($H$6*0.9),1,0)</f>
        <v/>
      </c>
      <c r="L212" s="80" t="n"/>
      <c r="M212" s="70">
        <f>IF(L212&gt;=($L$6*0.7),1,0)</f>
        <v/>
      </c>
      <c r="N212" s="70">
        <f>IF(L212&gt;=($L$6*0.8),1,0)</f>
        <v/>
      </c>
      <c r="O212" s="70">
        <f>IF(L212&gt;=($L$6*0.9),1,0)</f>
        <v/>
      </c>
      <c r="P212" s="44" t="n"/>
      <c r="Q212" s="44" t="n"/>
      <c r="S212" s="44" t="n"/>
      <c r="T212" s="44" t="n"/>
      <c r="U212" s="44" t="n"/>
      <c r="V212" s="44" t="n"/>
      <c r="W212" s="44" t="n"/>
      <c r="X212" s="44" t="n"/>
    </row>
    <row r="213" ht="15.75" customHeight="1" s="98">
      <c r="A213" s="69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80" t="n"/>
      <c r="E213" s="70">
        <f>IF(D213&gt;=($D$6*0.7),1,0)</f>
        <v/>
      </c>
      <c r="F213" s="70">
        <f>IF(D213&gt;=($D$6*0.8),1,0)</f>
        <v/>
      </c>
      <c r="G213" s="70">
        <f>IF(D213&gt;=($D$6*0.9),1,0)</f>
        <v/>
      </c>
      <c r="H213" s="80" t="n"/>
      <c r="I213" s="70">
        <f>IF(H213&gt;=($H$6*0.7),1,0)</f>
        <v/>
      </c>
      <c r="J213" s="70">
        <f>IF(H213&gt;=($H$6*0.7),1,0)</f>
        <v/>
      </c>
      <c r="K213" s="70">
        <f>IF(H213&gt;=($H$6*0.9),1,0)</f>
        <v/>
      </c>
      <c r="L213" s="80" t="n"/>
      <c r="M213" s="70">
        <f>IF(L213&gt;=($L$6*0.7),1,0)</f>
        <v/>
      </c>
      <c r="N213" s="70">
        <f>IF(L213&gt;=($L$6*0.8),1,0)</f>
        <v/>
      </c>
      <c r="O213" s="70">
        <f>IF(L213&gt;=($L$6*0.9),1,0)</f>
        <v/>
      </c>
      <c r="P213" s="44" t="n"/>
      <c r="Q213" s="44" t="n"/>
      <c r="S213" s="44" t="n"/>
      <c r="T213" s="44" t="n"/>
      <c r="U213" s="44" t="n"/>
      <c r="V213" s="44" t="n"/>
      <c r="W213" s="44" t="n"/>
      <c r="X213" s="44" t="n"/>
    </row>
    <row r="214" ht="15.75" customHeight="1" s="98">
      <c r="A214" s="69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E214" s="70">
        <f>IF(D214&gt;=($D$6*0.7),1,0)</f>
        <v/>
      </c>
      <c r="F214" s="70">
        <f>IF(D214&gt;=($D$6*0.8),1,0)</f>
        <v/>
      </c>
      <c r="G214" s="70">
        <f>IF(D214&gt;=($D$6*0.9),1,0)</f>
        <v/>
      </c>
      <c r="I214" s="70">
        <f>IF(H214&gt;=($H$6*0.7),1,0)</f>
        <v/>
      </c>
      <c r="J214" s="70">
        <f>IF(H214&gt;=($H$6*0.7),1,0)</f>
        <v/>
      </c>
      <c r="K214" s="70">
        <f>IF(H214&gt;=($H$6*0.9),1,0)</f>
        <v/>
      </c>
      <c r="M214" s="70">
        <f>IF(L214&gt;=($L$6*0.7),1,0)</f>
        <v/>
      </c>
      <c r="N214" s="70">
        <f>IF(L214&gt;=($L$6*0.8),1,0)</f>
        <v/>
      </c>
      <c r="O214" s="70">
        <f>IF(L214&gt;=($L$6*0.9),1,0)</f>
        <v/>
      </c>
      <c r="P214" s="44" t="n"/>
      <c r="Q214" s="44" t="n"/>
      <c r="R214" s="80" t="n"/>
      <c r="S214" s="44" t="n"/>
      <c r="T214" s="44" t="n"/>
      <c r="U214" s="44" t="n"/>
      <c r="V214" s="44" t="n"/>
      <c r="W214" s="44" t="n"/>
      <c r="X214" s="44" t="n"/>
    </row>
    <row r="215" ht="15.75" customHeight="1" s="98">
      <c r="A215" s="69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80" t="n"/>
      <c r="E215" s="70">
        <f>IF(D215&gt;=($D$6*0.7),1,0)</f>
        <v/>
      </c>
      <c r="F215" s="70">
        <f>IF(D215&gt;=($D$6*0.8),1,0)</f>
        <v/>
      </c>
      <c r="G215" s="70">
        <f>IF(D215&gt;=($D$6*0.9),1,0)</f>
        <v/>
      </c>
      <c r="H215" s="80" t="n"/>
      <c r="I215" s="70">
        <f>IF(H215&gt;=($H$6*0.7),1,0)</f>
        <v/>
      </c>
      <c r="J215" s="70">
        <f>IF(H215&gt;=($H$6*0.7),1,0)</f>
        <v/>
      </c>
      <c r="K215" s="70">
        <f>IF(H215&gt;=($H$6*0.9),1,0)</f>
        <v/>
      </c>
      <c r="L215" s="80" t="n"/>
      <c r="M215" s="70">
        <f>IF(L215&gt;=($L$6*0.7),1,0)</f>
        <v/>
      </c>
      <c r="N215" s="70">
        <f>IF(L215&gt;=($L$6*0.8),1,0)</f>
        <v/>
      </c>
      <c r="O215" s="70">
        <f>IF(L215&gt;=($L$6*0.9),1,0)</f>
        <v/>
      </c>
      <c r="P215" s="44" t="n"/>
      <c r="Q215" s="44" t="n"/>
      <c r="S215" s="44" t="n"/>
      <c r="T215" s="44" t="n"/>
      <c r="U215" s="44" t="n"/>
      <c r="V215" s="44" t="n"/>
      <c r="W215" s="44" t="n"/>
      <c r="X215" s="44" t="n"/>
    </row>
    <row r="216" ht="15.75" customHeight="1" s="98">
      <c r="A216" s="69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80" t="n"/>
      <c r="E216" s="70">
        <f>IF(D216&gt;=($D$6*0.7),1,0)</f>
        <v/>
      </c>
      <c r="F216" s="70">
        <f>IF(D216&gt;=($D$6*0.8),1,0)</f>
        <v/>
      </c>
      <c r="G216" s="70">
        <f>IF(D216&gt;=($D$6*0.9),1,0)</f>
        <v/>
      </c>
      <c r="H216" s="80" t="n"/>
      <c r="I216" s="70">
        <f>IF(H216&gt;=($H$6*0.7),1,0)</f>
        <v/>
      </c>
      <c r="J216" s="70">
        <f>IF(H216&gt;=($H$6*0.7),1,0)</f>
        <v/>
      </c>
      <c r="K216" s="70">
        <f>IF(H216&gt;=($H$6*0.9),1,0)</f>
        <v/>
      </c>
      <c r="L216" s="80" t="n"/>
      <c r="M216" s="70">
        <f>IF(L216&gt;=($L$6*0.7),1,0)</f>
        <v/>
      </c>
      <c r="N216" s="70">
        <f>IF(L216&gt;=($L$6*0.8),1,0)</f>
        <v/>
      </c>
      <c r="O216" s="70">
        <f>IF(L216&gt;=($L$6*0.9),1,0)</f>
        <v/>
      </c>
      <c r="P216" s="44" t="n"/>
      <c r="Q216" s="44" t="n"/>
      <c r="R216" s="80" t="n"/>
      <c r="S216" s="44" t="n"/>
      <c r="T216" s="44" t="n"/>
      <c r="U216" s="44" t="n"/>
      <c r="V216" s="44" t="n"/>
      <c r="W216" s="44" t="n"/>
      <c r="X216" s="44" t="n"/>
    </row>
    <row r="217" ht="15.75" customHeight="1" s="98">
      <c r="A217" s="69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80" t="n"/>
      <c r="E217" s="70">
        <f>IF(D217&gt;=($D$6*0.7),1,0)</f>
        <v/>
      </c>
      <c r="F217" s="70">
        <f>IF(D217&gt;=($D$6*0.8),1,0)</f>
        <v/>
      </c>
      <c r="G217" s="70">
        <f>IF(D217&gt;=($D$6*0.9),1,0)</f>
        <v/>
      </c>
      <c r="H217" s="80" t="n"/>
      <c r="I217" s="70">
        <f>IF(H217&gt;=($H$6*0.7),1,0)</f>
        <v/>
      </c>
      <c r="J217" s="70">
        <f>IF(H217&gt;=($H$6*0.7),1,0)</f>
        <v/>
      </c>
      <c r="K217" s="70">
        <f>IF(H217&gt;=($H$6*0.9),1,0)</f>
        <v/>
      </c>
      <c r="L217" s="80" t="n"/>
      <c r="M217" s="70">
        <f>IF(L217&gt;=($L$6*0.7),1,0)</f>
        <v/>
      </c>
      <c r="N217" s="70">
        <f>IF(L217&gt;=($L$6*0.8),1,0)</f>
        <v/>
      </c>
      <c r="O217" s="70">
        <f>IF(L217&gt;=($L$6*0.9),1,0)</f>
        <v/>
      </c>
      <c r="P217" s="44" t="n"/>
      <c r="Q217" s="44" t="n"/>
      <c r="S217" s="44" t="n"/>
      <c r="T217" s="44" t="n"/>
      <c r="U217" s="44" t="n"/>
      <c r="V217" s="44" t="n"/>
      <c r="W217" s="44" t="n"/>
      <c r="X217" s="44" t="n"/>
    </row>
    <row r="218" ht="15.75" customHeight="1" s="98">
      <c r="A218" s="69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80" t="n"/>
      <c r="E218" s="70">
        <f>IF(D218&gt;=($D$6*0.7),1,0)</f>
        <v/>
      </c>
      <c r="F218" s="70">
        <f>IF(D218&gt;=($D$6*0.8),1,0)</f>
        <v/>
      </c>
      <c r="G218" s="70">
        <f>IF(D218&gt;=($D$6*0.9),1,0)</f>
        <v/>
      </c>
      <c r="H218" s="80" t="n"/>
      <c r="I218" s="70">
        <f>IF(H218&gt;=($H$6*0.7),1,0)</f>
        <v/>
      </c>
      <c r="J218" s="70">
        <f>IF(H218&gt;=($H$6*0.7),1,0)</f>
        <v/>
      </c>
      <c r="K218" s="70">
        <f>IF(H218&gt;=($H$6*0.9),1,0)</f>
        <v/>
      </c>
      <c r="L218" s="80" t="n"/>
      <c r="M218" s="70">
        <f>IF(L218&gt;=($L$6*0.7),1,0)</f>
        <v/>
      </c>
      <c r="N218" s="70">
        <f>IF(L218&gt;=($L$6*0.8),1,0)</f>
        <v/>
      </c>
      <c r="O218" s="70">
        <f>IF(L218&gt;=($L$6*0.9),1,0)</f>
        <v/>
      </c>
      <c r="P218" s="44" t="n"/>
      <c r="Q218" s="44" t="n"/>
      <c r="R218" s="80" t="n"/>
      <c r="S218" s="44" t="n"/>
      <c r="T218" s="44" t="n"/>
      <c r="U218" s="44" t="n"/>
      <c r="V218" s="44" t="n"/>
      <c r="W218" s="44" t="n"/>
      <c r="X218" s="44" t="n"/>
    </row>
    <row r="219" ht="15.75" customHeight="1" s="98">
      <c r="A219" s="73" t="n"/>
      <c r="B219" s="72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</row>
    <row r="220" ht="15.75" customHeight="1" s="98">
      <c r="A220" s="73" t="n"/>
      <c r="B220" s="72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</row>
    <row r="221" ht="15.75" customHeight="1" s="98">
      <c r="A221" s="73" t="n"/>
      <c r="B221" s="72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</row>
    <row r="222" ht="15.75" customHeight="1" s="98">
      <c r="A222" s="73" t="n"/>
      <c r="B222" s="72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</row>
    <row r="223" ht="15.75" customHeight="1" s="98">
      <c r="A223" s="73" t="n"/>
      <c r="B223" s="72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</row>
    <row r="224" ht="15.75" customHeight="1" s="98">
      <c r="A224" s="73" t="n"/>
      <c r="B224" s="72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</row>
    <row r="225" ht="15.75" customHeight="1" s="98">
      <c r="A225" s="73" t="n"/>
      <c r="B225" s="72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</row>
    <row r="226" ht="15.75" customHeight="1" s="98">
      <c r="A226" s="73" t="n"/>
      <c r="B226" s="72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</row>
    <row r="227" ht="15.75" customHeight="1" s="98">
      <c r="A227" s="73" t="n"/>
      <c r="B227" s="72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</row>
    <row r="228" ht="15.75" customHeight="1" s="98">
      <c r="A228" s="73" t="n"/>
      <c r="B228" s="72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</row>
    <row r="229" ht="15.75" customHeight="1" s="98">
      <c r="A229" s="73" t="n"/>
      <c r="B229" s="72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</row>
    <row r="230" ht="15.75" customHeight="1" s="98">
      <c r="A230" s="73" t="n"/>
      <c r="B230" s="72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</row>
    <row r="231" ht="15.75" customHeight="1" s="98">
      <c r="A231" s="73" t="n"/>
      <c r="B231" s="72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</row>
    <row r="232" ht="15.75" customHeight="1" s="98">
      <c r="A232" s="73" t="n"/>
      <c r="B232" s="72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</row>
    <row r="233" ht="15.75" customHeight="1" s="98">
      <c r="A233" s="73" t="n"/>
      <c r="B233" s="72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</row>
    <row r="234" ht="15.75" customHeight="1" s="98">
      <c r="A234" s="73" t="n"/>
      <c r="B234" s="72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</row>
    <row r="235" ht="15.75" customHeight="1" s="98">
      <c r="A235" s="73" t="n"/>
      <c r="B235" s="72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</row>
    <row r="236" ht="15.75" customHeight="1" s="98">
      <c r="A236" s="73" t="n"/>
      <c r="B236" s="72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</row>
    <row r="237" ht="15.75" customHeight="1" s="98">
      <c r="A237" s="73" t="n"/>
      <c r="B237" s="72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</row>
    <row r="238" ht="15.75" customHeight="1" s="98">
      <c r="A238" s="73" t="n"/>
      <c r="B238" s="72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</row>
    <row r="239" ht="15.75" customHeight="1" s="98">
      <c r="A239" s="72" t="n"/>
      <c r="B239" s="72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</row>
    <row r="240" ht="15.75" customHeight="1" s="98">
      <c r="A240" s="72" t="n"/>
      <c r="B240" s="72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</row>
    <row r="241" ht="15.75" customHeight="1" s="98">
      <c r="A241" s="72" t="n"/>
      <c r="B241" s="72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</row>
    <row r="242" ht="15.75" customHeight="1" s="98">
      <c r="A242" s="72" t="n"/>
      <c r="B242" s="72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</row>
    <row r="243" ht="15.75" customHeight="1" s="98">
      <c r="A243" s="72" t="n"/>
      <c r="B243" s="72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</row>
    <row r="244" ht="15.75" customHeight="1" s="98">
      <c r="A244" s="72" t="n"/>
      <c r="B244" s="72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</row>
    <row r="245" ht="15.75" customHeight="1" s="98">
      <c r="A245" s="72" t="n"/>
      <c r="B245" s="72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</row>
    <row r="246" ht="15.75" customHeight="1" s="98">
      <c r="A246" s="72" t="n"/>
      <c r="B246" s="72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</row>
    <row r="247" ht="15.75" customHeight="1" s="98">
      <c r="A247" s="72" t="n"/>
      <c r="B247" s="72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</row>
    <row r="248" ht="15.75" customHeight="1" s="98">
      <c r="A248" s="72" t="n"/>
      <c r="B248" s="72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</row>
    <row r="249" ht="15.75" customHeight="1" s="98">
      <c r="A249" s="72" t="n"/>
      <c r="B249" s="72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</row>
    <row r="250" ht="15.75" customHeight="1" s="98">
      <c r="A250" s="72" t="n"/>
      <c r="B250" s="72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</row>
    <row r="251" ht="15.75" customHeight="1" s="98">
      <c r="A251" s="72" t="n"/>
      <c r="B251" s="72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</row>
    <row r="252" ht="15.75" customHeight="1" s="98">
      <c r="A252" s="72" t="n"/>
      <c r="B252" s="72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</row>
    <row r="253" ht="15.75" customHeight="1" s="98">
      <c r="A253" s="72" t="n"/>
      <c r="B253" s="72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</row>
    <row r="254" ht="15.75" customHeight="1" s="98">
      <c r="A254" s="72" t="n"/>
      <c r="B254" s="72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</row>
    <row r="255" ht="15.75" customHeight="1" s="98">
      <c r="A255" s="72" t="n"/>
      <c r="B255" s="72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</row>
    <row r="256" ht="15.75" customHeight="1" s="98">
      <c r="A256" s="72" t="n"/>
      <c r="B256" s="72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</row>
    <row r="257" ht="15.75" customHeight="1" s="98">
      <c r="A257" s="72" t="n"/>
      <c r="B257" s="72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</row>
    <row r="258" ht="15.75" customHeight="1" s="98">
      <c r="A258" s="72" t="n"/>
      <c r="B258" s="72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</row>
    <row r="267" ht="15.75" customHeight="1" s="98">
      <c r="A267" s="44" t="n"/>
      <c r="B267" s="44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</row>
    <row r="268" ht="15.75" customHeight="1" s="98">
      <c r="A268" s="44" t="n"/>
      <c r="B268" s="44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</row>
    <row r="269" ht="15.75" customHeight="1" s="98">
      <c r="A269" s="44" t="n"/>
      <c r="B269" s="44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</row>
    <row r="270" ht="15.75" customHeight="1" s="98">
      <c r="A270" s="44" t="n"/>
      <c r="B270" s="44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</row>
    <row r="271" ht="15.75" customHeight="1" s="98">
      <c r="A271" s="44" t="n"/>
      <c r="B271" s="44" t="n"/>
      <c r="C271" s="44" t="n"/>
      <c r="D271" s="44" t="n"/>
      <c r="E271" s="44" t="n"/>
      <c r="F271" s="44" t="n"/>
      <c r="G271" s="44" t="n"/>
      <c r="H271" s="44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</row>
    <row r="272" ht="15.75" customHeight="1" s="98">
      <c r="A272" s="44" t="n"/>
      <c r="B272" s="44" t="n"/>
      <c r="C272" s="44" t="n"/>
      <c r="D272" s="44" t="n"/>
      <c r="E272" s="44" t="n"/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</row>
    <row r="273" ht="15.75" customHeight="1" s="98">
      <c r="A273" s="44" t="n"/>
      <c r="B273" s="44" t="n"/>
      <c r="C273" s="44" t="n"/>
      <c r="D273" s="44" t="n"/>
      <c r="E273" s="44" t="n"/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</row>
    <row r="274" ht="15.75" customHeight="1" s="98">
      <c r="A274" s="44" t="n"/>
      <c r="B274" s="44" t="n"/>
      <c r="C274" s="44" t="n"/>
      <c r="D274" s="44" t="n"/>
      <c r="E274" s="44" t="n"/>
      <c r="F274" s="44" t="n"/>
      <c r="G274" s="44" t="n"/>
      <c r="H274" s="44" t="n"/>
      <c r="I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</row>
    <row r="275" ht="15.75" customHeight="1" s="98">
      <c r="A275" s="44" t="n"/>
      <c r="B275" s="44" t="n"/>
      <c r="C275" s="44" t="n"/>
      <c r="D275" s="44" t="n"/>
      <c r="E275" s="44" t="n"/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</row>
    <row r="276" ht="15.75" customHeight="1" s="98">
      <c r="A276" s="44" t="n"/>
      <c r="B276" s="44" t="n"/>
      <c r="C276" s="44" t="n"/>
      <c r="D276" s="44" t="n"/>
      <c r="E276" s="44" t="n"/>
      <c r="F276" s="44" t="n"/>
      <c r="G276" s="44" t="n"/>
      <c r="H276" s="44" t="n"/>
      <c r="I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</row>
    <row r="277" ht="15.75" customHeight="1" s="98">
      <c r="A277" s="44" t="n"/>
      <c r="B277" s="44" t="n"/>
      <c r="C277" s="44" t="n"/>
      <c r="D277" s="44" t="n"/>
      <c r="E277" s="44" t="n"/>
      <c r="F277" s="44" t="n"/>
      <c r="G277" s="44" t="n"/>
      <c r="H277" s="44" t="n"/>
      <c r="I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</row>
    <row r="278" ht="15.75" customHeight="1" s="98">
      <c r="A278" s="44" t="n"/>
      <c r="B278" s="44" t="n"/>
      <c r="C278" s="44" t="n"/>
      <c r="D278" s="44" t="n"/>
      <c r="E278" s="44" t="n"/>
      <c r="F278" s="44" t="n"/>
      <c r="G278" s="44" t="n"/>
      <c r="H278" s="44" t="n"/>
      <c r="I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</row>
    <row r="279" ht="15.75" customHeight="1" s="98">
      <c r="A279" s="44" t="n"/>
      <c r="B279" s="44" t="n"/>
      <c r="C279" s="44" t="n"/>
      <c r="D279" s="44" t="n"/>
      <c r="E279" s="44" t="n"/>
      <c r="F279" s="44" t="n"/>
      <c r="G279" s="44" t="n"/>
      <c r="H279" s="44" t="n"/>
      <c r="I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</row>
    <row r="280" ht="15.75" customHeight="1" s="98">
      <c r="A280" s="44" t="n"/>
      <c r="B280" s="44" t="n"/>
      <c r="C280" s="44" t="n"/>
      <c r="D280" s="44" t="n"/>
      <c r="E280" s="44" t="n"/>
      <c r="F280" s="44" t="n"/>
      <c r="G280" s="44" t="n"/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</row>
    <row r="281" ht="15.75" customHeight="1" s="98">
      <c r="A281" s="44" t="n"/>
      <c r="B281" s="44" t="n"/>
      <c r="C281" s="44" t="n"/>
      <c r="D281" s="44" t="n"/>
      <c r="E281" s="44" t="n"/>
      <c r="F281" s="44" t="n"/>
      <c r="G281" s="44" t="n"/>
      <c r="H281" s="44" t="n"/>
      <c r="I281" s="44" t="n"/>
      <c r="J281" s="44" t="n"/>
      <c r="K281" s="44" t="n"/>
      <c r="L281" s="44" t="n"/>
      <c r="M281" s="44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</row>
    <row r="282" ht="15.75" customHeight="1" s="98">
      <c r="A282" s="44" t="n"/>
      <c r="B282" s="44" t="n"/>
      <c r="C282" s="44" t="n"/>
      <c r="D282" s="44" t="n"/>
      <c r="E282" s="44" t="n"/>
      <c r="F282" s="44" t="n"/>
      <c r="G282" s="44" t="n"/>
      <c r="H282" s="44" t="n"/>
      <c r="I282" s="44" t="n"/>
      <c r="J282" s="44" t="n"/>
      <c r="K282" s="44" t="n"/>
      <c r="L282" s="44" t="n"/>
      <c r="M282" s="44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</row>
    <row r="283" ht="15.75" customHeight="1" s="98">
      <c r="A283" s="44" t="n"/>
      <c r="B283" s="44" t="n"/>
      <c r="C283" s="44" t="n"/>
      <c r="D283" s="44" t="n"/>
      <c r="E283" s="44" t="n"/>
      <c r="F283" s="44" t="n"/>
      <c r="G283" s="44" t="n"/>
      <c r="H283" s="44" t="n"/>
      <c r="I283" s="44" t="n"/>
      <c r="J283" s="44" t="n"/>
      <c r="K283" s="44" t="n"/>
      <c r="L283" s="44" t="n"/>
      <c r="M283" s="44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</row>
    <row r="284" ht="15.75" customHeight="1" s="98">
      <c r="A284" s="44" t="n"/>
      <c r="B284" s="44" t="n"/>
      <c r="C284" s="44" t="n"/>
      <c r="D284" s="44" t="n"/>
      <c r="E284" s="44" t="n"/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</row>
    <row r="285" ht="15.75" customHeight="1" s="98">
      <c r="A285" s="44" t="n"/>
      <c r="B285" s="44" t="n"/>
      <c r="C285" s="44" t="n"/>
      <c r="D285" s="44" t="n"/>
      <c r="E285" s="44" t="n"/>
      <c r="F285" s="44" t="n"/>
      <c r="G285" s="44" t="n"/>
      <c r="H285" s="44" t="n"/>
      <c r="I285" s="44" t="n"/>
      <c r="J285" s="44" t="n"/>
      <c r="K285" s="44" t="n"/>
      <c r="L285" s="44" t="n"/>
      <c r="M285" s="44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</row>
    <row r="286" ht="15.75" customHeight="1" s="98">
      <c r="A286" s="44" t="n"/>
      <c r="B286" s="44" t="n"/>
      <c r="C286" s="44" t="n"/>
      <c r="D286" s="44" t="n"/>
      <c r="E286" s="44" t="n"/>
      <c r="F286" s="44" t="n"/>
      <c r="G286" s="44" t="n"/>
      <c r="H286" s="44" t="n"/>
      <c r="I286" s="44" t="n"/>
      <c r="J286" s="44" t="n"/>
      <c r="K286" s="44" t="n"/>
      <c r="L286" s="44" t="n"/>
      <c r="M286" s="44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</row>
    <row r="287" ht="15.75" customHeight="1" s="98">
      <c r="A287" s="44" t="n"/>
      <c r="B287" s="44" t="n"/>
      <c r="C287" s="44" t="n"/>
      <c r="D287" s="44" t="n"/>
      <c r="E287" s="44" t="n"/>
      <c r="F287" s="44" t="n"/>
      <c r="G287" s="44" t="n"/>
      <c r="H287" s="44" t="n"/>
      <c r="I287" s="44" t="n"/>
      <c r="J287" s="44" t="n"/>
      <c r="K287" s="44" t="n"/>
      <c r="L287" s="44" t="n"/>
      <c r="M287" s="44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</row>
    <row r="288" ht="15.75" customHeight="1" s="98">
      <c r="A288" s="44" t="n"/>
      <c r="B288" s="44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</row>
    <row r="289" ht="15.75" customHeight="1" s="98">
      <c r="A289" s="44" t="n"/>
      <c r="B289" s="44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</row>
    <row r="290" ht="15.75" customHeight="1" s="98">
      <c r="A290" s="44" t="n"/>
      <c r="B290" s="44" t="n"/>
      <c r="C290" s="44" t="n"/>
      <c r="D290" s="44" t="n"/>
      <c r="E290" s="44" t="n"/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</row>
    <row r="291" ht="15.75" customHeight="1" s="98">
      <c r="A291" s="44" t="n"/>
      <c r="B291" s="44" t="n"/>
      <c r="C291" s="44" t="n"/>
      <c r="D291" s="44" t="n"/>
      <c r="E291" s="44" t="n"/>
      <c r="F291" s="44" t="n"/>
      <c r="G291" s="44" t="n"/>
      <c r="H291" s="44" t="n"/>
      <c r="I291" s="44" t="n"/>
      <c r="J291" s="44" t="n"/>
      <c r="K291" s="44" t="n"/>
      <c r="L291" s="44" t="n"/>
      <c r="M291" s="44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</row>
    <row r="292" ht="15.75" customHeight="1" s="98">
      <c r="A292" s="44" t="n"/>
      <c r="B292" s="44" t="n"/>
      <c r="C292" s="44" t="n"/>
      <c r="D292" s="44" t="n"/>
      <c r="E292" s="44" t="n"/>
      <c r="F292" s="44" t="n"/>
      <c r="G292" s="44" t="n"/>
      <c r="H292" s="44" t="n"/>
      <c r="I292" s="44" t="n"/>
      <c r="J292" s="44" t="n"/>
      <c r="K292" s="44" t="n"/>
      <c r="L292" s="44" t="n"/>
      <c r="M292" s="44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</row>
    <row r="293" ht="15.75" customHeight="1" s="98">
      <c r="A293" s="44" t="n"/>
      <c r="B293" s="44" t="n"/>
      <c r="C293" s="44" t="n"/>
      <c r="D293" s="44" t="n"/>
      <c r="E293" s="44" t="n"/>
      <c r="F293" s="44" t="n"/>
      <c r="G293" s="44" t="n"/>
      <c r="H293" s="44" t="n"/>
      <c r="I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</row>
    <row r="294" ht="15.75" customHeight="1" s="98">
      <c r="A294" s="44" t="n"/>
      <c r="B294" s="44" t="n"/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</row>
    <row r="295" ht="15.75" customHeight="1" s="98">
      <c r="A295" s="44" t="n"/>
      <c r="B295" s="44" t="n"/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</row>
    <row r="296" ht="15.75" customHeight="1" s="98">
      <c r="A296" s="44" t="n"/>
      <c r="B296" s="44" t="n"/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</row>
    <row r="297" ht="15.75" customHeight="1" s="98">
      <c r="A297" s="44" t="n"/>
      <c r="B297" s="44" t="n"/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</row>
    <row r="298" ht="15.75" customHeight="1" s="98">
      <c r="A298" s="44" t="n"/>
      <c r="B298" s="44" t="n"/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</row>
    <row r="299" ht="15.75" customHeight="1" s="98">
      <c r="A299" s="44" t="n"/>
      <c r="B299" s="44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</row>
    <row r="300" ht="15.75" customHeight="1" s="98">
      <c r="A300" s="44" t="n"/>
      <c r="B300" s="44" t="n"/>
      <c r="C300" s="44" t="n"/>
      <c r="D300" s="44" t="n"/>
      <c r="E300" s="44" t="n"/>
      <c r="F300" s="44" t="n"/>
      <c r="G300" s="44" t="n"/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</row>
    <row r="301" ht="15.75" customHeight="1" s="98">
      <c r="A301" s="44" t="n"/>
      <c r="B301" s="44" t="n"/>
      <c r="C301" s="44" t="n"/>
      <c r="D301" s="44" t="n"/>
      <c r="E301" s="44" t="n"/>
      <c r="F301" s="44" t="n"/>
      <c r="G301" s="44" t="n"/>
      <c r="H301" s="44" t="n"/>
      <c r="I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</row>
    <row r="302" ht="15.75" customHeight="1" s="98">
      <c r="A302" s="44" t="n"/>
      <c r="B302" s="44" t="n"/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</row>
    <row r="303" ht="15.75" customHeight="1" s="98">
      <c r="A303" s="44" t="n"/>
      <c r="B303" s="44" t="n"/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</row>
    <row r="304" ht="15.75" customHeight="1" s="98">
      <c r="A304" s="44" t="n"/>
      <c r="B304" s="44" t="n"/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</row>
    <row r="305" ht="15.75" customHeight="1" s="98">
      <c r="A305" s="44" t="n"/>
      <c r="B305" s="44" t="n"/>
      <c r="C305" s="44" t="n"/>
      <c r="D305" s="44" t="n"/>
      <c r="E305" s="44" t="n"/>
      <c r="F305" s="44" t="n"/>
      <c r="G305" s="44" t="n"/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</row>
    <row r="306" ht="15.75" customHeight="1" s="98">
      <c r="A306" s="44" t="n"/>
      <c r="B306" s="44" t="n"/>
      <c r="C306" s="44" t="n"/>
      <c r="D306" s="44" t="n"/>
      <c r="E306" s="44" t="n"/>
      <c r="F306" s="44" t="n"/>
      <c r="G306" s="44" t="n"/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</row>
    <row r="307" ht="15.75" customHeight="1" s="98">
      <c r="A307" s="44" t="n"/>
      <c r="B307" s="44" t="n"/>
      <c r="C307" s="44" t="n"/>
      <c r="D307" s="44" t="n"/>
      <c r="E307" s="44" t="n"/>
      <c r="F307" s="44" t="n"/>
      <c r="G307" s="44" t="n"/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</row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</sheetData>
  <mergeCells count="16">
    <mergeCell ref="D4:Q4"/>
    <mergeCell ref="A3:R3"/>
    <mergeCell ref="N5:N6"/>
    <mergeCell ref="O5:O6"/>
    <mergeCell ref="E5:E6"/>
    <mergeCell ref="A4:A6"/>
    <mergeCell ref="R4:R5"/>
    <mergeCell ref="G5:G6"/>
    <mergeCell ref="B4:B6"/>
    <mergeCell ref="J5:J6"/>
    <mergeCell ref="A2:R2"/>
    <mergeCell ref="A1:R1"/>
    <mergeCell ref="F5:F6"/>
    <mergeCell ref="K5:K6"/>
    <mergeCell ref="I5:I6"/>
    <mergeCell ref="M5:M6"/>
  </mergeCells>
  <conditionalFormatting sqref="E7:G218 M7:O218">
    <cfRule type="cellIs" priority="1" operator="equal" dxfId="2">
      <formula>0</formula>
    </cfRule>
  </conditionalFormatting>
  <conditionalFormatting sqref="I7:K218">
    <cfRule type="cellIs" priority="5" operator="equal" dxfId="2">
      <formula>0</formula>
    </cfRule>
  </conditionalFormatting>
  <conditionalFormatting sqref="U7:U210">
    <cfRule type="cellIs" priority="2" operator="greaterThan" dxfId="0">
      <formula>14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B3" sqref="B3:B214"/>
    </sheetView>
  </sheetViews>
  <sheetFormatPr baseColWidth="8" defaultColWidth="12.59765625" defaultRowHeight="15" customHeight="1"/>
  <cols>
    <col width="8.8984375" customWidth="1" style="98" min="1" max="1"/>
    <col width="12.69921875" customWidth="1" style="98" min="2" max="2"/>
    <col width="27.8984375" customWidth="1" style="98" min="3" max="3"/>
    <col width="9.19921875" customWidth="1" style="98" min="4" max="4"/>
    <col width="10.8984375" customWidth="1" style="98" min="5" max="5"/>
    <col width="8.8984375" customWidth="1" style="98" min="6" max="25"/>
    <col width="12.69921875" customWidth="1" style="98" min="26" max="26"/>
  </cols>
  <sheetData>
    <row r="1" ht="21" customHeight="1" s="98">
      <c r="A1" s="111" t="inlineStr">
        <is>
          <t>Marks and Gap Analysis of Mid-Term 1</t>
        </is>
      </c>
      <c r="B1" s="133" t="n"/>
      <c r="C1" s="133" t="n"/>
      <c r="D1" s="133" t="n"/>
      <c r="E1" s="133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69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M-1 Marks (70)</t>
        </is>
      </c>
      <c r="E2" s="60" t="inlineStr">
        <is>
          <t>Remark
( Remedial Class need or not – Y/N )</t>
        </is>
      </c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.75" customHeight="1" s="98" thickBot="1">
      <c r="A3" s="64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1'!R7</f>
        <v/>
      </c>
      <c r="E3" s="63">
        <f>IF(D3&lt;=30,"Y","N")</f>
        <v/>
      </c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15.75" customHeight="1" s="98" thickBot="1">
      <c r="A4" s="64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1'!R8</f>
        <v/>
      </c>
      <c r="E4" s="63">
        <f>IF(D4&lt;=30,"Y","N")</f>
        <v/>
      </c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15.75" customHeight="1" s="98" thickBot="1">
      <c r="A5" s="64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1'!R9</f>
        <v/>
      </c>
      <c r="E5" s="63">
        <f>IF(D5&lt;=30,"Y","N")</f>
        <v/>
      </c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98" thickBot="1">
      <c r="A6" s="64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1'!R10</f>
        <v/>
      </c>
      <c r="E6" s="63">
        <f>IF(D6&lt;=30,"Y","N")</f>
        <v/>
      </c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98" thickBot="1">
      <c r="A7" s="64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1'!R11</f>
        <v/>
      </c>
      <c r="E7" s="63">
        <f>IF(D7&lt;=30,"Y","N")</f>
        <v/>
      </c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98" thickBot="1">
      <c r="A8" s="64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1'!R12</f>
        <v/>
      </c>
      <c r="E8" s="63">
        <f>IF(D8&lt;=30,"Y","N")</f>
        <v/>
      </c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98" thickBot="1">
      <c r="A9" s="64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1'!R13</f>
        <v/>
      </c>
      <c r="E9" s="63">
        <f>IF(D9&lt;=30,"Y","N")</f>
        <v/>
      </c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98" thickBot="1">
      <c r="A10" s="64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1'!R14</f>
        <v/>
      </c>
      <c r="E10" s="63">
        <f>IF(D10&lt;=30,"Y","N")</f>
        <v/>
      </c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98" thickBot="1">
      <c r="A11" s="64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1'!R15</f>
        <v/>
      </c>
      <c r="E11" s="63">
        <f>IF(D11&lt;=30,"Y","N")</f>
        <v/>
      </c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98" thickBot="1">
      <c r="A12" s="64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1'!R16</f>
        <v/>
      </c>
      <c r="E12" s="63">
        <f>IF(D12&lt;=30,"Y","N")</f>
        <v/>
      </c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98" thickBot="1">
      <c r="A13" s="64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1'!R17</f>
        <v/>
      </c>
      <c r="E13" s="63">
        <f>IF(D13&lt;=30,"Y","N")</f>
        <v/>
      </c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98" thickBot="1">
      <c r="A14" s="64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1'!R18</f>
        <v/>
      </c>
      <c r="E14" s="63">
        <f>IF(D14&lt;=30,"Y","N")</f>
        <v/>
      </c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98" thickBot="1">
      <c r="A15" s="64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1'!R19</f>
        <v/>
      </c>
      <c r="E15" s="63">
        <f>IF(D15&lt;=30,"Y","N")</f>
        <v/>
      </c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98" thickBot="1">
      <c r="A16" s="64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1'!R20</f>
        <v/>
      </c>
      <c r="E16" s="63">
        <f>IF(D16&lt;=30,"Y","N")</f>
        <v/>
      </c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98" thickBot="1">
      <c r="A17" s="64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1'!R21</f>
        <v/>
      </c>
      <c r="E17" s="63">
        <f>IF(D17&lt;=30,"Y","N")</f>
        <v/>
      </c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98" thickBot="1">
      <c r="A18" s="64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1'!R22</f>
        <v/>
      </c>
      <c r="E18" s="63">
        <f>IF(D18&lt;=30,"Y","N")</f>
        <v/>
      </c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98" thickBot="1">
      <c r="A19" s="64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1'!R23</f>
        <v/>
      </c>
      <c r="E19" s="63">
        <f>IF(D19&lt;=30,"Y","N")</f>
        <v/>
      </c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98" thickBot="1">
      <c r="A20" s="64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1'!R24</f>
        <v/>
      </c>
      <c r="E20" s="63">
        <f>IF(D20&lt;=30,"Y","N")</f>
        <v/>
      </c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98" thickBot="1">
      <c r="A21" s="64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1'!R25</f>
        <v/>
      </c>
      <c r="E21" s="63">
        <f>IF(D21&lt;=30,"Y","N")</f>
        <v/>
      </c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98" thickBot="1">
      <c r="A22" s="64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1'!R26</f>
        <v/>
      </c>
      <c r="E22" s="63">
        <f>IF(D22&lt;=30,"Y","N")</f>
        <v/>
      </c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98" thickBot="1">
      <c r="A23" s="64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1'!R27</f>
        <v/>
      </c>
      <c r="E23" s="63">
        <f>IF(D23&lt;=30,"Y","N")</f>
        <v/>
      </c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98" thickBot="1">
      <c r="A24" s="64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1'!R28</f>
        <v/>
      </c>
      <c r="E24" s="63">
        <f>IF(D24&lt;=30,"Y","N")</f>
        <v/>
      </c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98" thickBot="1">
      <c r="A25" s="64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1'!R29</f>
        <v/>
      </c>
      <c r="E25" s="63">
        <f>IF(D25&lt;=30,"Y","N")</f>
        <v/>
      </c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98" thickBot="1">
      <c r="A26" s="64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1'!R30</f>
        <v/>
      </c>
      <c r="E26" s="63">
        <f>IF(D26&lt;=30,"Y","N")</f>
        <v/>
      </c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98" thickBot="1">
      <c r="A27" s="64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1'!R31</f>
        <v/>
      </c>
      <c r="E27" s="63">
        <f>IF(D27&lt;=30,"Y","N")</f>
        <v/>
      </c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98" thickBot="1">
      <c r="A28" s="64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1'!R32</f>
        <v/>
      </c>
      <c r="E28" s="63">
        <f>IF(D28&lt;=30,"Y","N")</f>
        <v/>
      </c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98" thickBot="1">
      <c r="A29" s="64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1'!R33</f>
        <v/>
      </c>
      <c r="E29" s="63">
        <f>IF(D29&lt;=30,"Y","N")</f>
        <v/>
      </c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98" thickBot="1">
      <c r="A30" s="64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1'!R34</f>
        <v/>
      </c>
      <c r="E30" s="63">
        <f>IF(D30&lt;=30,"Y","N")</f>
        <v/>
      </c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98" thickBot="1">
      <c r="A31" s="64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1'!R35</f>
        <v/>
      </c>
      <c r="E31" s="63">
        <f>IF(D31&lt;=30,"Y","N")</f>
        <v/>
      </c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98" thickBot="1">
      <c r="A32" s="64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1'!R36</f>
        <v/>
      </c>
      <c r="E32" s="63">
        <f>IF(D32&lt;=30,"Y","N")</f>
        <v/>
      </c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98" thickBot="1">
      <c r="A33" s="64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1'!R37</f>
        <v/>
      </c>
      <c r="E33" s="63">
        <f>IF(D33&lt;=30,"Y","N")</f>
        <v/>
      </c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98" thickBot="1">
      <c r="A34" s="64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1'!R38</f>
        <v/>
      </c>
      <c r="E34" s="63">
        <f>IF(D34&lt;=30,"Y","N")</f>
        <v/>
      </c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98" thickBot="1">
      <c r="A35" s="64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1'!R39</f>
        <v/>
      </c>
      <c r="E35" s="63">
        <f>IF(D35&lt;=30,"Y","N")</f>
        <v/>
      </c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98" thickBot="1">
      <c r="A36" s="64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1'!R40</f>
        <v/>
      </c>
      <c r="E36" s="63">
        <f>IF(D36&lt;=30,"Y","N")</f>
        <v/>
      </c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98" thickBot="1">
      <c r="A37" s="64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1'!R41</f>
        <v/>
      </c>
      <c r="E37" s="63">
        <f>IF(D37&lt;=30,"Y","N")</f>
        <v/>
      </c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98" thickBot="1">
      <c r="A38" s="64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1'!R42</f>
        <v/>
      </c>
      <c r="E38" s="63">
        <f>IF(D38&lt;=30,"Y","N")</f>
        <v/>
      </c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98" thickBot="1">
      <c r="A39" s="64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1'!R43</f>
        <v/>
      </c>
      <c r="E39" s="63">
        <f>IF(D39&lt;=30,"Y","N")</f>
        <v/>
      </c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5.75" customHeight="1" s="98" thickBot="1">
      <c r="A40" s="64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1'!R44</f>
        <v/>
      </c>
      <c r="E40" s="63">
        <f>IF(D40&lt;=30,"Y","N")</f>
        <v/>
      </c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5.75" customHeight="1" s="98" thickBot="1">
      <c r="A41" s="64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1'!R45</f>
        <v/>
      </c>
      <c r="E41" s="63">
        <f>IF(D41&lt;=30,"Y","N")</f>
        <v/>
      </c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5.75" customHeight="1" s="98" thickBot="1">
      <c r="A42" s="64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1'!R46</f>
        <v/>
      </c>
      <c r="E42" s="63">
        <f>IF(D42&lt;=30,"Y","N")</f>
        <v/>
      </c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5.75" customHeight="1" s="98" thickBot="1">
      <c r="A43" s="64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1'!R47</f>
        <v/>
      </c>
      <c r="E43" s="63">
        <f>IF(D43&lt;=30,"Y","N")</f>
        <v/>
      </c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5.75" customHeight="1" s="98" thickBot="1">
      <c r="A44" s="64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1'!R48</f>
        <v/>
      </c>
      <c r="E44" s="63">
        <f>IF(D44&lt;=30,"Y","N")</f>
        <v/>
      </c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5.75" customHeight="1" s="98" thickBot="1">
      <c r="A45" s="64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1'!R49</f>
        <v/>
      </c>
      <c r="E45" s="63">
        <f>IF(D45&lt;=30,"Y","N")</f>
        <v/>
      </c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5.75" customHeight="1" s="98" thickBot="1">
      <c r="A46" s="64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1'!R50</f>
        <v/>
      </c>
      <c r="E46" s="63">
        <f>IF(D46&lt;=30,"Y","N")</f>
        <v/>
      </c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5.75" customHeight="1" s="98" thickBot="1">
      <c r="A47" s="64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1'!R51</f>
        <v/>
      </c>
      <c r="E47" s="63">
        <f>IF(D47&lt;=30,"Y","N")</f>
        <v/>
      </c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5.75" customHeight="1" s="98" thickBot="1">
      <c r="A48" s="64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1'!R52</f>
        <v/>
      </c>
      <c r="E48" s="63">
        <f>IF(D48&lt;=30,"Y","N")</f>
        <v/>
      </c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5.75" customHeight="1" s="98" thickBot="1">
      <c r="A49" s="64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1'!R53</f>
        <v/>
      </c>
      <c r="E49" s="63">
        <f>IF(D49&lt;=30,"Y","N")</f>
        <v/>
      </c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5.75" customHeight="1" s="98" thickBot="1">
      <c r="A50" s="64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1'!R54</f>
        <v/>
      </c>
      <c r="E50" s="63">
        <f>IF(D50&lt;=30,"Y","N")</f>
        <v/>
      </c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5.75" customHeight="1" s="98" thickBot="1">
      <c r="A51" s="64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1'!R55</f>
        <v/>
      </c>
      <c r="E51" s="63">
        <f>IF(D51&lt;=30,"Y","N")</f>
        <v/>
      </c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5.75" customHeight="1" s="98" thickBot="1">
      <c r="A52" s="64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1'!R56</f>
        <v/>
      </c>
      <c r="E52" s="63">
        <f>IF(D52&lt;=30,"Y","N")</f>
        <v/>
      </c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5.75" customHeight="1" s="98" thickBot="1">
      <c r="A53" s="64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1'!R57</f>
        <v/>
      </c>
      <c r="E53" s="63">
        <f>IF(D53&lt;=30,"Y","N")</f>
        <v/>
      </c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5.75" customHeight="1" s="98" thickBot="1">
      <c r="A54" s="64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1'!R58</f>
        <v/>
      </c>
      <c r="E54" s="63">
        <f>IF(D54&lt;=30,"Y","N")</f>
        <v/>
      </c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98" thickBot="1">
      <c r="A55" s="64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1'!R59</f>
        <v/>
      </c>
      <c r="E55" s="63">
        <f>IF(D55&lt;=30,"Y","N")</f>
        <v/>
      </c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98" thickBot="1">
      <c r="A56" s="64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1'!R60</f>
        <v/>
      </c>
      <c r="E56" s="63">
        <f>IF(D56&lt;=30,"Y","N")</f>
        <v/>
      </c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98" thickBot="1">
      <c r="A57" s="64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1'!R61</f>
        <v/>
      </c>
      <c r="E57" s="63">
        <f>IF(D57&lt;=30,"Y","N")</f>
        <v/>
      </c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98" thickBot="1">
      <c r="A58" s="64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1'!R62</f>
        <v/>
      </c>
      <c r="E58" s="63">
        <f>IF(D58&lt;=30,"Y","N")</f>
        <v/>
      </c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98" thickBot="1">
      <c r="A59" s="64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1'!R63</f>
        <v/>
      </c>
      <c r="E59" s="63">
        <f>IF(D59&lt;=30,"Y","N")</f>
        <v/>
      </c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98" thickBot="1">
      <c r="A60" s="64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1'!R64</f>
        <v/>
      </c>
      <c r="E60" s="63">
        <f>IF(D60&lt;=30,"Y","N")</f>
        <v/>
      </c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98" thickBot="1">
      <c r="A61" s="64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1'!R65</f>
        <v/>
      </c>
      <c r="E61" s="63">
        <f>IF(D61&lt;=30,"Y","N")</f>
        <v/>
      </c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98" thickBot="1">
      <c r="A62" s="64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1'!R66</f>
        <v/>
      </c>
      <c r="E62" s="63">
        <f>IF(D62&lt;=30,"Y","N")</f>
        <v/>
      </c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98" thickBot="1">
      <c r="A63" s="64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1'!R67</f>
        <v/>
      </c>
      <c r="E63" s="63">
        <f>IF(D63&lt;=30,"Y","N")</f>
        <v/>
      </c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98" thickBot="1">
      <c r="A64" s="64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1'!R68</f>
        <v/>
      </c>
      <c r="E64" s="63">
        <f>IF(D64&lt;=30,"Y","N")</f>
        <v/>
      </c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98" thickBot="1">
      <c r="A65" s="64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1'!R69</f>
        <v/>
      </c>
      <c r="E65" s="63">
        <f>IF(D65&lt;=30,"Y","N")</f>
        <v/>
      </c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98" thickBot="1">
      <c r="A66" s="64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1'!R70</f>
        <v/>
      </c>
      <c r="E66" s="63">
        <f>IF(D66&lt;=30,"Y","N")</f>
        <v/>
      </c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98" thickBot="1">
      <c r="A67" s="64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1'!R71</f>
        <v/>
      </c>
      <c r="E67" s="63">
        <f>IF(D67&lt;=30,"Y","N")</f>
        <v/>
      </c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98" thickBot="1">
      <c r="A68" s="64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1'!R72</f>
        <v/>
      </c>
      <c r="E68" s="63">
        <f>IF(D68&lt;=30,"Y","N")</f>
        <v/>
      </c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98" thickBot="1">
      <c r="A69" s="64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1'!R73</f>
        <v/>
      </c>
      <c r="E69" s="63">
        <f>IF(D69&lt;=30,"Y","N")</f>
        <v/>
      </c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98" thickBot="1">
      <c r="A70" s="64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1'!R74</f>
        <v/>
      </c>
      <c r="E70" s="63">
        <f>IF(D70&lt;=30,"Y","N")</f>
        <v/>
      </c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98" thickBot="1">
      <c r="A71" s="64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1'!R75</f>
        <v/>
      </c>
      <c r="E71" s="63">
        <f>IF(D71&lt;=30,"Y","N")</f>
        <v/>
      </c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98" thickBot="1">
      <c r="A72" s="64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1'!R76</f>
        <v/>
      </c>
      <c r="E72" s="63">
        <f>IF(D72&lt;=30,"Y","N")</f>
        <v/>
      </c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98" thickBot="1">
      <c r="A73" s="64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1'!R77</f>
        <v/>
      </c>
      <c r="E73" s="63">
        <f>IF(D73&lt;=30,"Y","N")</f>
        <v/>
      </c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98" thickBot="1">
      <c r="A74" s="64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1'!R78</f>
        <v/>
      </c>
      <c r="E74" s="63">
        <f>IF(D74&lt;=30,"Y","N")</f>
        <v/>
      </c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98" thickBot="1">
      <c r="A75" s="64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1'!R79</f>
        <v/>
      </c>
      <c r="E75" s="63">
        <f>IF(D75&lt;=30,"Y","N")</f>
        <v/>
      </c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98" thickBot="1">
      <c r="A76" s="64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1'!R80</f>
        <v/>
      </c>
      <c r="E76" s="63">
        <f>IF(D76&lt;=30,"Y","N")</f>
        <v/>
      </c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98" thickBot="1">
      <c r="A77" s="64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1'!R81</f>
        <v/>
      </c>
      <c r="E77" s="63">
        <f>IF(D77&lt;=30,"Y","N")</f>
        <v/>
      </c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98" thickBot="1">
      <c r="A78" s="64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1'!R82</f>
        <v/>
      </c>
      <c r="E78" s="63">
        <f>IF(D78&lt;=30,"Y","N")</f>
        <v/>
      </c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98" thickBot="1">
      <c r="A79" s="64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1'!R83</f>
        <v/>
      </c>
      <c r="E79" s="63">
        <f>IF(D79&lt;=30,"Y","N")</f>
        <v/>
      </c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98" thickBot="1">
      <c r="A80" s="64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1'!R84</f>
        <v/>
      </c>
      <c r="E80" s="63">
        <f>IF(D80&lt;=30,"Y","N")</f>
        <v/>
      </c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98" thickBot="1">
      <c r="A81" s="64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1'!R85</f>
        <v/>
      </c>
      <c r="E81" s="63">
        <f>IF(D81&lt;=30,"Y","N")</f>
        <v/>
      </c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98" thickBot="1">
      <c r="A82" s="64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1'!R86</f>
        <v/>
      </c>
      <c r="E82" s="63">
        <f>IF(D82&lt;=30,"Y","N")</f>
        <v/>
      </c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98" thickBot="1">
      <c r="A83" s="64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1'!R87</f>
        <v/>
      </c>
      <c r="E83" s="63">
        <f>IF(D83&lt;=30,"Y","N")</f>
        <v/>
      </c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98" thickBot="1">
      <c r="A84" s="64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1'!R88</f>
        <v/>
      </c>
      <c r="E84" s="63">
        <f>IF(D84&lt;=30,"Y","N")</f>
        <v/>
      </c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98" thickBot="1">
      <c r="A85" s="64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1'!R89</f>
        <v/>
      </c>
      <c r="E85" s="63">
        <f>IF(D85&lt;=30,"Y","N")</f>
        <v/>
      </c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98" thickBot="1">
      <c r="A86" s="64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1'!R90</f>
        <v/>
      </c>
      <c r="E86" s="63">
        <f>IF(D86&lt;=30,"Y","N")</f>
        <v/>
      </c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98" thickBot="1">
      <c r="A87" s="64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1'!R91</f>
        <v/>
      </c>
      <c r="E87" s="63">
        <f>IF(D87&lt;=30,"Y","N")</f>
        <v/>
      </c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98" thickBot="1">
      <c r="A88" s="64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1'!R92</f>
        <v/>
      </c>
      <c r="E88" s="63">
        <f>IF(D88&lt;=30,"Y","N")</f>
        <v/>
      </c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98" thickBot="1">
      <c r="A89" s="64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1'!R93</f>
        <v/>
      </c>
      <c r="E89" s="63">
        <f>IF(D89&lt;=30,"Y","N")</f>
        <v/>
      </c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98" thickBot="1">
      <c r="A90" s="64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1'!R94</f>
        <v/>
      </c>
      <c r="E90" s="63">
        <f>IF(D90&lt;=30,"Y","N")</f>
        <v/>
      </c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98" thickBot="1">
      <c r="A91" s="64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1'!R95</f>
        <v/>
      </c>
      <c r="E91" s="63">
        <f>IF(D91&lt;=30,"Y","N")</f>
        <v/>
      </c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98" thickBot="1">
      <c r="A92" s="64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1'!R96</f>
        <v/>
      </c>
      <c r="E92" s="63">
        <f>IF(D92&lt;=30,"Y","N")</f>
        <v/>
      </c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98" thickBot="1">
      <c r="A93" s="64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1'!R97</f>
        <v/>
      </c>
      <c r="E93" s="63">
        <f>IF(D93&lt;=30,"Y","N")</f>
        <v/>
      </c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98" thickBot="1">
      <c r="A94" s="64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1'!R98</f>
        <v/>
      </c>
      <c r="E94" s="63">
        <f>IF(D94&lt;=30,"Y","N")</f>
        <v/>
      </c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98" thickBot="1">
      <c r="A95" s="64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1'!R99</f>
        <v/>
      </c>
      <c r="E95" s="63">
        <f>IF(D95&lt;=30,"Y","N")</f>
        <v/>
      </c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98" thickBot="1">
      <c r="A96" s="64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1'!R100</f>
        <v/>
      </c>
      <c r="E96" s="63">
        <f>IF(D96&lt;=30,"Y","N")</f>
        <v/>
      </c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98" thickBot="1">
      <c r="A97" s="64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1'!R101</f>
        <v/>
      </c>
      <c r="E97" s="63">
        <f>IF(D97&lt;=30,"Y","N")</f>
        <v/>
      </c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98" thickBot="1">
      <c r="A98" s="64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1'!R102</f>
        <v/>
      </c>
      <c r="E98" s="63">
        <f>IF(D98&lt;=30,"Y","N")</f>
        <v/>
      </c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98" thickBot="1">
      <c r="A99" s="64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1'!R103</f>
        <v/>
      </c>
      <c r="E99" s="63">
        <f>IF(D99&lt;=30,"Y","N")</f>
        <v/>
      </c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98" thickBot="1">
      <c r="A100" s="64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1'!R104</f>
        <v/>
      </c>
      <c r="E100" s="63">
        <f>IF(D100&lt;=30,"Y","N")</f>
        <v/>
      </c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98" thickBot="1">
      <c r="A101" s="64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1'!R105</f>
        <v/>
      </c>
      <c r="E101" s="63">
        <f>IF(D101&lt;=30,"Y","N")</f>
        <v/>
      </c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98" thickBot="1">
      <c r="A102" s="64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1'!R106</f>
        <v/>
      </c>
      <c r="E102" s="63">
        <f>IF(D102&lt;=30,"Y","N")</f>
        <v/>
      </c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98" thickBot="1">
      <c r="A103" s="64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1'!R107</f>
        <v/>
      </c>
      <c r="E103" s="63">
        <f>IF(D103&lt;=30,"Y","N")</f>
        <v/>
      </c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98" thickBot="1">
      <c r="A104" s="64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1'!R108</f>
        <v/>
      </c>
      <c r="E104" s="63">
        <f>IF(D104&lt;=30,"Y","N")</f>
        <v/>
      </c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98" thickBot="1">
      <c r="A105" s="64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1'!R109</f>
        <v/>
      </c>
      <c r="E105" s="63">
        <f>IF(D105&lt;=30,"Y","N")</f>
        <v/>
      </c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98" thickBot="1">
      <c r="A106" s="64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1'!R110</f>
        <v/>
      </c>
      <c r="E106" s="63">
        <f>IF(D106&lt;=30,"Y","N")</f>
        <v/>
      </c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98" thickBot="1">
      <c r="A107" s="64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1'!R111</f>
        <v/>
      </c>
      <c r="E107" s="63">
        <f>IF(D107&lt;=30,"Y","N")</f>
        <v/>
      </c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98" thickBot="1">
      <c r="A108" s="64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1'!R112</f>
        <v/>
      </c>
      <c r="E108" s="63">
        <f>IF(D108&lt;=30,"Y","N")</f>
        <v/>
      </c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98" thickBot="1">
      <c r="A109" s="64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1'!R113</f>
        <v/>
      </c>
      <c r="E109" s="63">
        <f>IF(D109&lt;=30,"Y","N")</f>
        <v/>
      </c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98" thickBot="1">
      <c r="A110" s="64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1'!R114</f>
        <v/>
      </c>
      <c r="E110" s="63">
        <f>IF(D110&lt;=30,"Y","N")</f>
        <v/>
      </c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98" thickBot="1">
      <c r="A111" s="64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1'!R115</f>
        <v/>
      </c>
      <c r="E111" s="63">
        <f>IF(D111&lt;=30,"Y","N")</f>
        <v/>
      </c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98" thickBot="1">
      <c r="A112" s="64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1'!R116</f>
        <v/>
      </c>
      <c r="E112" s="63">
        <f>IF(D112&lt;=30,"Y","N")</f>
        <v/>
      </c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98" thickBot="1">
      <c r="A113" s="64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1'!R117</f>
        <v/>
      </c>
      <c r="E113" s="63">
        <f>IF(D113&lt;=30,"Y","N")</f>
        <v/>
      </c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98" thickBot="1">
      <c r="A114" s="64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1'!R118</f>
        <v/>
      </c>
      <c r="E114" s="63">
        <f>IF(D114&lt;=30,"Y","N")</f>
        <v/>
      </c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98" thickBot="1">
      <c r="A115" s="64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1'!R119</f>
        <v/>
      </c>
      <c r="E115" s="63">
        <f>IF(D115&lt;=30,"Y","N")</f>
        <v/>
      </c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98" thickBot="1">
      <c r="A116" s="64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1'!R120</f>
        <v/>
      </c>
      <c r="E116" s="63">
        <f>IF(D116&lt;=30,"Y","N")</f>
        <v/>
      </c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98" thickBot="1">
      <c r="A117" s="64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1'!R121</f>
        <v/>
      </c>
      <c r="E117" s="63">
        <f>IF(D117&lt;=30,"Y","N")</f>
        <v/>
      </c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98" thickBot="1">
      <c r="A118" s="64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1'!R122</f>
        <v/>
      </c>
      <c r="E118" s="63">
        <f>IF(D118&lt;=30,"Y","N")</f>
        <v/>
      </c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98" thickBot="1">
      <c r="A119" s="64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1'!R123</f>
        <v/>
      </c>
      <c r="E119" s="63">
        <f>IF(D119&lt;=30,"Y","N")</f>
        <v/>
      </c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98" thickBot="1">
      <c r="A120" s="64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1'!R124</f>
        <v/>
      </c>
      <c r="E120" s="63">
        <f>IF(D120&lt;=30,"Y","N")</f>
        <v/>
      </c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98" thickBot="1">
      <c r="A121" s="64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1'!R125</f>
        <v/>
      </c>
      <c r="E121" s="63">
        <f>IF(D121&lt;=30,"Y","N")</f>
        <v/>
      </c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4.25" customHeight="1" s="98" thickBot="1">
      <c r="A122" s="64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1'!R126</f>
        <v/>
      </c>
      <c r="E122" s="63">
        <f>IF(D122&lt;=30,"Y","N")</f>
        <v/>
      </c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4.25" customHeight="1" s="98" thickBot="1">
      <c r="A123" s="64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1'!R127</f>
        <v/>
      </c>
      <c r="E123" s="63">
        <f>IF(D123&lt;=30,"Y","N")</f>
        <v/>
      </c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4.25" customHeight="1" s="98" thickBot="1">
      <c r="A124" s="64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1'!R128</f>
        <v/>
      </c>
      <c r="E124" s="63">
        <f>IF(D124&lt;=30,"Y","N")</f>
        <v/>
      </c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4.25" customHeight="1" s="98" thickBot="1">
      <c r="A125" s="64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1'!R129</f>
        <v/>
      </c>
      <c r="E125" s="63">
        <f>IF(D125&lt;=30,"Y","N")</f>
        <v/>
      </c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4.25" customHeight="1" s="98" thickBot="1">
      <c r="A126" s="64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1'!R130</f>
        <v/>
      </c>
      <c r="E126" s="63">
        <f>IF(D126&lt;=30,"Y","N")</f>
        <v/>
      </c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4.25" customHeight="1" s="98" thickBot="1">
      <c r="A127" s="64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1'!R131</f>
        <v/>
      </c>
      <c r="E127" s="63">
        <f>IF(D127&lt;=30,"Y","N")</f>
        <v/>
      </c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4.25" customHeight="1" s="98" thickBot="1">
      <c r="A128" s="64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1'!R132</f>
        <v/>
      </c>
      <c r="E128" s="63">
        <f>IF(D128&lt;=30,"Y","N")</f>
        <v/>
      </c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4.25" customHeight="1" s="98" thickBot="1">
      <c r="A129" s="64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1'!R133</f>
        <v/>
      </c>
      <c r="E129" s="63">
        <f>IF(D129&lt;=30,"Y","N")</f>
        <v/>
      </c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4.25" customHeight="1" s="98" thickBot="1">
      <c r="A130" s="64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1'!R134</f>
        <v/>
      </c>
      <c r="E130" s="63">
        <f>IF(D130&lt;=30,"Y","N")</f>
        <v/>
      </c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4.25" customHeight="1" s="98" thickBot="1">
      <c r="A131" s="64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1'!R135</f>
        <v/>
      </c>
      <c r="E131" s="63">
        <f>IF(D131&lt;=30,"Y","N")</f>
        <v/>
      </c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4.25" customHeight="1" s="98" thickBot="1">
      <c r="A132" s="64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1'!R136</f>
        <v/>
      </c>
      <c r="E132" s="63">
        <f>IF(D132&lt;=30,"Y","N")</f>
        <v/>
      </c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4.25" customHeight="1" s="98" thickBot="1">
      <c r="A133" s="64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1'!R137</f>
        <v/>
      </c>
      <c r="E133" s="63">
        <f>IF(D133&lt;=30,"Y","N")</f>
        <v/>
      </c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4.25" customHeight="1" s="98" thickBot="1">
      <c r="A134" s="64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1'!R138</f>
        <v/>
      </c>
      <c r="E134" s="63">
        <f>IF(D134&lt;=30,"Y","N")</f>
        <v/>
      </c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4.25" customHeight="1" s="98" thickBot="1">
      <c r="A135" s="64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1'!R139</f>
        <v/>
      </c>
      <c r="E135" s="63">
        <f>IF(D135&lt;=30,"Y","N")</f>
        <v/>
      </c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4.25" customHeight="1" s="98" thickBot="1">
      <c r="A136" s="64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1'!R140</f>
        <v/>
      </c>
      <c r="E136" s="63">
        <f>IF(D136&lt;=30,"Y","N")</f>
        <v/>
      </c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4.25" customHeight="1" s="98" thickBot="1">
      <c r="A137" s="64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1'!R141</f>
        <v/>
      </c>
      <c r="E137" s="63">
        <f>IF(D137&lt;=30,"Y","N")</f>
        <v/>
      </c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4.25" customHeight="1" s="98" thickBot="1">
      <c r="A138" s="64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1'!R142</f>
        <v/>
      </c>
      <c r="E138" s="63">
        <f>IF(D138&lt;=30,"Y","N")</f>
        <v/>
      </c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4.25" customHeight="1" s="98" thickBot="1">
      <c r="A139" s="64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1'!R143</f>
        <v/>
      </c>
      <c r="E139" s="63">
        <f>IF(D139&lt;=30,"Y","N")</f>
        <v/>
      </c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4.25" customHeight="1" s="98" thickBot="1">
      <c r="A140" s="64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1'!R144</f>
        <v/>
      </c>
      <c r="E140" s="63">
        <f>IF(D140&lt;=30,"Y","N")</f>
        <v/>
      </c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4.25" customHeight="1" s="98" thickBot="1">
      <c r="A141" s="64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1'!R145</f>
        <v/>
      </c>
      <c r="E141" s="63">
        <f>IF(D141&lt;=30,"Y","N")</f>
        <v/>
      </c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4.25" customHeight="1" s="98" thickBot="1">
      <c r="A142" s="64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1'!R146</f>
        <v/>
      </c>
      <c r="E142" s="63">
        <f>IF(D142&lt;=30,"Y","N")</f>
        <v/>
      </c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4.25" customHeight="1" s="98" thickBot="1">
      <c r="A143" s="64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1'!R147</f>
        <v/>
      </c>
      <c r="E143" s="63">
        <f>IF(D143&lt;=30,"Y","N")</f>
        <v/>
      </c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4.25" customHeight="1" s="98" thickBot="1">
      <c r="A144" s="64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1'!R148</f>
        <v/>
      </c>
      <c r="E144" s="63">
        <f>IF(D144&lt;=30,"Y","N")</f>
        <v/>
      </c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4.25" customHeight="1" s="98" thickBot="1">
      <c r="A145" s="64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1'!R149</f>
        <v/>
      </c>
      <c r="E145" s="63">
        <f>IF(D145&lt;=30,"Y","N")</f>
        <v/>
      </c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4.25" customHeight="1" s="98" thickBot="1">
      <c r="A146" s="64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1'!R150</f>
        <v/>
      </c>
      <c r="E146" s="63">
        <f>IF(D146&lt;=30,"Y","N")</f>
        <v/>
      </c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4.25" customHeight="1" s="98" thickBot="1">
      <c r="A147" s="64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1'!R151</f>
        <v/>
      </c>
      <c r="E147" s="63">
        <f>IF(D147&lt;=30,"Y","N")</f>
        <v/>
      </c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4.25" customHeight="1" s="98" thickBot="1">
      <c r="A148" s="64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1'!R152</f>
        <v/>
      </c>
      <c r="E148" s="63">
        <f>IF(D148&lt;=30,"Y","N")</f>
        <v/>
      </c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4.25" customHeight="1" s="98" thickBot="1">
      <c r="A149" s="64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1'!R153</f>
        <v/>
      </c>
      <c r="E149" s="63">
        <f>IF(D149&lt;=30,"Y","N")</f>
        <v/>
      </c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4.25" customHeight="1" s="98" thickBot="1">
      <c r="A150" s="64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1'!R154</f>
        <v/>
      </c>
      <c r="E150" s="63">
        <f>IF(D150&lt;=30,"Y","N")</f>
        <v/>
      </c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4.25" customHeight="1" s="98" thickBot="1">
      <c r="A151" s="64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1'!R155</f>
        <v/>
      </c>
      <c r="E151" s="63">
        <f>IF(D151&lt;=30,"Y","N")</f>
        <v/>
      </c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4.25" customHeight="1" s="98" thickBot="1">
      <c r="A152" s="64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1'!R156</f>
        <v/>
      </c>
      <c r="E152" s="63">
        <f>IF(D152&lt;=30,"Y","N")</f>
        <v/>
      </c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4.25" customHeight="1" s="98" thickBot="1">
      <c r="A153" s="64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1'!R157</f>
        <v/>
      </c>
      <c r="E153" s="63">
        <f>IF(D153&lt;=30,"Y","N")</f>
        <v/>
      </c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4.25" customHeight="1" s="98" thickBot="1">
      <c r="A154" s="64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1'!R158</f>
        <v/>
      </c>
      <c r="E154" s="63">
        <f>IF(D154&lt;=30,"Y","N")</f>
        <v/>
      </c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4.25" customHeight="1" s="98" thickBot="1">
      <c r="A155" s="64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1'!R159</f>
        <v/>
      </c>
      <c r="E155" s="63">
        <f>IF(D155&lt;=30,"Y","N")</f>
        <v/>
      </c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4.25" customHeight="1" s="98" thickBot="1">
      <c r="A156" s="64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1'!R160</f>
        <v/>
      </c>
      <c r="E156" s="63">
        <f>IF(D156&lt;=30,"Y","N")</f>
        <v/>
      </c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4.25" customHeight="1" s="98" thickBot="1">
      <c r="A157" s="64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1'!R161</f>
        <v/>
      </c>
      <c r="E157" s="63">
        <f>IF(D157&lt;=30,"Y","N")</f>
        <v/>
      </c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4.25" customHeight="1" s="98" thickBot="1">
      <c r="A158" s="64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1'!R162</f>
        <v/>
      </c>
      <c r="E158" s="63">
        <f>IF(D158&lt;=30,"Y","N")</f>
        <v/>
      </c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4.25" customHeight="1" s="98" thickBot="1">
      <c r="A159" s="64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1'!R163</f>
        <v/>
      </c>
      <c r="E159" s="63">
        <f>IF(D159&lt;=30,"Y","N")</f>
        <v/>
      </c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4.25" customHeight="1" s="98" thickBot="1">
      <c r="A160" s="64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1'!R164</f>
        <v/>
      </c>
      <c r="E160" s="63">
        <f>IF(D160&lt;=30,"Y","N")</f>
        <v/>
      </c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4.25" customHeight="1" s="98" thickBot="1">
      <c r="A161" s="64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1'!R165</f>
        <v/>
      </c>
      <c r="E161" s="63">
        <f>IF(D161&lt;=30,"Y","N")</f>
        <v/>
      </c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4.25" customHeight="1" s="98" thickBot="1">
      <c r="A162" s="64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1'!R166</f>
        <v/>
      </c>
      <c r="E162" s="63">
        <f>IF(D162&lt;=30,"Y","N")</f>
        <v/>
      </c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4.25" customHeight="1" s="98" thickBot="1">
      <c r="A163" s="64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1'!R167</f>
        <v/>
      </c>
      <c r="E163" s="63">
        <f>IF(D163&lt;=30,"Y","N")</f>
        <v/>
      </c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4.25" customHeight="1" s="98" thickBot="1">
      <c r="A164" s="64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1'!R168</f>
        <v/>
      </c>
      <c r="E164" s="63">
        <f>IF(D164&lt;=30,"Y","N")</f>
        <v/>
      </c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4.25" customHeight="1" s="98" thickBot="1">
      <c r="A165" s="64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1'!R169</f>
        <v/>
      </c>
      <c r="E165" s="63">
        <f>IF(D165&lt;=30,"Y","N")</f>
        <v/>
      </c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4.25" customHeight="1" s="98" thickBot="1">
      <c r="A166" s="64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1'!R170</f>
        <v/>
      </c>
      <c r="E166" s="63">
        <f>IF(D166&lt;=30,"Y","N")</f>
        <v/>
      </c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4.25" customHeight="1" s="98" thickBot="1">
      <c r="A167" s="64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1'!R171</f>
        <v/>
      </c>
      <c r="E167" s="63">
        <f>IF(D167&lt;=30,"Y","N")</f>
        <v/>
      </c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4.25" customHeight="1" s="98" thickBot="1">
      <c r="A168" s="64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1'!R172</f>
        <v/>
      </c>
      <c r="E168" s="63">
        <f>IF(D168&lt;=30,"Y","N")</f>
        <v/>
      </c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4.25" customHeight="1" s="98" thickBot="1">
      <c r="A169" s="64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1'!R173</f>
        <v/>
      </c>
      <c r="E169" s="63">
        <f>IF(D169&lt;=30,"Y","N")</f>
        <v/>
      </c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4.25" customHeight="1" s="98" thickBot="1">
      <c r="A170" s="64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1'!R174</f>
        <v/>
      </c>
      <c r="E170" s="63">
        <f>IF(D170&lt;=30,"Y","N")</f>
        <v/>
      </c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4.25" customHeight="1" s="98" thickBot="1">
      <c r="A171" s="64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1'!R175</f>
        <v/>
      </c>
      <c r="E171" s="63">
        <f>IF(D171&lt;=30,"Y","N")</f>
        <v/>
      </c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4.25" customHeight="1" s="98" thickBot="1">
      <c r="A172" s="64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1'!R176</f>
        <v/>
      </c>
      <c r="E172" s="63">
        <f>IF(D172&lt;=30,"Y","N")</f>
        <v/>
      </c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4.25" customHeight="1" s="98" thickBot="1">
      <c r="A173" s="64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1'!R177</f>
        <v/>
      </c>
      <c r="E173" s="63">
        <f>IF(D173&lt;=30,"Y","N")</f>
        <v/>
      </c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4.25" customHeight="1" s="98" thickBot="1">
      <c r="A174" s="64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1'!R178</f>
        <v/>
      </c>
      <c r="E174" s="63">
        <f>IF(D174&lt;=30,"Y","N")</f>
        <v/>
      </c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4.25" customHeight="1" s="98" thickBot="1">
      <c r="A175" s="64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1'!R179</f>
        <v/>
      </c>
      <c r="E175" s="63">
        <f>IF(D175&lt;=30,"Y","N")</f>
        <v/>
      </c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4.25" customHeight="1" s="98" thickBot="1">
      <c r="A176" s="64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1'!R180</f>
        <v/>
      </c>
      <c r="E176" s="63">
        <f>IF(D176&lt;=30,"Y","N")</f>
        <v/>
      </c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4.25" customHeight="1" s="98" thickBot="1">
      <c r="A177" s="64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1'!R181</f>
        <v/>
      </c>
      <c r="E177" s="63">
        <f>IF(D177&lt;=30,"Y","N")</f>
        <v/>
      </c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4.25" customHeight="1" s="98" thickBot="1">
      <c r="A178" s="64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1'!R182</f>
        <v/>
      </c>
      <c r="E178" s="63">
        <f>IF(D178&lt;=30,"Y","N")</f>
        <v/>
      </c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4.25" customHeight="1" s="98" thickBot="1">
      <c r="A179" s="64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1'!R183</f>
        <v/>
      </c>
      <c r="E179" s="63">
        <f>IF(D179&lt;=30,"Y","N")</f>
        <v/>
      </c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4.25" customHeight="1" s="98" thickBot="1">
      <c r="A180" s="64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1'!R184</f>
        <v/>
      </c>
      <c r="E180" s="63">
        <f>IF(D180&lt;=30,"Y","N")</f>
        <v/>
      </c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4.25" customHeight="1" s="98" thickBot="1">
      <c r="A181" s="64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1'!R185</f>
        <v/>
      </c>
      <c r="E181" s="63">
        <f>IF(D181&lt;=30,"Y","N")</f>
        <v/>
      </c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4.25" customHeight="1" s="98" thickBot="1">
      <c r="A182" s="64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1'!R186</f>
        <v/>
      </c>
      <c r="E182" s="63">
        <f>IF(D182&lt;=30,"Y","N")</f>
        <v/>
      </c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4.25" customHeight="1" s="98" thickBot="1">
      <c r="A183" s="64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1'!R187</f>
        <v/>
      </c>
      <c r="E183" s="63">
        <f>IF(D183&lt;=30,"Y","N")</f>
        <v/>
      </c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4.25" customHeight="1" s="98" thickBot="1">
      <c r="A184" s="64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1'!R188</f>
        <v/>
      </c>
      <c r="E184" s="63">
        <f>IF(D184&lt;=30,"Y","N")</f>
        <v/>
      </c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4.25" customHeight="1" s="98" thickBot="1">
      <c r="A185" s="64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1'!R189</f>
        <v/>
      </c>
      <c r="E185" s="63">
        <f>IF(D185&lt;=30,"Y","N")</f>
        <v/>
      </c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4.25" customHeight="1" s="98" thickBot="1">
      <c r="A186" s="64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1'!R190</f>
        <v/>
      </c>
      <c r="E186" s="63">
        <f>IF(D186&lt;=30,"Y","N")</f>
        <v/>
      </c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4.25" customHeight="1" s="98" thickBot="1">
      <c r="A187" s="64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1'!R191</f>
        <v/>
      </c>
      <c r="E187" s="63">
        <f>IF(D187&lt;=30,"Y","N")</f>
        <v/>
      </c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4.25" customHeight="1" s="98" thickBot="1">
      <c r="A188" s="64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1'!R192</f>
        <v/>
      </c>
      <c r="E188" s="63">
        <f>IF(D188&lt;=30,"Y","N")</f>
        <v/>
      </c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4.25" customHeight="1" s="98" thickBot="1">
      <c r="A189" s="64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1'!R193</f>
        <v/>
      </c>
      <c r="E189" s="63">
        <f>IF(D189&lt;=30,"Y","N")</f>
        <v/>
      </c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4.25" customHeight="1" s="98" thickBot="1">
      <c r="A190" s="64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1'!R194</f>
        <v/>
      </c>
      <c r="E190" s="63">
        <f>IF(D190&lt;=30,"Y","N")</f>
        <v/>
      </c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4.25" customHeight="1" s="98" thickBot="1">
      <c r="A191" s="64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1'!R195</f>
        <v/>
      </c>
      <c r="E191" s="63">
        <f>IF(D191&lt;=30,"Y","N")</f>
        <v/>
      </c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4.25" customHeight="1" s="98" thickBot="1">
      <c r="A192" s="64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1'!R196</f>
        <v/>
      </c>
      <c r="E192" s="63">
        <f>IF(D192&lt;=30,"Y","N")</f>
        <v/>
      </c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4.25" customHeight="1" s="98" thickBot="1">
      <c r="A193" s="64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1'!R197</f>
        <v/>
      </c>
      <c r="E193" s="63">
        <f>IF(D193&lt;=30,"Y","N")</f>
        <v/>
      </c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4.25" customHeight="1" s="98" thickBot="1">
      <c r="A194" s="64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1'!R198</f>
        <v/>
      </c>
      <c r="E194" s="63">
        <f>IF(D194&lt;=30,"Y","N")</f>
        <v/>
      </c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4.25" customHeight="1" s="98" thickBot="1">
      <c r="A195" s="64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1'!R199</f>
        <v/>
      </c>
      <c r="E195" s="63">
        <f>IF(D195&lt;=30,"Y","N")</f>
        <v/>
      </c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4.25" customHeight="1" s="98" thickBot="1">
      <c r="A196" s="64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1'!R200</f>
        <v/>
      </c>
      <c r="E196" s="63">
        <f>IF(D196&lt;=30,"Y","N")</f>
        <v/>
      </c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4.25" customHeight="1" s="98" thickBot="1">
      <c r="A197" s="64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1'!R201</f>
        <v/>
      </c>
      <c r="E197" s="63">
        <f>IF(D197&lt;=30,"Y","N")</f>
        <v/>
      </c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4.25" customHeight="1" s="98" thickBot="1">
      <c r="A198" s="64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1'!R202</f>
        <v/>
      </c>
      <c r="E198" s="63">
        <f>IF(D198&lt;=30,"Y","N")</f>
        <v/>
      </c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4.25" customHeight="1" s="98" thickBot="1">
      <c r="A199" s="64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1'!R203</f>
        <v/>
      </c>
      <c r="E199" s="63">
        <f>IF(D199&lt;=30,"Y","N")</f>
        <v/>
      </c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4.25" customHeight="1" s="98" thickBot="1">
      <c r="A200" s="64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1'!R204</f>
        <v/>
      </c>
      <c r="E200" s="63">
        <f>IF(D200&lt;=30,"Y","N")</f>
        <v/>
      </c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4.25" customHeight="1" s="98" thickBot="1">
      <c r="A201" s="64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1'!R205</f>
        <v/>
      </c>
      <c r="E201" s="63">
        <f>IF(D201&lt;=30,"Y","N")</f>
        <v/>
      </c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4.25" customHeight="1" s="98" thickBot="1">
      <c r="A202" s="64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1'!R206</f>
        <v/>
      </c>
      <c r="E202" s="63">
        <f>IF(D202&lt;=30,"Y","N")</f>
        <v/>
      </c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4.25" customHeight="1" s="98" thickBot="1">
      <c r="A203" s="64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1'!R207</f>
        <v/>
      </c>
      <c r="E203" s="63">
        <f>IF(D203&lt;=30,"Y","N")</f>
        <v/>
      </c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4.25" customHeight="1" s="98" thickBot="1">
      <c r="A204" s="64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1'!R208</f>
        <v/>
      </c>
      <c r="E204" s="63">
        <f>IF(D204&lt;=30,"Y","N")</f>
        <v/>
      </c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4.25" customHeight="1" s="98" thickBot="1">
      <c r="A205" s="64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1'!R209</f>
        <v/>
      </c>
      <c r="E205" s="63">
        <f>IF(D205&lt;=30,"Y","N")</f>
        <v/>
      </c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4.25" customHeight="1" s="98" thickBot="1">
      <c r="A206" s="64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1'!R210</f>
        <v/>
      </c>
      <c r="E206" s="63">
        <f>IF(D206&lt;=30,"Y","N")</f>
        <v/>
      </c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4.25" customHeight="1" s="98" thickBot="1">
      <c r="A207" s="64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1'!R211</f>
        <v/>
      </c>
      <c r="E207" s="63">
        <f>IF(D207&lt;=30,"Y","N")</f>
        <v/>
      </c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4.25" customHeight="1" s="98" thickBot="1">
      <c r="A208" s="64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1'!R212</f>
        <v/>
      </c>
      <c r="E208" s="63">
        <f>IF(D208&lt;=30,"Y","N")</f>
        <v/>
      </c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4.25" customHeight="1" s="98" thickBot="1">
      <c r="A209" s="64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1'!R213</f>
        <v/>
      </c>
      <c r="E209" s="63">
        <f>IF(D209&lt;=30,"Y","N")</f>
        <v/>
      </c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4.25" customHeight="1" s="98" thickBot="1">
      <c r="A210" s="64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1'!R214</f>
        <v/>
      </c>
      <c r="E210" s="63">
        <f>IF(D210&lt;=30,"Y","N")</f>
        <v/>
      </c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4.25" customHeight="1" s="98" thickBot="1">
      <c r="A211" s="64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1'!R215</f>
        <v/>
      </c>
      <c r="E211" s="63">
        <f>IF(D211&lt;=30,"Y","N")</f>
        <v/>
      </c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4.25" customHeight="1" s="98" thickBot="1">
      <c r="A212" s="64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1'!R216</f>
        <v/>
      </c>
      <c r="E212" s="63">
        <f>IF(D212&lt;=30,"Y","N")</f>
        <v/>
      </c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4.25" customHeight="1" s="98" thickBot="1">
      <c r="A213" s="64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1'!R217</f>
        <v/>
      </c>
      <c r="E213" s="63">
        <f>IF(D213&lt;=30,"Y","N")</f>
        <v/>
      </c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4.25" customHeight="1" s="98" thickBot="1">
      <c r="A214" s="64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1'!R218</f>
        <v/>
      </c>
      <c r="E214" s="63">
        <f>IF(D214&lt;=30,"Y","N")</f>
        <v/>
      </c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4.25" customHeight="1" s="98">
      <c r="A215" s="50" t="n"/>
      <c r="B215" s="50" t="n"/>
      <c r="C215" s="50" t="n"/>
      <c r="D215" s="44" t="n"/>
      <c r="E215" s="44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4.25" customHeight="1" s="98">
      <c r="A216" s="50" t="n"/>
      <c r="B216" s="50" t="n"/>
      <c r="C216" s="50" t="n"/>
      <c r="D216" s="44" t="n"/>
      <c r="E216" s="44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4.25" customHeight="1" s="98">
      <c r="A217" s="50" t="n"/>
      <c r="B217" s="50" t="n"/>
      <c r="C217" s="50" t="n"/>
      <c r="D217" s="44" t="n"/>
      <c r="E217" s="44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4.25" customHeight="1" s="98">
      <c r="A218" s="50" t="n"/>
      <c r="B218" s="50" t="n"/>
      <c r="C218" s="50" t="n"/>
      <c r="D218" s="44" t="n"/>
      <c r="E218" s="44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4.25" customHeight="1" s="98">
      <c r="A219" s="50" t="n"/>
      <c r="B219" s="50" t="n"/>
      <c r="C219" s="50" t="n"/>
      <c r="D219" s="44" t="n"/>
      <c r="E219" s="44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4.25" customHeight="1" s="98">
      <c r="A220" s="50" t="n"/>
      <c r="B220" s="50" t="n"/>
      <c r="C220" s="50" t="n"/>
      <c r="D220" s="44" t="n"/>
      <c r="E220" s="44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4.25" customHeight="1" s="98">
      <c r="A221" s="50" t="n"/>
      <c r="B221" s="50" t="n"/>
      <c r="C221" s="50" t="n"/>
      <c r="D221" s="44" t="n"/>
      <c r="E221" s="44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4.25" customHeight="1" s="98">
      <c r="A222" s="50" t="n"/>
      <c r="B222" s="50" t="n"/>
      <c r="C222" s="50" t="n"/>
      <c r="D222" s="44" t="n"/>
      <c r="E222" s="44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4.25" customHeight="1" s="98">
      <c r="A223" s="50" t="n"/>
      <c r="B223" s="50" t="n"/>
      <c r="C223" s="50" t="n"/>
      <c r="D223" s="44" t="n"/>
      <c r="E223" s="44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4.25" customHeight="1" s="98">
      <c r="A224" s="50" t="n"/>
      <c r="B224" s="50" t="n"/>
      <c r="C224" s="50" t="n"/>
      <c r="D224" s="44" t="n"/>
      <c r="E224" s="44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4.25" customHeight="1" s="98">
      <c r="A225" s="50" t="n"/>
      <c r="B225" s="50" t="n"/>
      <c r="C225" s="50" t="n"/>
      <c r="D225" s="44" t="n"/>
      <c r="E225" s="44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4.25" customHeight="1" s="98">
      <c r="A226" s="50" t="n"/>
      <c r="B226" s="50" t="n"/>
      <c r="C226" s="50" t="n"/>
      <c r="D226" s="44" t="n"/>
      <c r="E226" s="44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4.25" customHeight="1" s="98">
      <c r="A227" s="50" t="n"/>
      <c r="B227" s="50" t="n"/>
      <c r="C227" s="50" t="n"/>
      <c r="D227" s="44" t="n"/>
      <c r="E227" s="44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4.25" customHeight="1" s="98">
      <c r="A228" s="50" t="n"/>
      <c r="B228" s="50" t="n"/>
      <c r="C228" s="50" t="n"/>
      <c r="D228" s="44" t="n"/>
      <c r="E228" s="44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4.25" customHeight="1" s="98">
      <c r="A229" s="50" t="n"/>
      <c r="B229" s="50" t="n"/>
      <c r="C229" s="50" t="n"/>
      <c r="D229" s="44" t="n"/>
      <c r="E229" s="44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4.25" customHeight="1" s="98">
      <c r="A230" s="50" t="n"/>
      <c r="B230" s="50" t="n"/>
      <c r="C230" s="50" t="n"/>
      <c r="D230" s="44" t="n"/>
      <c r="E230" s="44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4.25" customHeight="1" s="98">
      <c r="A231" s="50" t="n"/>
      <c r="B231" s="50" t="n"/>
      <c r="C231" s="50" t="n"/>
      <c r="D231" s="44" t="n"/>
      <c r="E231" s="44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4.25" customHeight="1" s="98">
      <c r="A232" s="50" t="n"/>
      <c r="B232" s="50" t="n"/>
      <c r="C232" s="50" t="n"/>
      <c r="D232" s="44" t="n"/>
      <c r="E232" s="44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4.25" customHeight="1" s="98">
      <c r="A233" s="50" t="n"/>
      <c r="B233" s="50" t="n"/>
      <c r="C233" s="50" t="n"/>
      <c r="D233" s="44" t="n"/>
      <c r="E233" s="44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4.25" customHeight="1" s="98">
      <c r="A234" s="50" t="n"/>
      <c r="B234" s="50" t="n"/>
      <c r="C234" s="50" t="n"/>
      <c r="D234" s="44" t="n"/>
      <c r="E234" s="44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4.25" customHeight="1" s="98">
      <c r="A235" s="50" t="n"/>
      <c r="B235" s="50" t="n"/>
      <c r="C235" s="50" t="n"/>
      <c r="D235" s="44" t="n"/>
      <c r="E235" s="44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4.25" customHeight="1" s="98">
      <c r="A236" s="50" t="n"/>
      <c r="B236" s="50" t="n"/>
      <c r="C236" s="50" t="n"/>
      <c r="D236" s="44" t="n"/>
      <c r="E236" s="44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4.25" customHeight="1" s="98">
      <c r="A237" s="50" t="n"/>
      <c r="B237" s="50" t="n"/>
      <c r="C237" s="50" t="n"/>
      <c r="D237" s="44" t="n"/>
      <c r="E237" s="44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4.25" customHeight="1" s="98">
      <c r="A238" s="50" t="n"/>
      <c r="B238" s="50" t="n"/>
      <c r="C238" s="50" t="n"/>
      <c r="D238" s="44" t="n"/>
      <c r="E238" s="44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4.25" customHeight="1" s="98">
      <c r="A239" s="50" t="n"/>
      <c r="B239" s="50" t="n"/>
      <c r="C239" s="50" t="n"/>
      <c r="D239" s="44" t="n"/>
      <c r="E239" s="44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4.25" customHeight="1" s="98">
      <c r="A240" s="50" t="n"/>
      <c r="B240" s="50" t="n"/>
      <c r="C240" s="50" t="n"/>
      <c r="D240" s="44" t="n"/>
      <c r="E240" s="44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4.25" customHeight="1" s="98">
      <c r="A241" s="50" t="n"/>
      <c r="B241" s="50" t="n"/>
      <c r="C241" s="50" t="n"/>
      <c r="D241" s="44" t="n"/>
      <c r="E241" s="44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4.25" customHeight="1" s="98">
      <c r="A242" s="50" t="n"/>
      <c r="B242" s="50" t="n"/>
      <c r="C242" s="50" t="n"/>
      <c r="D242" s="44" t="n"/>
      <c r="E242" s="44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4.25" customHeight="1" s="98">
      <c r="A243" s="50" t="n"/>
      <c r="B243" s="50" t="n"/>
      <c r="C243" s="50" t="n"/>
      <c r="D243" s="44" t="n"/>
      <c r="E243" s="44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4.25" customHeight="1" s="98">
      <c r="A244" s="50" t="n"/>
      <c r="B244" s="50" t="n"/>
      <c r="C244" s="50" t="n"/>
      <c r="D244" s="44" t="n"/>
      <c r="E244" s="44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4.25" customHeight="1" s="98">
      <c r="A245" s="50" t="n"/>
      <c r="B245" s="50" t="n"/>
      <c r="C245" s="50" t="n"/>
      <c r="D245" s="44" t="n"/>
      <c r="E245" s="44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4.25" customHeight="1" s="98">
      <c r="A246" s="50" t="n"/>
      <c r="B246" s="50" t="n"/>
      <c r="C246" s="50" t="n"/>
      <c r="D246" s="44" t="n"/>
      <c r="E246" s="44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4.25" customHeight="1" s="98">
      <c r="A247" s="50" t="n"/>
      <c r="B247" s="50" t="n"/>
      <c r="C247" s="50" t="n"/>
      <c r="D247" s="44" t="n"/>
      <c r="E247" s="44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4.25" customHeight="1" s="98">
      <c r="A248" s="50" t="n"/>
      <c r="B248" s="50" t="n"/>
      <c r="C248" s="50" t="n"/>
      <c r="D248" s="44" t="n"/>
      <c r="E248" s="44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4.25" customHeight="1" s="98">
      <c r="A249" s="50" t="n"/>
      <c r="B249" s="50" t="n"/>
      <c r="C249" s="50" t="n"/>
      <c r="D249" s="44" t="n"/>
      <c r="E249" s="44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4.25" customHeight="1" s="98">
      <c r="A250" s="50" t="n"/>
      <c r="B250" s="50" t="n"/>
      <c r="C250" s="50" t="n"/>
      <c r="D250" s="44" t="n"/>
      <c r="E250" s="44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4.25" customHeight="1" s="98">
      <c r="A251" s="50" t="n"/>
      <c r="B251" s="50" t="n"/>
      <c r="C251" s="50" t="n"/>
      <c r="D251" s="44" t="n"/>
      <c r="E251" s="44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4.25" customHeight="1" s="98">
      <c r="A252" s="50" t="n"/>
      <c r="B252" s="50" t="n"/>
      <c r="C252" s="50" t="n"/>
      <c r="D252" s="44" t="n"/>
      <c r="E252" s="44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4.25" customHeight="1" s="98">
      <c r="A253" s="50" t="n"/>
      <c r="B253" s="50" t="n"/>
      <c r="C253" s="50" t="n"/>
      <c r="D253" s="44" t="n"/>
      <c r="E253" s="44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4.25" customHeight="1" s="98">
      <c r="A254" s="50" t="n"/>
      <c r="B254" s="50" t="n"/>
      <c r="C254" s="50" t="n"/>
      <c r="D254" s="44" t="n"/>
      <c r="E254" s="44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4.25" customHeight="1" s="98">
      <c r="A255" s="50" t="n"/>
      <c r="B255" s="50" t="n"/>
      <c r="C255" s="50" t="n"/>
      <c r="D255" s="44" t="n"/>
      <c r="E255" s="44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4.25" customHeight="1" s="98">
      <c r="A256" s="50" t="n"/>
      <c r="B256" s="50" t="n"/>
      <c r="C256" s="50" t="n"/>
      <c r="D256" s="44" t="n"/>
      <c r="E256" s="44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4.25" customHeight="1" s="98">
      <c r="A257" s="50" t="n"/>
      <c r="B257" s="50" t="n"/>
      <c r="C257" s="50" t="n"/>
      <c r="D257" s="44" t="n"/>
      <c r="E257" s="44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4.25" customHeight="1" s="98">
      <c r="A258" s="50" t="n"/>
      <c r="B258" s="50" t="n"/>
      <c r="C258" s="50" t="n"/>
      <c r="D258" s="44" t="n"/>
      <c r="E258" s="44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4.25" customHeight="1" s="98">
      <c r="A259" s="50" t="n"/>
      <c r="B259" s="50" t="n"/>
      <c r="C259" s="50" t="n"/>
      <c r="D259" s="44" t="n"/>
      <c r="E259" s="44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4.25" customHeight="1" s="98">
      <c r="A260" s="50" t="n"/>
      <c r="B260" s="50" t="n"/>
      <c r="C260" s="50" t="n"/>
      <c r="D260" s="44" t="n"/>
      <c r="E260" s="44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4.25" customHeight="1" s="98">
      <c r="A261" s="50" t="n"/>
      <c r="B261" s="50" t="n"/>
      <c r="C261" s="50" t="n"/>
      <c r="D261" s="44" t="n"/>
      <c r="E261" s="44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4.25" customHeight="1" s="98">
      <c r="A262" s="50" t="n"/>
      <c r="B262" s="50" t="n"/>
      <c r="C262" s="50" t="n"/>
      <c r="D262" s="44" t="n"/>
      <c r="E262" s="44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4.25" customHeight="1" s="98">
      <c r="A263" s="50" t="n"/>
      <c r="B263" s="50" t="n"/>
      <c r="C263" s="50" t="n"/>
      <c r="D263" s="44" t="n"/>
      <c r="E263" s="44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4.25" customHeight="1" s="98">
      <c r="A264" s="50" t="n"/>
      <c r="B264" s="50" t="n"/>
      <c r="C264" s="50" t="n"/>
      <c r="D264" s="44" t="n"/>
      <c r="E264" s="44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4.25" customHeight="1" s="98">
      <c r="A265" s="50" t="n"/>
      <c r="B265" s="50" t="n"/>
      <c r="C265" s="50" t="n"/>
      <c r="D265" s="44" t="n"/>
      <c r="E265" s="44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4.25" customHeight="1" s="98">
      <c r="A266" s="50" t="n"/>
      <c r="B266" s="50" t="n"/>
      <c r="C266" s="50" t="n"/>
      <c r="D266" s="44" t="n"/>
      <c r="E266" s="44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4.25" customHeight="1" s="98">
      <c r="A267" s="50" t="n"/>
      <c r="B267" s="50" t="n"/>
      <c r="C267" s="50" t="n"/>
      <c r="D267" s="44" t="n"/>
      <c r="E267" s="44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4.25" customHeight="1" s="98">
      <c r="A268" s="50" t="n"/>
      <c r="B268" s="50" t="n"/>
      <c r="C268" s="50" t="n"/>
      <c r="D268" s="44" t="n"/>
      <c r="E268" s="44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4.25" customHeight="1" s="98">
      <c r="A269" s="50" t="n"/>
      <c r="B269" s="50" t="n"/>
      <c r="C269" s="50" t="n"/>
      <c r="D269" s="44" t="n"/>
      <c r="E269" s="44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4.25" customHeight="1" s="98">
      <c r="A270" s="50" t="n"/>
      <c r="B270" s="50" t="n"/>
      <c r="C270" s="50" t="n"/>
      <c r="D270" s="44" t="n"/>
      <c r="E270" s="44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4.25" customHeight="1" s="98">
      <c r="A271" s="50" t="n"/>
      <c r="B271" s="50" t="n"/>
      <c r="C271" s="50" t="n"/>
      <c r="D271" s="44" t="n"/>
      <c r="E271" s="44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4.25" customHeight="1" s="98">
      <c r="A272" s="50" t="n"/>
      <c r="B272" s="50" t="n"/>
      <c r="C272" s="50" t="n"/>
      <c r="D272" s="44" t="n"/>
      <c r="E272" s="44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4.25" customHeight="1" s="98">
      <c r="A273" s="50" t="n"/>
      <c r="B273" s="50" t="n"/>
      <c r="C273" s="50" t="n"/>
      <c r="D273" s="44" t="n"/>
      <c r="E273" s="44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4.25" customHeight="1" s="98">
      <c r="A274" s="50" t="n"/>
      <c r="B274" s="50" t="n"/>
      <c r="C274" s="50" t="n"/>
      <c r="D274" s="44" t="n"/>
      <c r="E274" s="44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4.25" customHeight="1" s="98">
      <c r="A275" s="50" t="n"/>
      <c r="B275" s="50" t="n"/>
      <c r="C275" s="50" t="n"/>
      <c r="D275" s="44" t="n"/>
      <c r="E275" s="44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4.25" customHeight="1" s="98">
      <c r="A276" s="50" t="n"/>
      <c r="B276" s="50" t="n"/>
      <c r="C276" s="50" t="n"/>
      <c r="D276" s="44" t="n"/>
      <c r="E276" s="44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4.25" customHeight="1" s="98">
      <c r="A277" s="50" t="n"/>
      <c r="B277" s="50" t="n"/>
      <c r="C277" s="50" t="n"/>
      <c r="D277" s="44" t="n"/>
      <c r="E277" s="44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4.25" customHeight="1" s="98">
      <c r="A278" s="50" t="n"/>
      <c r="B278" s="50" t="n"/>
      <c r="C278" s="50" t="n"/>
      <c r="D278" s="44" t="n"/>
      <c r="E278" s="44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4.25" customHeight="1" s="98">
      <c r="A279" s="50" t="n"/>
      <c r="B279" s="50" t="n"/>
      <c r="C279" s="50" t="n"/>
      <c r="D279" s="44" t="n"/>
      <c r="E279" s="44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4.25" customHeight="1" s="98">
      <c r="A280" s="50" t="n"/>
      <c r="B280" s="50" t="n"/>
      <c r="C280" s="50" t="n"/>
      <c r="D280" s="44" t="n"/>
      <c r="E280" s="44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4.25" customHeight="1" s="98">
      <c r="A281" s="50" t="n"/>
      <c r="B281" s="50" t="n"/>
      <c r="C281" s="50" t="n"/>
      <c r="D281" s="44" t="n"/>
      <c r="E281" s="44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4.25" customHeight="1" s="98">
      <c r="A282" s="50" t="n"/>
      <c r="B282" s="50" t="n"/>
      <c r="C282" s="50" t="n"/>
      <c r="D282" s="44" t="n"/>
      <c r="E282" s="44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4.25" customHeight="1" s="98">
      <c r="A283" s="50" t="n"/>
      <c r="B283" s="50" t="n"/>
      <c r="C283" s="50" t="n"/>
      <c r="D283" s="44" t="n"/>
      <c r="E283" s="44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4.25" customHeight="1" s="98">
      <c r="A284" s="50" t="n"/>
      <c r="B284" s="50" t="n"/>
      <c r="C284" s="50" t="n"/>
      <c r="D284" s="44" t="n"/>
      <c r="E284" s="44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4.25" customHeight="1" s="98">
      <c r="A285" s="50" t="n"/>
      <c r="B285" s="50" t="n"/>
      <c r="C285" s="50" t="n"/>
      <c r="D285" s="44" t="n"/>
      <c r="E285" s="44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4.25" customHeight="1" s="98">
      <c r="A286" s="50" t="n"/>
      <c r="B286" s="50" t="n"/>
      <c r="C286" s="50" t="n"/>
      <c r="D286" s="44" t="n"/>
      <c r="E286" s="44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4.25" customHeight="1" s="98">
      <c r="A287" s="50" t="n"/>
      <c r="B287" s="50" t="n"/>
      <c r="C287" s="50" t="n"/>
      <c r="D287" s="44" t="n"/>
      <c r="E287" s="44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4.25" customHeight="1" s="98">
      <c r="A288" s="50" t="n"/>
      <c r="B288" s="50" t="n"/>
      <c r="C288" s="50" t="n"/>
      <c r="D288" s="44" t="n"/>
      <c r="E288" s="44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4.25" customHeight="1" s="98">
      <c r="A289" s="50" t="n"/>
      <c r="B289" s="50" t="n"/>
      <c r="C289" s="50" t="n"/>
      <c r="D289" s="44" t="n"/>
      <c r="E289" s="44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4.25" customHeight="1" s="98">
      <c r="A290" s="50" t="n"/>
      <c r="B290" s="50" t="n"/>
      <c r="C290" s="50" t="n"/>
      <c r="D290" s="44" t="n"/>
      <c r="E290" s="44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4.25" customHeight="1" s="98">
      <c r="A291" s="50" t="n"/>
      <c r="B291" s="50" t="n"/>
      <c r="C291" s="50" t="n"/>
      <c r="D291" s="44" t="n"/>
      <c r="E291" s="44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4.25" customHeight="1" s="98">
      <c r="A292" s="50" t="n"/>
      <c r="B292" s="50" t="n"/>
      <c r="C292" s="50" t="n"/>
      <c r="D292" s="44" t="n"/>
      <c r="E292" s="44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4.25" customHeight="1" s="98">
      <c r="A293" s="50" t="n"/>
      <c r="B293" s="50" t="n"/>
      <c r="C293" s="50" t="n"/>
      <c r="D293" s="44" t="n"/>
      <c r="E293" s="44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4.25" customHeight="1" s="98">
      <c r="A294" s="50" t="n"/>
      <c r="B294" s="50" t="n"/>
      <c r="C294" s="50" t="n"/>
      <c r="D294" s="44" t="n"/>
      <c r="E294" s="44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4.25" customHeight="1" s="98">
      <c r="A295" s="50" t="n"/>
      <c r="B295" s="50" t="n"/>
      <c r="C295" s="50" t="n"/>
      <c r="D295" s="44" t="n"/>
      <c r="E295" s="44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4.25" customHeight="1" s="98">
      <c r="A296" s="50" t="n"/>
      <c r="B296" s="50" t="n"/>
      <c r="C296" s="50" t="n"/>
      <c r="D296" s="44" t="n"/>
      <c r="E296" s="44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4.25" customHeight="1" s="98">
      <c r="A297" s="50" t="n"/>
      <c r="B297" s="50" t="n"/>
      <c r="C297" s="50" t="n"/>
      <c r="D297" s="44" t="n"/>
      <c r="E297" s="44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4.25" customHeight="1" s="98">
      <c r="A298" s="50" t="n"/>
      <c r="B298" s="50" t="n"/>
      <c r="C298" s="50" t="n"/>
      <c r="D298" s="44" t="n"/>
      <c r="E298" s="44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4.25" customHeight="1" s="98">
      <c r="A299" s="50" t="n"/>
      <c r="B299" s="50" t="n"/>
      <c r="C299" s="50" t="n"/>
      <c r="D299" s="44" t="n"/>
      <c r="E299" s="44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4.25" customHeight="1" s="98">
      <c r="A300" s="50" t="n"/>
      <c r="B300" s="50" t="n"/>
      <c r="C300" s="50" t="n"/>
      <c r="D300" s="44" t="n"/>
      <c r="E300" s="44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4.25" customHeight="1" s="98">
      <c r="A301" s="50" t="n"/>
      <c r="B301" s="50" t="n"/>
      <c r="C301" s="50" t="n"/>
      <c r="D301" s="44" t="n"/>
      <c r="E301" s="44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4.25" customHeight="1" s="98">
      <c r="A302" s="50" t="n"/>
      <c r="B302" s="50" t="n"/>
      <c r="C302" s="50" t="n"/>
      <c r="D302" s="44" t="n"/>
      <c r="E302" s="44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4.25" customHeight="1" s="98">
      <c r="A303" s="50" t="n"/>
      <c r="B303" s="50" t="n"/>
      <c r="C303" s="50" t="n"/>
      <c r="D303" s="44" t="n"/>
      <c r="E303" s="44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4.25" customHeight="1" s="98">
      <c r="A304" s="50" t="n"/>
      <c r="B304" s="50" t="n"/>
      <c r="C304" s="50" t="n"/>
      <c r="D304" s="44" t="n"/>
      <c r="E304" s="44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4.25" customHeight="1" s="98">
      <c r="A305" s="50" t="n"/>
      <c r="B305" s="50" t="n"/>
      <c r="C305" s="50" t="n"/>
      <c r="D305" s="44" t="n"/>
      <c r="E305" s="44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4.25" customHeight="1" s="98">
      <c r="A306" s="50" t="n"/>
      <c r="B306" s="50" t="n"/>
      <c r="C306" s="50" t="n"/>
      <c r="D306" s="44" t="n"/>
      <c r="E306" s="44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4.25" customHeight="1" s="98">
      <c r="A307" s="50" t="n"/>
      <c r="B307" s="50" t="n"/>
      <c r="C307" s="50" t="n"/>
      <c r="D307" s="44" t="n"/>
      <c r="E307" s="44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4.25" customHeight="1" s="98">
      <c r="A308" s="50" t="n"/>
      <c r="B308" s="50" t="n"/>
      <c r="C308" s="50" t="n"/>
      <c r="D308" s="44" t="n"/>
      <c r="E308" s="44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4.25" customHeight="1" s="98">
      <c r="A309" s="50" t="n"/>
      <c r="B309" s="50" t="n"/>
      <c r="C309" s="50" t="n"/>
      <c r="D309" s="44" t="n"/>
      <c r="E309" s="44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4.25" customHeight="1" s="98">
      <c r="A310" s="50" t="n"/>
      <c r="B310" s="50" t="n"/>
      <c r="C310" s="50" t="n"/>
      <c r="D310" s="44" t="n"/>
      <c r="E310" s="44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4.25" customHeight="1" s="98">
      <c r="A311" s="50" t="n"/>
      <c r="B311" s="50" t="n"/>
      <c r="C311" s="50" t="n"/>
      <c r="D311" s="44" t="n"/>
      <c r="E311" s="44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4.25" customHeight="1" s="98">
      <c r="A312" s="50" t="n"/>
      <c r="B312" s="50" t="n"/>
      <c r="C312" s="50" t="n"/>
      <c r="D312" s="44" t="n"/>
      <c r="E312" s="44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4.25" customHeight="1" s="98">
      <c r="A313" s="50" t="n"/>
      <c r="B313" s="50" t="n"/>
      <c r="C313" s="50" t="n"/>
      <c r="D313" s="44" t="n"/>
      <c r="E313" s="44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4.25" customHeight="1" s="98">
      <c r="A314" s="50" t="n"/>
      <c r="B314" s="50" t="n"/>
      <c r="C314" s="50" t="n"/>
      <c r="D314" s="44" t="n"/>
      <c r="E314" s="44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4.25" customHeight="1" s="98">
      <c r="A315" s="50" t="n"/>
      <c r="B315" s="50" t="n"/>
      <c r="C315" s="50" t="n"/>
      <c r="D315" s="44" t="n"/>
      <c r="E315" s="44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4.25" customHeight="1" s="98">
      <c r="A316" s="50" t="n"/>
      <c r="B316" s="50" t="n"/>
      <c r="C316" s="50" t="n"/>
      <c r="D316" s="44" t="n"/>
      <c r="E316" s="44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4.25" customHeight="1" s="98">
      <c r="A317" s="50" t="n"/>
      <c r="B317" s="50" t="n"/>
      <c r="C317" s="50" t="n"/>
      <c r="D317" s="44" t="n"/>
      <c r="E317" s="44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4.25" customHeight="1" s="98">
      <c r="A318" s="50" t="n"/>
      <c r="B318" s="50" t="n"/>
      <c r="C318" s="50" t="n"/>
      <c r="D318" s="44" t="n"/>
      <c r="E318" s="44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4.25" customHeight="1" s="98">
      <c r="A319" s="50" t="n"/>
      <c r="B319" s="50" t="n"/>
      <c r="C319" s="50" t="n"/>
      <c r="D319" s="44" t="n"/>
      <c r="E319" s="44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4.25" customHeight="1" s="98">
      <c r="A320" s="50" t="n"/>
      <c r="B320" s="50" t="n"/>
      <c r="C320" s="50" t="n"/>
      <c r="D320" s="44" t="n"/>
      <c r="E320" s="44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4.25" customHeight="1" s="98">
      <c r="A321" s="50" t="n"/>
      <c r="B321" s="50" t="n"/>
      <c r="C321" s="50" t="n"/>
      <c r="D321" s="44" t="n"/>
      <c r="E321" s="44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4.25" customHeight="1" s="98">
      <c r="A322" s="50" t="n"/>
      <c r="B322" s="50" t="n"/>
      <c r="C322" s="50" t="n"/>
      <c r="D322" s="44" t="n"/>
      <c r="E322" s="44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4.25" customHeight="1" s="98">
      <c r="A323" s="50" t="n"/>
      <c r="B323" s="50" t="n"/>
      <c r="C323" s="50" t="n"/>
      <c r="D323" s="44" t="n"/>
      <c r="E323" s="44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4.25" customHeight="1" s="98">
      <c r="A324" s="50" t="n"/>
      <c r="B324" s="50" t="n"/>
      <c r="C324" s="50" t="n"/>
      <c r="D324" s="44" t="n"/>
      <c r="E324" s="44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4.25" customHeight="1" s="98">
      <c r="A325" s="50" t="n"/>
      <c r="B325" s="50" t="n"/>
      <c r="C325" s="50" t="n"/>
      <c r="D325" s="44" t="n"/>
      <c r="E325" s="44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4.25" customHeight="1" s="98">
      <c r="A326" s="50" t="n"/>
      <c r="B326" s="50" t="n"/>
      <c r="C326" s="50" t="n"/>
      <c r="D326" s="44" t="n"/>
      <c r="E326" s="44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4.25" customHeight="1" s="98">
      <c r="A327" s="50" t="n"/>
      <c r="B327" s="50" t="n"/>
      <c r="C327" s="50" t="n"/>
      <c r="D327" s="44" t="n"/>
      <c r="E327" s="44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4.25" customHeight="1" s="98">
      <c r="A328" s="50" t="n"/>
      <c r="B328" s="50" t="n"/>
      <c r="C328" s="50" t="n"/>
      <c r="D328" s="44" t="n"/>
      <c r="E328" s="44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4.25" customHeight="1" s="98">
      <c r="A329" s="50" t="n"/>
      <c r="B329" s="50" t="n"/>
      <c r="C329" s="50" t="n"/>
      <c r="D329" s="44" t="n"/>
      <c r="E329" s="44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4.25" customHeight="1" s="98">
      <c r="A330" s="50" t="n"/>
      <c r="B330" s="50" t="n"/>
      <c r="C330" s="50" t="n"/>
      <c r="D330" s="44" t="n"/>
      <c r="E330" s="44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4.25" customHeight="1" s="98">
      <c r="A331" s="50" t="n"/>
      <c r="B331" s="50" t="n"/>
      <c r="C331" s="50" t="n"/>
      <c r="D331" s="44" t="n"/>
      <c r="E331" s="44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4.25" customHeight="1" s="98">
      <c r="A332" s="50" t="n"/>
      <c r="B332" s="50" t="n"/>
      <c r="C332" s="50" t="n"/>
      <c r="D332" s="44" t="n"/>
      <c r="E332" s="44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4.25" customHeight="1" s="98">
      <c r="A333" s="50" t="n"/>
      <c r="B333" s="50" t="n"/>
      <c r="C333" s="50" t="n"/>
      <c r="D333" s="44" t="n"/>
      <c r="E333" s="44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4.25" customHeight="1" s="98">
      <c r="A334" s="50" t="n"/>
      <c r="B334" s="50" t="n"/>
      <c r="C334" s="50" t="n"/>
      <c r="D334" s="44" t="n"/>
      <c r="E334" s="44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4.25" customHeight="1" s="98">
      <c r="A335" s="50" t="n"/>
      <c r="B335" s="50" t="n"/>
      <c r="C335" s="50" t="n"/>
      <c r="D335" s="44" t="n"/>
      <c r="E335" s="44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4.25" customHeight="1" s="98">
      <c r="A336" s="50" t="n"/>
      <c r="B336" s="50" t="n"/>
      <c r="C336" s="50" t="n"/>
      <c r="D336" s="44" t="n"/>
      <c r="E336" s="44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4.25" customHeight="1" s="98">
      <c r="A337" s="50" t="n"/>
      <c r="B337" s="50" t="n"/>
      <c r="C337" s="50" t="n"/>
      <c r="D337" s="44" t="n"/>
      <c r="E337" s="44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4.25" customHeight="1" s="98">
      <c r="A338" s="50" t="n"/>
      <c r="B338" s="50" t="n"/>
      <c r="C338" s="50" t="n"/>
      <c r="D338" s="44" t="n"/>
      <c r="E338" s="44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4.25" customHeight="1" s="98">
      <c r="A339" s="50" t="n"/>
      <c r="B339" s="50" t="n"/>
      <c r="C339" s="50" t="n"/>
      <c r="D339" s="44" t="n"/>
      <c r="E339" s="44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4.25" customHeight="1" s="98">
      <c r="A340" s="50" t="n"/>
      <c r="B340" s="50" t="n"/>
      <c r="C340" s="50" t="n"/>
      <c r="D340" s="44" t="n"/>
      <c r="E340" s="44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4.25" customHeight="1" s="98">
      <c r="A341" s="50" t="n"/>
      <c r="B341" s="50" t="n"/>
      <c r="C341" s="50" t="n"/>
      <c r="D341" s="44" t="n"/>
      <c r="E341" s="44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4.25" customHeight="1" s="98">
      <c r="A342" s="50" t="n"/>
      <c r="B342" s="50" t="n"/>
      <c r="C342" s="50" t="n"/>
      <c r="D342" s="44" t="n"/>
      <c r="E342" s="44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4.25" customHeight="1" s="98">
      <c r="A343" s="50" t="n"/>
      <c r="B343" s="50" t="n"/>
      <c r="C343" s="50" t="n"/>
      <c r="D343" s="44" t="n"/>
      <c r="E343" s="44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4.25" customHeight="1" s="98">
      <c r="A344" s="50" t="n"/>
      <c r="B344" s="50" t="n"/>
      <c r="C344" s="50" t="n"/>
      <c r="D344" s="44" t="n"/>
      <c r="E344" s="44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4.25" customHeight="1" s="98">
      <c r="A345" s="50" t="n"/>
      <c r="B345" s="50" t="n"/>
      <c r="C345" s="50" t="n"/>
      <c r="D345" s="44" t="n"/>
      <c r="E345" s="44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4.25" customHeight="1" s="98">
      <c r="A346" s="50" t="n"/>
      <c r="B346" s="50" t="n"/>
      <c r="C346" s="50" t="n"/>
      <c r="D346" s="44" t="n"/>
      <c r="E346" s="44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4.25" customHeight="1" s="98">
      <c r="A347" s="50" t="n"/>
      <c r="B347" s="50" t="n"/>
      <c r="C347" s="50" t="n"/>
      <c r="D347" s="44" t="n"/>
      <c r="E347" s="44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4.25" customHeight="1" s="98">
      <c r="A348" s="50" t="n"/>
      <c r="B348" s="50" t="n"/>
      <c r="C348" s="50" t="n"/>
      <c r="D348" s="44" t="n"/>
      <c r="E348" s="44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4.25" customHeight="1" s="98">
      <c r="A349" s="50" t="n"/>
      <c r="B349" s="50" t="n"/>
      <c r="C349" s="50" t="n"/>
      <c r="D349" s="44" t="n"/>
      <c r="E349" s="44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4.25" customHeight="1" s="98">
      <c r="A350" s="50" t="n"/>
      <c r="B350" s="50" t="n"/>
      <c r="C350" s="50" t="n"/>
      <c r="D350" s="44" t="n"/>
      <c r="E350" s="44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4.25" customHeight="1" s="98">
      <c r="A351" s="50" t="n"/>
      <c r="B351" s="50" t="n"/>
      <c r="C351" s="50" t="n"/>
      <c r="D351" s="44" t="n"/>
      <c r="E351" s="44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4.25" customHeight="1" s="98">
      <c r="A352" s="50" t="n"/>
      <c r="B352" s="50" t="n"/>
      <c r="C352" s="50" t="n"/>
      <c r="D352" s="44" t="n"/>
      <c r="E352" s="44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4.25" customHeight="1" s="98">
      <c r="A353" s="50" t="n"/>
      <c r="B353" s="50" t="n"/>
      <c r="C353" s="50" t="n"/>
      <c r="D353" s="44" t="n"/>
      <c r="E353" s="44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4.25" customHeight="1" s="98">
      <c r="A354" s="50" t="n"/>
      <c r="B354" s="50" t="n"/>
      <c r="C354" s="50" t="n"/>
      <c r="D354" s="44" t="n"/>
      <c r="E354" s="44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4.25" customHeight="1" s="98">
      <c r="A355" s="50" t="n"/>
      <c r="B355" s="50" t="n"/>
      <c r="C355" s="50" t="n"/>
      <c r="D355" s="44" t="n"/>
      <c r="E355" s="44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4.25" customHeight="1" s="98">
      <c r="A356" s="50" t="n"/>
      <c r="B356" s="50" t="n"/>
      <c r="C356" s="50" t="n"/>
      <c r="D356" s="44" t="n"/>
      <c r="E356" s="44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4.25" customHeight="1" s="98">
      <c r="A357" s="50" t="n"/>
      <c r="B357" s="50" t="n"/>
      <c r="C357" s="50" t="n"/>
      <c r="D357" s="44" t="n"/>
      <c r="E357" s="44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4.25" customHeight="1" s="98">
      <c r="A358" s="50" t="n"/>
      <c r="B358" s="50" t="n"/>
      <c r="C358" s="50" t="n"/>
      <c r="D358" s="44" t="n"/>
      <c r="E358" s="44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4.25" customHeight="1" s="98">
      <c r="A359" s="50" t="n"/>
      <c r="B359" s="50" t="n"/>
      <c r="C359" s="50" t="n"/>
      <c r="D359" s="44" t="n"/>
      <c r="E359" s="44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4.25" customHeight="1" s="98">
      <c r="A360" s="50" t="n"/>
      <c r="B360" s="50" t="n"/>
      <c r="C360" s="50" t="n"/>
      <c r="D360" s="44" t="n"/>
      <c r="E360" s="44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4.25" customHeight="1" s="98">
      <c r="A361" s="50" t="n"/>
      <c r="B361" s="50" t="n"/>
      <c r="C361" s="50" t="n"/>
      <c r="D361" s="44" t="n"/>
      <c r="E361" s="44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4.25" customHeight="1" s="98">
      <c r="A362" s="50" t="n"/>
      <c r="B362" s="50" t="n"/>
      <c r="C362" s="50" t="n"/>
      <c r="D362" s="44" t="n"/>
      <c r="E362" s="44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4.25" customHeight="1" s="98">
      <c r="A363" s="50" t="n"/>
      <c r="B363" s="50" t="n"/>
      <c r="C363" s="50" t="n"/>
      <c r="D363" s="44" t="n"/>
      <c r="E363" s="44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4.25" customHeight="1" s="98">
      <c r="A364" s="50" t="n"/>
      <c r="B364" s="50" t="n"/>
      <c r="C364" s="50" t="n"/>
      <c r="D364" s="44" t="n"/>
      <c r="E364" s="44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4.25" customHeight="1" s="98">
      <c r="A365" s="50" t="n"/>
      <c r="B365" s="50" t="n"/>
      <c r="C365" s="50" t="n"/>
      <c r="D365" s="44" t="n"/>
      <c r="E365" s="44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4.25" customHeight="1" s="98">
      <c r="A366" s="50" t="n"/>
      <c r="B366" s="50" t="n"/>
      <c r="C366" s="50" t="n"/>
      <c r="D366" s="44" t="n"/>
      <c r="E366" s="44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4.25" customHeight="1" s="98">
      <c r="A367" s="50" t="n"/>
      <c r="B367" s="50" t="n"/>
      <c r="C367" s="50" t="n"/>
      <c r="D367" s="44" t="n"/>
      <c r="E367" s="44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4.25" customHeight="1" s="98">
      <c r="A368" s="50" t="n"/>
      <c r="B368" s="50" t="n"/>
      <c r="C368" s="50" t="n"/>
      <c r="D368" s="44" t="n"/>
      <c r="E368" s="44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4.25" customHeight="1" s="98">
      <c r="A369" s="50" t="n"/>
      <c r="B369" s="50" t="n"/>
      <c r="C369" s="50" t="n"/>
      <c r="D369" s="44" t="n"/>
      <c r="E369" s="44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4.25" customHeight="1" s="98">
      <c r="A370" s="50" t="n"/>
      <c r="B370" s="50" t="n"/>
      <c r="C370" s="50" t="n"/>
      <c r="D370" s="44" t="n"/>
      <c r="E370" s="44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4.25" customHeight="1" s="98">
      <c r="A371" s="50" t="n"/>
      <c r="B371" s="50" t="n"/>
      <c r="C371" s="50" t="n"/>
      <c r="D371" s="44" t="n"/>
      <c r="E371" s="44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4.25" customHeight="1" s="98">
      <c r="A372" s="50" t="n"/>
      <c r="B372" s="50" t="n"/>
      <c r="C372" s="50" t="n"/>
      <c r="D372" s="44" t="n"/>
      <c r="E372" s="44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4.25" customHeight="1" s="98">
      <c r="A373" s="50" t="n"/>
      <c r="B373" s="50" t="n"/>
      <c r="C373" s="50" t="n"/>
      <c r="D373" s="44" t="n"/>
      <c r="E373" s="44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4.25" customHeight="1" s="98">
      <c r="A374" s="50" t="n"/>
      <c r="B374" s="50" t="n"/>
      <c r="C374" s="50" t="n"/>
      <c r="D374" s="44" t="n"/>
      <c r="E374" s="44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4.25" customHeight="1" s="98">
      <c r="A375" s="50" t="n"/>
      <c r="B375" s="50" t="n"/>
      <c r="C375" s="50" t="n"/>
      <c r="D375" s="44" t="n"/>
      <c r="E375" s="44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4.25" customHeight="1" s="98">
      <c r="A376" s="50" t="n"/>
      <c r="B376" s="50" t="n"/>
      <c r="C376" s="50" t="n"/>
      <c r="D376" s="44" t="n"/>
      <c r="E376" s="44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4.25" customHeight="1" s="98">
      <c r="A377" s="50" t="n"/>
      <c r="B377" s="50" t="n"/>
      <c r="C377" s="50" t="n"/>
      <c r="D377" s="44" t="n"/>
      <c r="E377" s="44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4.25" customHeight="1" s="98">
      <c r="A378" s="50" t="n"/>
      <c r="B378" s="50" t="n"/>
      <c r="C378" s="50" t="n"/>
      <c r="D378" s="44" t="n"/>
      <c r="E378" s="44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E1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6"/>
  <sheetViews>
    <sheetView workbookViewId="0">
      <selection activeCell="B7" sqref="B7:B218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27.8984375" customWidth="1" style="98" min="3" max="3"/>
    <col width="13.3984375" customWidth="1" style="98" min="4" max="4"/>
    <col width="13.19921875" customWidth="1" style="98" min="5" max="17"/>
    <col width="6.3984375" customWidth="1" style="98" min="18" max="18"/>
    <col width="8" customWidth="1" style="98" min="19" max="30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19.5" customHeight="1" s="98">
      <c r="A2" s="15" t="inlineStr">
        <is>
          <t>MID TERM II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ht="19.5" customHeight="1" s="98">
      <c r="A4" s="89" t="inlineStr">
        <is>
          <t>S.NO.</t>
        </is>
      </c>
      <c r="B4" s="112" t="inlineStr">
        <is>
          <t>RTU ROLL
NUMBER</t>
        </is>
      </c>
      <c r="C4" s="15" t="inlineStr">
        <is>
          <t>NAME OF STUDENT</t>
        </is>
      </c>
      <c r="D4" s="1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6" t="n"/>
      <c r="O4" s="83" t="n"/>
      <c r="P4" s="125" t="n"/>
      <c r="Q4" s="125" t="n"/>
      <c r="R4" s="89" t="inlineStr">
        <is>
          <t>MT2</t>
        </is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</row>
    <row r="5" ht="19.5" customHeight="1" s="98">
      <c r="A5" s="136" t="n"/>
      <c r="B5" s="136" t="n"/>
      <c r="C5" s="15" t="inlineStr">
        <is>
          <t>CO MAPPED</t>
        </is>
      </c>
      <c r="D5" s="18" t="inlineStr">
        <is>
          <t>CO1</t>
        </is>
      </c>
      <c r="E5" s="18" t="inlineStr">
        <is>
          <t>CO2</t>
        </is>
      </c>
      <c r="F5" s="18" t="inlineStr">
        <is>
          <t>CO3</t>
        </is>
      </c>
      <c r="G5" s="112" t="inlineStr">
        <is>
          <t xml:space="preserve">Target 50% students attain 70% marks (1) </t>
        </is>
      </c>
      <c r="H5" s="112" t="inlineStr">
        <is>
          <t>Target 50% students attain 80% marks (2)</t>
        </is>
      </c>
      <c r="I5" s="112" t="inlineStr">
        <is>
          <t>Target 50% students attain 90% marks (3)</t>
        </is>
      </c>
      <c r="J5" s="18" t="inlineStr">
        <is>
          <t>CO4</t>
        </is>
      </c>
      <c r="K5" s="112" t="inlineStr">
        <is>
          <t xml:space="preserve">Target 50% students attain 70% marks (1) </t>
        </is>
      </c>
      <c r="L5" s="112" t="inlineStr">
        <is>
          <t>Target 50% students attain 80% marks (2)</t>
        </is>
      </c>
      <c r="M5" s="112" t="inlineStr">
        <is>
          <t>Target 50% students attain 90% marks (3)</t>
        </is>
      </c>
      <c r="N5" s="18" t="inlineStr">
        <is>
          <t>CO5</t>
        </is>
      </c>
      <c r="O5" s="112" t="inlineStr">
        <is>
          <t xml:space="preserve">Target 50% students attain 70% marks (1) </t>
        </is>
      </c>
      <c r="P5" s="112" t="inlineStr">
        <is>
          <t>Target 50% students attain 80% marks (2)</t>
        </is>
      </c>
      <c r="Q5" s="112" t="inlineStr">
        <is>
          <t>Target 50% students attain 90% marks (3)</t>
        </is>
      </c>
      <c r="R5" s="136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ht="52.5" customHeight="1" s="98">
      <c r="A6" s="136" t="n"/>
      <c r="B6" s="136" t="n"/>
      <c r="C6" s="52" t="inlineStr">
        <is>
          <t>MAX MARKS</t>
        </is>
      </c>
      <c r="D6" s="45" t="n"/>
      <c r="E6" s="45" t="n"/>
      <c r="F6" s="45" t="n">
        <v>14</v>
      </c>
      <c r="G6" s="136" t="n"/>
      <c r="H6" s="136" t="n"/>
      <c r="I6" s="136" t="n"/>
      <c r="J6" s="45" t="n">
        <v>28</v>
      </c>
      <c r="K6" s="136" t="n"/>
      <c r="L6" s="136" t="n"/>
      <c r="M6" s="136" t="n"/>
      <c r="N6" s="45" t="n">
        <v>28</v>
      </c>
      <c r="O6" s="136" t="n"/>
      <c r="P6" s="136" t="n"/>
      <c r="Q6" s="136" t="n"/>
      <c r="R6" s="18">
        <f>SUM(F6:N6)</f>
        <v/>
      </c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ht="19.5" customHeight="1" s="98">
      <c r="A7" s="47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53" t="n"/>
      <c r="E7" s="53" t="n"/>
      <c r="F7" s="80" t="n">
        <v>13</v>
      </c>
      <c r="G7" s="49">
        <f>IF(F7&gt;=($F$6*0.5),1,0)</f>
        <v/>
      </c>
      <c r="H7" s="49">
        <f>IF(F7&gt;=($F$6*0.6),1,0)</f>
        <v/>
      </c>
      <c r="I7" s="49">
        <f>IF(F7&gt;=($F$6*0.7),1,0)</f>
        <v/>
      </c>
      <c r="J7" s="80" t="n">
        <v>25</v>
      </c>
      <c r="K7" s="49">
        <f>IF(J7&gt;=($J$6*0.7),1,0)</f>
        <v/>
      </c>
      <c r="L7" s="49">
        <f>IF(J7&gt;=($J$6*0.8),1,0)</f>
        <v/>
      </c>
      <c r="M7" s="49">
        <f>IF(J7&gt;=($J$6*0.9),1,0)</f>
        <v/>
      </c>
      <c r="N7" s="80" t="n">
        <v>25</v>
      </c>
      <c r="O7" s="49">
        <f>IF(N7&gt;=($N$6*0.7),1,0)</f>
        <v/>
      </c>
      <c r="P7" s="49">
        <f>IF(N7&gt;=($N$6*0.8),1,0)</f>
        <v/>
      </c>
      <c r="Q7" s="49">
        <f>IF(N7&gt;=($N$6*0.9),1,0)</f>
        <v/>
      </c>
      <c r="R7" s="80" t="n">
        <v>63</v>
      </c>
      <c r="S7" s="48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19.5" customHeight="1" s="98">
      <c r="A8" s="47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53" t="n"/>
      <c r="E8" s="53" t="n"/>
      <c r="F8" s="80" t="n">
        <v>13</v>
      </c>
      <c r="G8" s="49">
        <f>IF(F8&gt;=($F$6*0.5),1,0)</f>
        <v/>
      </c>
      <c r="H8" s="49">
        <f>IF(F8&gt;=($F$6*0.6),1,0)</f>
        <v/>
      </c>
      <c r="I8" s="49">
        <f>IF(F8&gt;=($F$6*0.7),1,0)</f>
        <v/>
      </c>
      <c r="J8" s="80" t="n">
        <v>22</v>
      </c>
      <c r="K8" s="49">
        <f>IF(J8&gt;=($J$6*0.7),1,0)</f>
        <v/>
      </c>
      <c r="L8" s="49">
        <f>IF(J8&gt;=($J$6*0.8),1,0)</f>
        <v/>
      </c>
      <c r="M8" s="49">
        <f>IF(J8&gt;=($J$6*0.9),1,0)</f>
        <v/>
      </c>
      <c r="N8" s="80" t="n">
        <v>24</v>
      </c>
      <c r="O8" s="49">
        <f>IF(N8&gt;=($N$6*0.7),1,0)</f>
        <v/>
      </c>
      <c r="P8" s="49">
        <f>IF(N8&gt;=($N$6*0.8),1,0)</f>
        <v/>
      </c>
      <c r="Q8" s="49">
        <f>IF(N8&gt;=($N$6*0.9),1,0)</f>
        <v/>
      </c>
      <c r="R8" t="n">
        <v>59</v>
      </c>
      <c r="S8" s="48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</row>
    <row r="9" ht="19.5" customHeight="1" s="98">
      <c r="A9" s="47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53" t="n"/>
      <c r="E9" s="53" t="n"/>
      <c r="F9" s="80" t="n">
        <v>11</v>
      </c>
      <c r="G9" s="49">
        <f>IF(F9&gt;=($F$6*0.5),1,0)</f>
        <v/>
      </c>
      <c r="H9" s="49">
        <f>IF(F9&gt;=($F$6*0.6),1,0)</f>
        <v/>
      </c>
      <c r="I9" s="49">
        <f>IF(F9&gt;=($F$6*0.7),1,0)</f>
        <v/>
      </c>
      <c r="J9" s="80" t="n">
        <v>20</v>
      </c>
      <c r="K9" s="49">
        <f>IF(J9&gt;=($J$6*0.7),1,0)</f>
        <v/>
      </c>
      <c r="L9" s="49">
        <f>IF(J9&gt;=($J$6*0.8),1,0)</f>
        <v/>
      </c>
      <c r="M9" s="49">
        <f>IF(J9&gt;=($J$6*0.9),1,0)</f>
        <v/>
      </c>
      <c r="N9" s="80" t="n">
        <v>19</v>
      </c>
      <c r="O9" s="49">
        <f>IF(N9&gt;=($N$6*0.7),1,0)</f>
        <v/>
      </c>
      <c r="P9" s="49">
        <f>IF(N9&gt;=($N$6*0.8),1,0)</f>
        <v/>
      </c>
      <c r="Q9" s="49">
        <f>IF(N9&gt;=($N$6*0.9),1,0)</f>
        <v/>
      </c>
      <c r="R9" s="80" t="n">
        <v>50</v>
      </c>
      <c r="S9" s="48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</row>
    <row r="10" ht="19.5" customHeight="1" s="98">
      <c r="A10" s="47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53" t="n"/>
      <c r="E10" s="53" t="n"/>
      <c r="F10" s="80" t="n">
        <v>14</v>
      </c>
      <c r="G10" s="49">
        <f>IF(F10&gt;=($F$6*0.5),1,0)</f>
        <v/>
      </c>
      <c r="H10" s="49">
        <f>IF(F10&gt;=($F$6*0.6),1,0)</f>
        <v/>
      </c>
      <c r="I10" s="49">
        <f>IF(F10&gt;=($F$6*0.7),1,0)</f>
        <v/>
      </c>
      <c r="J10" s="80" t="n">
        <v>28</v>
      </c>
      <c r="K10" s="49">
        <f>IF(J10&gt;=($J$6*0.7),1,0)</f>
        <v/>
      </c>
      <c r="L10" s="49">
        <f>IF(J10&gt;=($J$6*0.8),1,0)</f>
        <v/>
      </c>
      <c r="M10" s="49">
        <f>IF(J10&gt;=($J$6*0.9),1,0)</f>
        <v/>
      </c>
      <c r="N10" s="80" t="n">
        <v>28</v>
      </c>
      <c r="O10" s="49">
        <f>IF(N10&gt;=($N$6*0.7),1,0)</f>
        <v/>
      </c>
      <c r="P10" s="49">
        <f>IF(N10&gt;=($N$6*0.8),1,0)</f>
        <v/>
      </c>
      <c r="Q10" s="49">
        <f>IF(N10&gt;=($N$6*0.9),1,0)</f>
        <v/>
      </c>
      <c r="R10" s="80" t="n">
        <v>70</v>
      </c>
      <c r="S10" s="48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</row>
    <row r="11" ht="19.5" customHeight="1" s="98">
      <c r="A11" s="47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53" t="n"/>
      <c r="E11" s="53" t="n"/>
      <c r="F11" s="80" t="n">
        <v>9</v>
      </c>
      <c r="G11" s="49">
        <f>IF(F11&gt;=($F$6*0.5),1,0)</f>
        <v/>
      </c>
      <c r="H11" s="49">
        <f>IF(F11&gt;=($F$6*0.6),1,0)</f>
        <v/>
      </c>
      <c r="I11" s="49">
        <f>IF(F11&gt;=($F$6*0.7),1,0)</f>
        <v/>
      </c>
      <c r="J11" s="80" t="n">
        <v>13</v>
      </c>
      <c r="K11" s="49">
        <f>IF(J11&gt;=($J$6*0.7),1,0)</f>
        <v/>
      </c>
      <c r="L11" s="49">
        <f>IF(J11&gt;=($J$6*0.8),1,0)</f>
        <v/>
      </c>
      <c r="M11" s="49">
        <f>IF(J11&gt;=($J$6*0.9),1,0)</f>
        <v/>
      </c>
      <c r="N11" s="80" t="n">
        <v>13</v>
      </c>
      <c r="O11" s="49">
        <f>IF(N11&gt;=($N$6*0.7),1,0)</f>
        <v/>
      </c>
      <c r="P11" s="49">
        <f>IF(N11&gt;=($N$6*0.8),1,0)</f>
        <v/>
      </c>
      <c r="Q11" s="49">
        <f>IF(N11&gt;=($N$6*0.9),1,0)</f>
        <v/>
      </c>
      <c r="R11" s="80" t="n">
        <v>35</v>
      </c>
      <c r="S11" s="48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</row>
    <row r="12" ht="19.5" customHeight="1" s="98">
      <c r="A12" s="47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53" t="n"/>
      <c r="E12" s="53" t="n"/>
      <c r="F12" s="80" t="n">
        <v>11</v>
      </c>
      <c r="G12" s="49">
        <f>IF(F12&gt;=($F$6*0.5),1,0)</f>
        <v/>
      </c>
      <c r="H12" s="49">
        <f>IF(F12&gt;=($F$6*0.6),1,0)</f>
        <v/>
      </c>
      <c r="I12" s="49">
        <f>IF(F12&gt;=($F$6*0.7),1,0)</f>
        <v/>
      </c>
      <c r="J12" s="80" t="n">
        <v>20</v>
      </c>
      <c r="K12" s="49">
        <f>IF(J12&gt;=($J$6*0.7),1,0)</f>
        <v/>
      </c>
      <c r="L12" s="49">
        <f>IF(J12&gt;=($J$6*0.8),1,0)</f>
        <v/>
      </c>
      <c r="M12" s="49">
        <f>IF(J12&gt;=($J$6*0.9),1,0)</f>
        <v/>
      </c>
      <c r="N12" s="80" t="n">
        <v>20</v>
      </c>
      <c r="O12" s="49">
        <f>IF(N12&gt;=($N$6*0.7),1,0)</f>
        <v/>
      </c>
      <c r="P12" s="49">
        <f>IF(N12&gt;=($N$6*0.8),1,0)</f>
        <v/>
      </c>
      <c r="Q12" s="49">
        <f>IF(N12&gt;=($N$6*0.9),1,0)</f>
        <v/>
      </c>
      <c r="R12" t="n">
        <v>51</v>
      </c>
      <c r="S12" s="48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</row>
    <row r="13" ht="19.5" customHeight="1" s="98">
      <c r="A13" s="47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53" t="n"/>
      <c r="E13" s="53" t="n"/>
      <c r="F13" s="80" t="n">
        <v>11</v>
      </c>
      <c r="G13" s="49">
        <f>IF(F13&gt;=($F$6*0.5),1,0)</f>
        <v/>
      </c>
      <c r="H13" s="49">
        <f>IF(F13&gt;=($F$6*0.6),1,0)</f>
        <v/>
      </c>
      <c r="I13" s="49">
        <f>IF(F13&gt;=($F$6*0.7),1,0)</f>
        <v/>
      </c>
      <c r="J13" s="80" t="n">
        <v>20</v>
      </c>
      <c r="K13" s="49">
        <f>IF(J13&gt;=($J$6*0.7),1,0)</f>
        <v/>
      </c>
      <c r="L13" s="49">
        <f>IF(J13&gt;=($J$6*0.8),1,0)</f>
        <v/>
      </c>
      <c r="M13" s="49">
        <f>IF(J13&gt;=($J$6*0.9),1,0)</f>
        <v/>
      </c>
      <c r="N13" s="80" t="n">
        <v>23</v>
      </c>
      <c r="O13" s="49">
        <f>IF(N13&gt;=($N$6*0.7),1,0)</f>
        <v/>
      </c>
      <c r="P13" s="49">
        <f>IF(N13&gt;=($N$6*0.8),1,0)</f>
        <v/>
      </c>
      <c r="Q13" s="49">
        <f>IF(N13&gt;=($N$6*0.9),1,0)</f>
        <v/>
      </c>
      <c r="R13" s="80" t="n">
        <v>54</v>
      </c>
      <c r="S13" s="48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</row>
    <row r="14" ht="19.5" customHeight="1" s="98">
      <c r="A14" s="47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53" t="n"/>
      <c r="E14" s="53" t="n"/>
      <c r="F14" s="80" t="n">
        <v>13</v>
      </c>
      <c r="G14" s="49">
        <f>IF(F14&gt;=($F$6*0.5),1,0)</f>
        <v/>
      </c>
      <c r="H14" s="49">
        <f>IF(F14&gt;=($F$6*0.6),1,0)</f>
        <v/>
      </c>
      <c r="I14" s="49">
        <f>IF(F14&gt;=($F$6*0.7),1,0)</f>
        <v/>
      </c>
      <c r="J14" s="80" t="n">
        <v>26</v>
      </c>
      <c r="K14" s="49">
        <f>IF(J14&gt;=($J$6*0.7),1,0)</f>
        <v/>
      </c>
      <c r="L14" s="49">
        <f>IF(J14&gt;=($J$6*0.8),1,0)</f>
        <v/>
      </c>
      <c r="M14" s="49">
        <f>IF(J14&gt;=($J$6*0.9),1,0)</f>
        <v/>
      </c>
      <c r="N14" s="80" t="n">
        <v>25</v>
      </c>
      <c r="O14" s="49">
        <f>IF(N14&gt;=($N$6*0.7),1,0)</f>
        <v/>
      </c>
      <c r="P14" s="49">
        <f>IF(N14&gt;=($N$6*0.8),1,0)</f>
        <v/>
      </c>
      <c r="Q14" s="49">
        <f>IF(N14&gt;=($N$6*0.9),1,0)</f>
        <v/>
      </c>
      <c r="R14" s="80" t="n">
        <v>64</v>
      </c>
      <c r="S14" s="48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</row>
    <row r="15" ht="19.5" customHeight="1" s="98">
      <c r="A15" s="47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53" t="n"/>
      <c r="E15" s="53" t="n"/>
      <c r="F15" s="80" t="n">
        <v>13</v>
      </c>
      <c r="G15" s="49">
        <f>IF(F15&gt;=($F$6*0.5),1,0)</f>
        <v/>
      </c>
      <c r="H15" s="49">
        <f>IF(F15&gt;=($F$6*0.6),1,0)</f>
        <v/>
      </c>
      <c r="I15" s="49">
        <f>IF(F15&gt;=($F$6*0.7),1,0)</f>
        <v/>
      </c>
      <c r="J15" s="80" t="n">
        <v>22</v>
      </c>
      <c r="K15" s="49">
        <f>IF(J15&gt;=($J$6*0.7),1,0)</f>
        <v/>
      </c>
      <c r="L15" s="49">
        <f>IF(J15&gt;=($J$6*0.8),1,0)</f>
        <v/>
      </c>
      <c r="M15" s="49">
        <f>IF(J15&gt;=($J$6*0.9),1,0)</f>
        <v/>
      </c>
      <c r="N15" s="80" t="n">
        <v>22</v>
      </c>
      <c r="O15" s="49">
        <f>IF(N15&gt;=($N$6*0.7),1,0)</f>
        <v/>
      </c>
      <c r="P15" s="49">
        <f>IF(N15&gt;=($N$6*0.8),1,0)</f>
        <v/>
      </c>
      <c r="Q15" s="49">
        <f>IF(N15&gt;=($N$6*0.9),1,0)</f>
        <v/>
      </c>
      <c r="R15" t="n">
        <v>57</v>
      </c>
      <c r="S15" s="48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</row>
    <row r="16" ht="19.5" customHeight="1" s="98">
      <c r="A16" s="47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53" t="n"/>
      <c r="E16" s="53" t="n"/>
      <c r="F16" s="80" t="n">
        <v>13</v>
      </c>
      <c r="G16" s="49">
        <f>IF(F16&gt;=($F$6*0.5),1,0)</f>
        <v/>
      </c>
      <c r="H16" s="49">
        <f>IF(F16&gt;=($F$6*0.6),1,0)</f>
        <v/>
      </c>
      <c r="I16" s="49">
        <f>IF(F16&gt;=($F$6*0.7),1,0)</f>
        <v/>
      </c>
      <c r="J16" s="80" t="n">
        <v>23</v>
      </c>
      <c r="K16" s="49">
        <f>IF(J16&gt;=($J$6*0.7),1,0)</f>
        <v/>
      </c>
      <c r="L16" s="49">
        <f>IF(J16&gt;=($J$6*0.8),1,0)</f>
        <v/>
      </c>
      <c r="M16" s="49">
        <f>IF(J16&gt;=($J$6*0.9),1,0)</f>
        <v/>
      </c>
      <c r="N16" s="80" t="n">
        <v>20</v>
      </c>
      <c r="O16" s="49">
        <f>IF(N16&gt;=($N$6*0.7),1,0)</f>
        <v/>
      </c>
      <c r="P16" s="49">
        <f>IF(N16&gt;=($N$6*0.8),1,0)</f>
        <v/>
      </c>
      <c r="Q16" s="49">
        <f>IF(N16&gt;=($N$6*0.9),1,0)</f>
        <v/>
      </c>
      <c r="R16" s="80" t="n">
        <v>56</v>
      </c>
      <c r="S16" s="48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</row>
    <row r="17" ht="19.5" customHeight="1" s="98">
      <c r="A17" s="47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s="53" t="n"/>
      <c r="E17" s="53" t="n"/>
      <c r="F17" t="n">
        <v>14</v>
      </c>
      <c r="G17" s="49">
        <f>IF(F17&gt;=($F$6*0.5),1,0)</f>
        <v/>
      </c>
      <c r="H17" s="49">
        <f>IF(F17&gt;=($F$6*0.6),1,0)</f>
        <v/>
      </c>
      <c r="I17" s="49">
        <f>IF(F17&gt;=($F$6*0.7),1,0)</f>
        <v/>
      </c>
      <c r="J17" t="n">
        <v>28</v>
      </c>
      <c r="K17" s="49">
        <f>IF(J17&gt;=($J$6*0.7),1,0)</f>
        <v/>
      </c>
      <c r="L17" s="49">
        <f>IF(J17&gt;=($J$6*0.8),1,0)</f>
        <v/>
      </c>
      <c r="M17" s="49">
        <f>IF(J17&gt;=($J$6*0.9),1,0)</f>
        <v/>
      </c>
      <c r="N17" t="n">
        <v>28</v>
      </c>
      <c r="O17" s="49">
        <f>IF(N17&gt;=($N$6*0.7),1,0)</f>
        <v/>
      </c>
      <c r="P17" s="49">
        <f>IF(N17&gt;=($N$6*0.8),1,0)</f>
        <v/>
      </c>
      <c r="Q17" s="49">
        <f>IF(N17&gt;=($N$6*0.9),1,0)</f>
        <v/>
      </c>
      <c r="R17" t="n">
        <v>70</v>
      </c>
      <c r="S17" s="48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</row>
    <row r="18" ht="19.5" customHeight="1" s="98">
      <c r="A18" s="47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53" t="n"/>
      <c r="E18" s="53" t="n"/>
      <c r="F18" s="80" t="n">
        <v>13</v>
      </c>
      <c r="G18" s="49">
        <f>IF(F18&gt;=($F$6*0.5),1,0)</f>
        <v/>
      </c>
      <c r="H18" s="49">
        <f>IF(F18&gt;=($F$6*0.6),1,0)</f>
        <v/>
      </c>
      <c r="I18" s="49">
        <f>IF(F18&gt;=($F$6*0.7),1,0)</f>
        <v/>
      </c>
      <c r="J18" s="80" t="n">
        <v>23</v>
      </c>
      <c r="K18" s="49">
        <f>IF(J18&gt;=($J$6*0.7),1,0)</f>
        <v/>
      </c>
      <c r="L18" s="49">
        <f>IF(J18&gt;=($J$6*0.8),1,0)</f>
        <v/>
      </c>
      <c r="M18" s="49">
        <f>IF(J18&gt;=($J$6*0.9),1,0)</f>
        <v/>
      </c>
      <c r="N18" s="80" t="n">
        <v>25</v>
      </c>
      <c r="O18" s="49">
        <f>IF(N18&gt;=($N$6*0.7),1,0)</f>
        <v/>
      </c>
      <c r="P18" s="49">
        <f>IF(N18&gt;=($N$6*0.8),1,0)</f>
        <v/>
      </c>
      <c r="Q18" s="49">
        <f>IF(N18&gt;=($N$6*0.9),1,0)</f>
        <v/>
      </c>
      <c r="R18" t="n">
        <v>61</v>
      </c>
      <c r="S18" s="48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</row>
    <row r="19" ht="19.5" customHeight="1" s="98">
      <c r="A19" s="47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s="53" t="n"/>
      <c r="E19" s="53" t="n"/>
      <c r="F19" t="n">
        <v>13</v>
      </c>
      <c r="G19" s="49">
        <f>IF(F19&gt;=($F$6*0.5),1,0)</f>
        <v/>
      </c>
      <c r="H19" s="49">
        <f>IF(F19&gt;=($F$6*0.6),1,0)</f>
        <v/>
      </c>
      <c r="I19" s="49">
        <f>IF(F19&gt;=($F$6*0.7),1,0)</f>
        <v/>
      </c>
      <c r="J19" t="n">
        <v>22</v>
      </c>
      <c r="K19" s="49">
        <f>IF(J19&gt;=($J$6*0.7),1,0)</f>
        <v/>
      </c>
      <c r="L19" s="49">
        <f>IF(J19&gt;=($J$6*0.8),1,0)</f>
        <v/>
      </c>
      <c r="M19" s="49">
        <f>IF(J19&gt;=($J$6*0.9),1,0)</f>
        <v/>
      </c>
      <c r="N19" t="n">
        <v>21</v>
      </c>
      <c r="O19" s="49">
        <f>IF(N19&gt;=($N$6*0.7),1,0)</f>
        <v/>
      </c>
      <c r="P19" s="49">
        <f>IF(N19&gt;=($N$6*0.8),1,0)</f>
        <v/>
      </c>
      <c r="Q19" s="49">
        <f>IF(N19&gt;=($N$6*0.9),1,0)</f>
        <v/>
      </c>
      <c r="R19" t="n">
        <v>56</v>
      </c>
      <c r="S19" s="48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</row>
    <row r="20" ht="19.5" customHeight="1" s="98">
      <c r="A20" s="47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53" t="n"/>
      <c r="E20" s="53" t="n"/>
      <c r="F20" s="80" t="n">
        <v>13</v>
      </c>
      <c r="G20" s="49">
        <f>IF(F20&gt;=($F$6*0.5),1,0)</f>
        <v/>
      </c>
      <c r="H20" s="49">
        <f>IF(F20&gt;=($F$6*0.6),1,0)</f>
        <v/>
      </c>
      <c r="I20" s="49">
        <f>IF(F20&gt;=($F$6*0.7),1,0)</f>
        <v/>
      </c>
      <c r="J20" s="80" t="n">
        <v>22</v>
      </c>
      <c r="K20" s="49">
        <f>IF(J20&gt;=($J$6*0.7),1,0)</f>
        <v/>
      </c>
      <c r="L20" s="49">
        <f>IF(J20&gt;=($J$6*0.8),1,0)</f>
        <v/>
      </c>
      <c r="M20" s="49">
        <f>IF(J20&gt;=($J$6*0.9),1,0)</f>
        <v/>
      </c>
      <c r="N20" s="80" t="n">
        <v>22</v>
      </c>
      <c r="O20" s="49">
        <f>IF(N20&gt;=($N$6*0.7),1,0)</f>
        <v/>
      </c>
      <c r="P20" s="49">
        <f>IF(N20&gt;=($N$6*0.8),1,0)</f>
        <v/>
      </c>
      <c r="Q20" s="49">
        <f>IF(N20&gt;=($N$6*0.9),1,0)</f>
        <v/>
      </c>
      <c r="R20" s="80" t="n">
        <v>57</v>
      </c>
      <c r="S20" s="48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</row>
    <row r="21" ht="19.5" customHeight="1" s="98">
      <c r="A21" s="47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53" t="n"/>
      <c r="E21" s="53" t="n"/>
      <c r="F21" s="80" t="n">
        <v>9</v>
      </c>
      <c r="G21" s="49">
        <f>IF(F21&gt;=($F$6*0.5),1,0)</f>
        <v/>
      </c>
      <c r="H21" s="49">
        <f>IF(F21&gt;=($F$6*0.6),1,0)</f>
        <v/>
      </c>
      <c r="I21" s="49">
        <f>IF(F21&gt;=($F$6*0.7),1,0)</f>
        <v/>
      </c>
      <c r="J21" s="80" t="n">
        <v>16</v>
      </c>
      <c r="K21" s="49">
        <f>IF(J21&gt;=($J$6*0.7),1,0)</f>
        <v/>
      </c>
      <c r="L21" s="49">
        <f>IF(J21&gt;=($J$6*0.8),1,0)</f>
        <v/>
      </c>
      <c r="M21" s="49">
        <f>IF(J21&gt;=($J$6*0.9),1,0)</f>
        <v/>
      </c>
      <c r="N21" s="80" t="n">
        <v>16</v>
      </c>
      <c r="O21" s="49">
        <f>IF(N21&gt;=($N$6*0.7),1,0)</f>
        <v/>
      </c>
      <c r="P21" s="49">
        <f>IF(N21&gt;=($N$6*0.8),1,0)</f>
        <v/>
      </c>
      <c r="Q21" s="49">
        <f>IF(N21&gt;=($N$6*0.9),1,0)</f>
        <v/>
      </c>
      <c r="R21" s="80" t="n">
        <v>41</v>
      </c>
      <c r="S21" s="48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</row>
    <row r="22" ht="19.5" customHeight="1" s="98">
      <c r="A22" s="47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53" t="n"/>
      <c r="E22" s="53" t="n"/>
      <c r="F22" s="80" t="n">
        <v>14</v>
      </c>
      <c r="G22" s="49">
        <f>IF(F22&gt;=($F$6*0.5),1,0)</f>
        <v/>
      </c>
      <c r="H22" s="49">
        <f>IF(F22&gt;=($F$6*0.6),1,0)</f>
        <v/>
      </c>
      <c r="I22" s="49">
        <f>IF(F22&gt;=($F$6*0.7),1,0)</f>
        <v/>
      </c>
      <c r="J22" s="80" t="n">
        <v>28</v>
      </c>
      <c r="K22" s="49">
        <f>IF(J22&gt;=($J$6*0.7),1,0)</f>
        <v/>
      </c>
      <c r="L22" s="49">
        <f>IF(J22&gt;=($J$6*0.8),1,0)</f>
        <v/>
      </c>
      <c r="M22" s="49">
        <f>IF(J22&gt;=($J$6*0.9),1,0)</f>
        <v/>
      </c>
      <c r="N22" s="80" t="n">
        <v>28</v>
      </c>
      <c r="O22" s="49">
        <f>IF(N22&gt;=($N$6*0.7),1,0)</f>
        <v/>
      </c>
      <c r="P22" s="49">
        <f>IF(N22&gt;=($N$6*0.8),1,0)</f>
        <v/>
      </c>
      <c r="Q22" s="49">
        <f>IF(N22&gt;=($N$6*0.9),1,0)</f>
        <v/>
      </c>
      <c r="R22" t="n">
        <v>70</v>
      </c>
      <c r="S22" s="48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</row>
    <row r="23" ht="19.5" customHeight="1" s="98">
      <c r="A23" s="47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53" t="n"/>
      <c r="E23" s="53" t="n"/>
      <c r="F23" s="80" t="n">
        <v>13</v>
      </c>
      <c r="G23" s="49">
        <f>IF(F23&gt;=($F$6*0.5),1,0)</f>
        <v/>
      </c>
      <c r="H23" s="49">
        <f>IF(F23&gt;=($F$6*0.6),1,0)</f>
        <v/>
      </c>
      <c r="I23" s="49">
        <f>IF(F23&gt;=($F$6*0.7),1,0)</f>
        <v/>
      </c>
      <c r="J23" s="80" t="n">
        <v>20</v>
      </c>
      <c r="K23" s="49">
        <f>IF(J23&gt;=($J$6*0.7),1,0)</f>
        <v/>
      </c>
      <c r="L23" s="49">
        <f>IF(J23&gt;=($J$6*0.8),1,0)</f>
        <v/>
      </c>
      <c r="M23" s="49">
        <f>IF(J23&gt;=($J$6*0.9),1,0)</f>
        <v/>
      </c>
      <c r="N23" s="80" t="n">
        <v>23</v>
      </c>
      <c r="O23" s="49">
        <f>IF(N23&gt;=($N$6*0.7),1,0)</f>
        <v/>
      </c>
      <c r="P23" s="49">
        <f>IF(N23&gt;=($N$6*0.8),1,0)</f>
        <v/>
      </c>
      <c r="Q23" s="49">
        <f>IF(N23&gt;=($N$6*0.9),1,0)</f>
        <v/>
      </c>
      <c r="R23" s="80" t="n">
        <v>56</v>
      </c>
      <c r="S23" s="48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</row>
    <row r="24" ht="19.5" customHeight="1" s="98">
      <c r="A24" s="47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53" t="n"/>
      <c r="E24" s="53" t="n"/>
      <c r="F24" s="80" t="n">
        <v>13</v>
      </c>
      <c r="G24" s="49">
        <f>IF(F24&gt;=($F$6*0.5),1,0)</f>
        <v/>
      </c>
      <c r="H24" s="49">
        <f>IF(F24&gt;=($F$6*0.6),1,0)</f>
        <v/>
      </c>
      <c r="I24" s="49">
        <f>IF(F24&gt;=($F$6*0.7),1,0)</f>
        <v/>
      </c>
      <c r="J24" s="80" t="n">
        <v>26</v>
      </c>
      <c r="K24" s="49">
        <f>IF(J24&gt;=($J$6*0.7),1,0)</f>
        <v/>
      </c>
      <c r="L24" s="49">
        <f>IF(J24&gt;=($J$6*0.8),1,0)</f>
        <v/>
      </c>
      <c r="M24" s="49">
        <f>IF(J24&gt;=($J$6*0.9),1,0)</f>
        <v/>
      </c>
      <c r="N24" s="80" t="n">
        <v>24</v>
      </c>
      <c r="O24" s="49">
        <f>IF(N24&gt;=($N$6*0.7),1,0)</f>
        <v/>
      </c>
      <c r="P24" s="49">
        <f>IF(N24&gt;=($N$6*0.8),1,0)</f>
        <v/>
      </c>
      <c r="Q24" s="49">
        <f>IF(N24&gt;=($N$6*0.9),1,0)</f>
        <v/>
      </c>
      <c r="R24" s="80" t="n">
        <v>63</v>
      </c>
      <c r="S24" s="48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</row>
    <row r="25" ht="19.5" customHeight="1" s="98">
      <c r="A25" s="47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53" t="n"/>
      <c r="E25" s="53" t="n"/>
      <c r="F25" s="80" t="n">
        <v>14</v>
      </c>
      <c r="G25" s="49">
        <f>IF(F25&gt;=($F$6*0.5),1,0)</f>
        <v/>
      </c>
      <c r="H25" s="49">
        <f>IF(F25&gt;=($F$6*0.6),1,0)</f>
        <v/>
      </c>
      <c r="I25" s="49">
        <f>IF(F25&gt;=($F$6*0.7),1,0)</f>
        <v/>
      </c>
      <c r="J25" s="80" t="n">
        <v>28</v>
      </c>
      <c r="K25" s="49">
        <f>IF(J25&gt;=($J$6*0.7),1,0)</f>
        <v/>
      </c>
      <c r="L25" s="49">
        <f>IF(J25&gt;=($J$6*0.8),1,0)</f>
        <v/>
      </c>
      <c r="M25" s="49">
        <f>IF(J25&gt;=($J$6*0.9),1,0)</f>
        <v/>
      </c>
      <c r="N25" s="80" t="n">
        <v>28</v>
      </c>
      <c r="O25" s="49">
        <f>IF(N25&gt;=($N$6*0.7),1,0)</f>
        <v/>
      </c>
      <c r="P25" s="49">
        <f>IF(N25&gt;=($N$6*0.8),1,0)</f>
        <v/>
      </c>
      <c r="Q25" s="49">
        <f>IF(N25&gt;=($N$6*0.9),1,0)</f>
        <v/>
      </c>
      <c r="R25" s="80" t="n">
        <v>70</v>
      </c>
      <c r="S25" s="48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</row>
    <row r="26" ht="19.5" customHeight="1" s="98">
      <c r="A26" s="47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53" t="n"/>
      <c r="E26" s="53" t="n"/>
      <c r="F26" s="80" t="n">
        <v>14</v>
      </c>
      <c r="G26" s="49">
        <f>IF(F26&gt;=($F$6*0.5),1,0)</f>
        <v/>
      </c>
      <c r="H26" s="49">
        <f>IF(F26&gt;=($F$6*0.6),1,0)</f>
        <v/>
      </c>
      <c r="I26" s="49">
        <f>IF(F26&gt;=($F$6*0.7),1,0)</f>
        <v/>
      </c>
      <c r="J26" s="80" t="n">
        <v>28</v>
      </c>
      <c r="K26" s="49">
        <f>IF(J26&gt;=($J$6*0.7),1,0)</f>
        <v/>
      </c>
      <c r="L26" s="49">
        <f>IF(J26&gt;=($J$6*0.8),1,0)</f>
        <v/>
      </c>
      <c r="M26" s="49">
        <f>IF(J26&gt;=($J$6*0.9),1,0)</f>
        <v/>
      </c>
      <c r="N26" s="80" t="n">
        <v>28</v>
      </c>
      <c r="O26" s="49">
        <f>IF(N26&gt;=($N$6*0.7),1,0)</f>
        <v/>
      </c>
      <c r="P26" s="49">
        <f>IF(N26&gt;=($N$6*0.8),1,0)</f>
        <v/>
      </c>
      <c r="Q26" s="49">
        <f>IF(N26&gt;=($N$6*0.9),1,0)</f>
        <v/>
      </c>
      <c r="R26" s="80" t="n">
        <v>70</v>
      </c>
      <c r="S26" s="48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</row>
    <row r="27" ht="19.5" customHeight="1" s="98">
      <c r="A27" s="47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53" t="n"/>
      <c r="E27" s="53" t="n"/>
      <c r="F27" s="80" t="n">
        <v>13</v>
      </c>
      <c r="G27" s="49">
        <f>IF(F27&gt;=($F$6*0.5),1,0)</f>
        <v/>
      </c>
      <c r="H27" s="49">
        <f>IF(F27&gt;=($F$6*0.6),1,0)</f>
        <v/>
      </c>
      <c r="I27" s="49">
        <f>IF(F27&gt;=($F$6*0.7),1,0)</f>
        <v/>
      </c>
      <c r="J27" s="80" t="n">
        <v>22</v>
      </c>
      <c r="K27" s="49">
        <f>IF(J27&gt;=($J$6*0.7),1,0)</f>
        <v/>
      </c>
      <c r="L27" s="49">
        <f>IF(J27&gt;=($J$6*0.8),1,0)</f>
        <v/>
      </c>
      <c r="M27" s="49">
        <f>IF(J27&gt;=($J$6*0.9),1,0)</f>
        <v/>
      </c>
      <c r="N27" s="80" t="n">
        <v>22</v>
      </c>
      <c r="O27" s="49">
        <f>IF(N27&gt;=($N$6*0.7),1,0)</f>
        <v/>
      </c>
      <c r="P27" s="49">
        <f>IF(N27&gt;=($N$6*0.8),1,0)</f>
        <v/>
      </c>
      <c r="Q27" s="49">
        <f>IF(N27&gt;=($N$6*0.9),1,0)</f>
        <v/>
      </c>
      <c r="R27" t="n">
        <v>57</v>
      </c>
      <c r="S27" s="48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</row>
    <row r="28" ht="19.5" customHeight="1" s="98">
      <c r="A28" s="47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s="53" t="n"/>
      <c r="E28" s="53" t="n"/>
      <c r="F28" t="n">
        <v>13</v>
      </c>
      <c r="G28" s="49">
        <f>IF(F28&gt;=($F$6*0.5),1,0)</f>
        <v/>
      </c>
      <c r="H28" s="49">
        <f>IF(F28&gt;=($F$6*0.6),1,0)</f>
        <v/>
      </c>
      <c r="I28" s="49">
        <f>IF(F28&gt;=($F$6*0.7),1,0)</f>
        <v/>
      </c>
      <c r="J28" t="n">
        <v>24</v>
      </c>
      <c r="K28" s="49">
        <f>IF(J28&gt;=($J$6*0.7),1,0)</f>
        <v/>
      </c>
      <c r="L28" s="49">
        <f>IF(J28&gt;=($J$6*0.8),1,0)</f>
        <v/>
      </c>
      <c r="M28" s="49">
        <f>IF(J28&gt;=($J$6*0.9),1,0)</f>
        <v/>
      </c>
      <c r="N28" t="n">
        <v>26</v>
      </c>
      <c r="O28" s="49">
        <f>IF(N28&gt;=($N$6*0.7),1,0)</f>
        <v/>
      </c>
      <c r="P28" s="49">
        <f>IF(N28&gt;=($N$6*0.8),1,0)</f>
        <v/>
      </c>
      <c r="Q28" s="49">
        <f>IF(N28&gt;=($N$6*0.9),1,0)</f>
        <v/>
      </c>
      <c r="R28" t="n">
        <v>63</v>
      </c>
      <c r="S28" s="48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</row>
    <row r="29" ht="19.5" customHeight="1" s="98">
      <c r="A29" s="47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53" t="n"/>
      <c r="E29" s="53" t="n"/>
      <c r="F29" s="80" t="n">
        <v>13</v>
      </c>
      <c r="G29" s="49">
        <f>IF(F29&gt;=($F$6*0.5),1,0)</f>
        <v/>
      </c>
      <c r="H29" s="49">
        <f>IF(F29&gt;=($F$6*0.6),1,0)</f>
        <v/>
      </c>
      <c r="I29" s="49">
        <f>IF(F29&gt;=($F$6*0.7),1,0)</f>
        <v/>
      </c>
      <c r="J29" s="80" t="n">
        <v>25</v>
      </c>
      <c r="K29" s="49">
        <f>IF(J29&gt;=($J$6*0.7),1,0)</f>
        <v/>
      </c>
      <c r="L29" s="49">
        <f>IF(J29&gt;=($J$6*0.8),1,0)</f>
        <v/>
      </c>
      <c r="M29" s="49">
        <f>IF(J29&gt;=($J$6*0.9),1,0)</f>
        <v/>
      </c>
      <c r="N29" s="80" t="n">
        <v>23</v>
      </c>
      <c r="O29" s="49">
        <f>IF(N29&gt;=($N$6*0.7),1,0)</f>
        <v/>
      </c>
      <c r="P29" s="49">
        <f>IF(N29&gt;=($N$6*0.8),1,0)</f>
        <v/>
      </c>
      <c r="Q29" s="49">
        <f>IF(N29&gt;=($N$6*0.9),1,0)</f>
        <v/>
      </c>
      <c r="R29" t="n">
        <v>61</v>
      </c>
      <c r="S29" s="48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</row>
    <row r="30" ht="19.5" customHeight="1" s="98">
      <c r="A30" s="47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53" t="n"/>
      <c r="E30" s="53" t="n"/>
      <c r="F30" s="80" t="n">
        <v>11</v>
      </c>
      <c r="G30" s="49">
        <f>IF(F30&gt;=($F$6*0.5),1,0)</f>
        <v/>
      </c>
      <c r="H30" s="49">
        <f>IF(F30&gt;=($F$6*0.6),1,0)</f>
        <v/>
      </c>
      <c r="I30" s="49">
        <f>IF(F30&gt;=($F$6*0.7),1,0)</f>
        <v/>
      </c>
      <c r="J30" s="80" t="n">
        <v>18</v>
      </c>
      <c r="K30" s="49">
        <f>IF(J30&gt;=($J$6*0.7),1,0)</f>
        <v/>
      </c>
      <c r="L30" s="49">
        <f>IF(J30&gt;=($J$6*0.8),1,0)</f>
        <v/>
      </c>
      <c r="M30" s="49">
        <f>IF(J30&gt;=($J$6*0.9),1,0)</f>
        <v/>
      </c>
      <c r="N30" s="80" t="n">
        <v>18</v>
      </c>
      <c r="O30" s="49">
        <f>IF(N30&gt;=($N$6*0.7),1,0)</f>
        <v/>
      </c>
      <c r="P30" s="49">
        <f>IF(N30&gt;=($N$6*0.8),1,0)</f>
        <v/>
      </c>
      <c r="Q30" s="49">
        <f>IF(N30&gt;=($N$6*0.9),1,0)</f>
        <v/>
      </c>
      <c r="R30" s="80" t="n">
        <v>47</v>
      </c>
      <c r="S30" s="48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</row>
    <row r="31" ht="19.5" customHeight="1" s="98">
      <c r="A31" s="47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53" t="n"/>
      <c r="E31" s="53" t="n"/>
      <c r="F31" s="80" t="n">
        <v>13</v>
      </c>
      <c r="G31" s="49">
        <f>IF(F31&gt;=($F$6*0.5),1,0)</f>
        <v/>
      </c>
      <c r="H31" s="49">
        <f>IF(F31&gt;=($F$6*0.6),1,0)</f>
        <v/>
      </c>
      <c r="I31" s="49">
        <f>IF(F31&gt;=($F$6*0.7),1,0)</f>
        <v/>
      </c>
      <c r="J31" s="80" t="n">
        <v>24</v>
      </c>
      <c r="K31" s="49">
        <f>IF(J31&gt;=($J$6*0.7),1,0)</f>
        <v/>
      </c>
      <c r="L31" s="49">
        <f>IF(J31&gt;=($J$6*0.8),1,0)</f>
        <v/>
      </c>
      <c r="M31" s="49">
        <f>IF(J31&gt;=($J$6*0.9),1,0)</f>
        <v/>
      </c>
      <c r="N31" s="80" t="n">
        <v>21</v>
      </c>
      <c r="O31" s="49">
        <f>IF(N31&gt;=($N$6*0.7),1,0)</f>
        <v/>
      </c>
      <c r="P31" s="49">
        <f>IF(N31&gt;=($N$6*0.8),1,0)</f>
        <v/>
      </c>
      <c r="Q31" s="49">
        <f>IF(N31&gt;=($N$6*0.9),1,0)</f>
        <v/>
      </c>
      <c r="R31" s="80" t="n">
        <v>58</v>
      </c>
      <c r="S31" s="48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</row>
    <row r="32" ht="19.5" customHeight="1" s="98">
      <c r="A32" s="47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s="53" t="n"/>
      <c r="E32" s="53" t="n"/>
      <c r="F32" t="n">
        <v>11</v>
      </c>
      <c r="G32" s="49">
        <f>IF(F32&gt;=($F$6*0.5),1,0)</f>
        <v/>
      </c>
      <c r="H32" s="49">
        <f>IF(F32&gt;=($F$6*0.6),1,0)</f>
        <v/>
      </c>
      <c r="I32" s="49">
        <f>IF(F32&gt;=($F$6*0.7),1,0)</f>
        <v/>
      </c>
      <c r="J32" t="n">
        <v>20</v>
      </c>
      <c r="K32" s="49">
        <f>IF(J32&gt;=($J$6*0.7),1,0)</f>
        <v/>
      </c>
      <c r="L32" s="49">
        <f>IF(J32&gt;=($J$6*0.8),1,0)</f>
        <v/>
      </c>
      <c r="M32" s="49">
        <f>IF(J32&gt;=($J$6*0.9),1,0)</f>
        <v/>
      </c>
      <c r="N32" t="n">
        <v>21</v>
      </c>
      <c r="O32" s="49">
        <f>IF(N32&gt;=($N$6*0.7),1,0)</f>
        <v/>
      </c>
      <c r="P32" s="49">
        <f>IF(N32&gt;=($N$6*0.8),1,0)</f>
        <v/>
      </c>
      <c r="Q32" s="49">
        <f>IF(N32&gt;=($N$6*0.9),1,0)</f>
        <v/>
      </c>
      <c r="R32" t="n">
        <v>52</v>
      </c>
      <c r="S32" s="48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</row>
    <row r="33" ht="19.5" customHeight="1" s="98">
      <c r="A33" s="47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53" t="n"/>
      <c r="E33" s="53" t="n"/>
      <c r="F33" s="80" t="n">
        <v>13</v>
      </c>
      <c r="G33" s="49">
        <f>IF(F33&gt;=($F$6*0.5),1,0)</f>
        <v/>
      </c>
      <c r="H33" s="49">
        <f>IF(F33&gt;=($F$6*0.6),1,0)</f>
        <v/>
      </c>
      <c r="I33" s="49">
        <f>IF(F33&gt;=($F$6*0.7),1,0)</f>
        <v/>
      </c>
      <c r="J33" s="80" t="n">
        <v>24</v>
      </c>
      <c r="K33" s="49">
        <f>IF(J33&gt;=($J$6*0.7),1,0)</f>
        <v/>
      </c>
      <c r="L33" s="49">
        <f>IF(J33&gt;=($J$6*0.8),1,0)</f>
        <v/>
      </c>
      <c r="M33" s="49">
        <f>IF(J33&gt;=($J$6*0.9),1,0)</f>
        <v/>
      </c>
      <c r="N33" s="80" t="n">
        <v>27</v>
      </c>
      <c r="O33" s="49">
        <f>IF(N33&gt;=($N$6*0.7),1,0)</f>
        <v/>
      </c>
      <c r="P33" s="49">
        <f>IF(N33&gt;=($N$6*0.8),1,0)</f>
        <v/>
      </c>
      <c r="Q33" s="49">
        <f>IF(N33&gt;=($N$6*0.9),1,0)</f>
        <v/>
      </c>
      <c r="R33" s="80" t="n">
        <v>64</v>
      </c>
      <c r="S33" s="48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</row>
    <row r="34" ht="19.5" customHeight="1" s="98">
      <c r="A34" s="47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53" t="n"/>
      <c r="E34" s="53" t="n"/>
      <c r="F34" s="80" t="n">
        <v>13</v>
      </c>
      <c r="G34" s="49">
        <f>IF(F34&gt;=($F$6*0.5),1,0)</f>
        <v/>
      </c>
      <c r="H34" s="49">
        <f>IF(F34&gt;=($F$6*0.6),1,0)</f>
        <v/>
      </c>
      <c r="I34" s="49">
        <f>IF(F34&gt;=($F$6*0.7),1,0)</f>
        <v/>
      </c>
      <c r="J34" s="80" t="n">
        <v>22</v>
      </c>
      <c r="K34" s="49">
        <f>IF(J34&gt;=($J$6*0.7),1,0)</f>
        <v/>
      </c>
      <c r="L34" s="49">
        <f>IF(J34&gt;=($J$6*0.8),1,0)</f>
        <v/>
      </c>
      <c r="M34" s="49">
        <f>IF(J34&gt;=($J$6*0.9),1,0)</f>
        <v/>
      </c>
      <c r="N34" s="80" t="n">
        <v>21</v>
      </c>
      <c r="O34" s="49">
        <f>IF(N34&gt;=($N$6*0.7),1,0)</f>
        <v/>
      </c>
      <c r="P34" s="49">
        <f>IF(N34&gt;=($N$6*0.8),1,0)</f>
        <v/>
      </c>
      <c r="Q34" s="49">
        <f>IF(N34&gt;=($N$6*0.9),1,0)</f>
        <v/>
      </c>
      <c r="R34" t="n">
        <v>56</v>
      </c>
      <c r="S34" s="48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</row>
    <row r="35" ht="19.5" customHeight="1" s="98">
      <c r="A35" s="47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53" t="n"/>
      <c r="E35" s="53" t="n"/>
      <c r="F35" s="80" t="n">
        <v>14</v>
      </c>
      <c r="G35" s="49">
        <f>IF(F35&gt;=($F$6*0.5),1,0)</f>
        <v/>
      </c>
      <c r="H35" s="49">
        <f>IF(F35&gt;=($F$6*0.6),1,0)</f>
        <v/>
      </c>
      <c r="I35" s="49">
        <f>IF(F35&gt;=($F$6*0.7),1,0)</f>
        <v/>
      </c>
      <c r="J35" s="80" t="n">
        <v>28</v>
      </c>
      <c r="K35" s="49">
        <f>IF(J35&gt;=($J$6*0.7),1,0)</f>
        <v/>
      </c>
      <c r="L35" s="49">
        <f>IF(J35&gt;=($J$6*0.8),1,0)</f>
        <v/>
      </c>
      <c r="M35" s="49">
        <f>IF(J35&gt;=($J$6*0.9),1,0)</f>
        <v/>
      </c>
      <c r="N35" s="80" t="n">
        <v>28</v>
      </c>
      <c r="O35" s="49">
        <f>IF(N35&gt;=($N$6*0.7),1,0)</f>
        <v/>
      </c>
      <c r="P35" s="49">
        <f>IF(N35&gt;=($N$6*0.8),1,0)</f>
        <v/>
      </c>
      <c r="Q35" s="49">
        <f>IF(N35&gt;=($N$6*0.9),1,0)</f>
        <v/>
      </c>
      <c r="R35" s="80" t="n">
        <v>70</v>
      </c>
      <c r="S35" s="48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</row>
    <row r="36" ht="19.5" customHeight="1" s="98">
      <c r="A36" s="47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s="53" t="n"/>
      <c r="E36" s="53" t="n"/>
      <c r="F36" t="n">
        <v>9</v>
      </c>
      <c r="G36" s="49">
        <f>IF(F36&gt;=($F$6*0.5),1,0)</f>
        <v/>
      </c>
      <c r="H36" s="49">
        <f>IF(F36&gt;=($F$6*0.6),1,0)</f>
        <v/>
      </c>
      <c r="I36" s="49">
        <f>IF(F36&gt;=($F$6*0.7),1,0)</f>
        <v/>
      </c>
      <c r="J36" t="n">
        <v>14</v>
      </c>
      <c r="K36" s="49">
        <f>IF(J36&gt;=($J$6*0.7),1,0)</f>
        <v/>
      </c>
      <c r="L36" s="49">
        <f>IF(J36&gt;=($J$6*0.8),1,0)</f>
        <v/>
      </c>
      <c r="M36" s="49">
        <f>IF(J36&gt;=($J$6*0.9),1,0)</f>
        <v/>
      </c>
      <c r="N36" t="n">
        <v>14</v>
      </c>
      <c r="O36" s="49">
        <f>IF(N36&gt;=($N$6*0.7),1,0)</f>
        <v/>
      </c>
      <c r="P36" s="49">
        <f>IF(N36&gt;=($N$6*0.8),1,0)</f>
        <v/>
      </c>
      <c r="Q36" s="49">
        <f>IF(N36&gt;=($N$6*0.9),1,0)</f>
        <v/>
      </c>
      <c r="R36" t="n">
        <v>37</v>
      </c>
      <c r="S36" s="48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</row>
    <row r="37" ht="19.5" customHeight="1" s="98">
      <c r="A37" s="47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53" t="n"/>
      <c r="E37" s="53" t="n"/>
      <c r="F37" s="80" t="n">
        <v>11</v>
      </c>
      <c r="G37" s="49">
        <f>IF(F37&gt;=($F$6*0.5),1,0)</f>
        <v/>
      </c>
      <c r="H37" s="49">
        <f>IF(F37&gt;=($F$6*0.6),1,0)</f>
        <v/>
      </c>
      <c r="I37" s="49">
        <f>IF(F37&gt;=($F$6*0.7),1,0)</f>
        <v/>
      </c>
      <c r="J37" s="80" t="n">
        <v>21</v>
      </c>
      <c r="K37" s="49">
        <f>IF(J37&gt;=($J$6*0.7),1,0)</f>
        <v/>
      </c>
      <c r="L37" s="49">
        <f>IF(J37&gt;=($J$6*0.8),1,0)</f>
        <v/>
      </c>
      <c r="M37" s="49">
        <f>IF(J37&gt;=($J$6*0.9),1,0)</f>
        <v/>
      </c>
      <c r="N37" s="80" t="n">
        <v>22</v>
      </c>
      <c r="O37" s="49">
        <f>IF(N37&gt;=($N$6*0.7),1,0)</f>
        <v/>
      </c>
      <c r="P37" s="49">
        <f>IF(N37&gt;=($N$6*0.8),1,0)</f>
        <v/>
      </c>
      <c r="Q37" s="49">
        <f>IF(N37&gt;=($N$6*0.9),1,0)</f>
        <v/>
      </c>
      <c r="R37" s="80" t="n">
        <v>54</v>
      </c>
      <c r="S37" s="48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</row>
    <row r="38" ht="19.5" customHeight="1" s="98">
      <c r="A38" s="47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53" t="n"/>
      <c r="E38" s="53" t="n"/>
      <c r="F38" s="80" t="n">
        <v>13</v>
      </c>
      <c r="G38" s="49">
        <f>IF(F38&gt;=($F$6*0.5),1,0)</f>
        <v/>
      </c>
      <c r="H38" s="49">
        <f>IF(F38&gt;=($F$6*0.6),1,0)</f>
        <v/>
      </c>
      <c r="I38" s="49">
        <f>IF(F38&gt;=($F$6*0.7),1,0)</f>
        <v/>
      </c>
      <c r="J38" s="80" t="n">
        <v>20</v>
      </c>
      <c r="K38" s="49">
        <f>IF(J38&gt;=($J$6*0.7),1,0)</f>
        <v/>
      </c>
      <c r="L38" s="49">
        <f>IF(J38&gt;=($J$6*0.8),1,0)</f>
        <v/>
      </c>
      <c r="M38" s="49">
        <f>IF(J38&gt;=($J$6*0.9),1,0)</f>
        <v/>
      </c>
      <c r="N38" s="80" t="n">
        <v>22</v>
      </c>
      <c r="O38" s="49">
        <f>IF(N38&gt;=($N$6*0.7),1,0)</f>
        <v/>
      </c>
      <c r="P38" s="49">
        <f>IF(N38&gt;=($N$6*0.8),1,0)</f>
        <v/>
      </c>
      <c r="Q38" s="49">
        <f>IF(N38&gt;=($N$6*0.9),1,0)</f>
        <v/>
      </c>
      <c r="R38" s="80" t="n">
        <v>55</v>
      </c>
      <c r="S38" s="48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</row>
    <row r="39" ht="19.5" customHeight="1" s="98">
      <c r="A39" s="47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53" t="n"/>
      <c r="E39" s="53" t="n"/>
      <c r="F39" s="80" t="n">
        <v>14</v>
      </c>
      <c r="G39" s="49">
        <f>IF(F39&gt;=($F$6*0.5),1,0)</f>
        <v/>
      </c>
      <c r="H39" s="49">
        <f>IF(F39&gt;=($F$6*0.6),1,0)</f>
        <v/>
      </c>
      <c r="I39" s="49">
        <f>IF(F39&gt;=($F$6*0.7),1,0)</f>
        <v/>
      </c>
      <c r="J39" s="80" t="n">
        <v>28</v>
      </c>
      <c r="K39" s="49">
        <f>IF(J39&gt;=($J$6*0.7),1,0)</f>
        <v/>
      </c>
      <c r="L39" s="49">
        <f>IF(J39&gt;=($J$6*0.8),1,0)</f>
        <v/>
      </c>
      <c r="M39" s="49">
        <f>IF(J39&gt;=($J$6*0.9),1,0)</f>
        <v/>
      </c>
      <c r="N39" s="80" t="n">
        <v>28</v>
      </c>
      <c r="O39" s="49">
        <f>IF(N39&gt;=($N$6*0.7),1,0)</f>
        <v/>
      </c>
      <c r="P39" s="49">
        <f>IF(N39&gt;=($N$6*0.8),1,0)</f>
        <v/>
      </c>
      <c r="Q39" s="49">
        <f>IF(N39&gt;=($N$6*0.9),1,0)</f>
        <v/>
      </c>
      <c r="R39" t="n">
        <v>70</v>
      </c>
      <c r="S39" s="48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</row>
    <row r="40" ht="19.5" customHeight="1" s="98">
      <c r="A40" s="47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53" t="n"/>
      <c r="E40" s="53" t="n"/>
      <c r="F40" s="80" t="n">
        <v>13</v>
      </c>
      <c r="G40" s="49">
        <f>IF(F40&gt;=($F$6*0.5),1,0)</f>
        <v/>
      </c>
      <c r="H40" s="49">
        <f>IF(F40&gt;=($F$6*0.6),1,0)</f>
        <v/>
      </c>
      <c r="I40" s="49">
        <f>IF(F40&gt;=($F$6*0.7),1,0)</f>
        <v/>
      </c>
      <c r="J40" s="80" t="n">
        <v>25</v>
      </c>
      <c r="K40" s="49">
        <f>IF(J40&gt;=($J$6*0.7),1,0)</f>
        <v/>
      </c>
      <c r="L40" s="49">
        <f>IF(J40&gt;=($J$6*0.8),1,0)</f>
        <v/>
      </c>
      <c r="M40" s="49">
        <f>IF(J40&gt;=($J$6*0.9),1,0)</f>
        <v/>
      </c>
      <c r="N40" s="80" t="n">
        <v>22</v>
      </c>
      <c r="O40" s="49">
        <f>IF(N40&gt;=($N$6*0.7),1,0)</f>
        <v/>
      </c>
      <c r="P40" s="49">
        <f>IF(N40&gt;=($N$6*0.8),1,0)</f>
        <v/>
      </c>
      <c r="Q40" s="49">
        <f>IF(N40&gt;=($N$6*0.9),1,0)</f>
        <v/>
      </c>
      <c r="R40" t="n">
        <v>60</v>
      </c>
      <c r="S40" s="48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</row>
    <row r="41" ht="19.5" customHeight="1" s="98">
      <c r="A41" s="47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53" t="n"/>
      <c r="E41" s="53" t="n"/>
      <c r="F41" s="80" t="n">
        <v>9</v>
      </c>
      <c r="G41" s="49">
        <f>IF(F41&gt;=($F$6*0.5),1,0)</f>
        <v/>
      </c>
      <c r="H41" s="49">
        <f>IF(F41&gt;=($F$6*0.6),1,0)</f>
        <v/>
      </c>
      <c r="I41" s="49">
        <f>IF(F41&gt;=($F$6*0.7),1,0)</f>
        <v/>
      </c>
      <c r="J41" s="80" t="n">
        <v>13</v>
      </c>
      <c r="K41" s="49">
        <f>IF(J41&gt;=($J$6*0.7),1,0)</f>
        <v/>
      </c>
      <c r="L41" s="49">
        <f>IF(J41&gt;=($J$6*0.8),1,0)</f>
        <v/>
      </c>
      <c r="M41" s="49">
        <f>IF(J41&gt;=($J$6*0.9),1,0)</f>
        <v/>
      </c>
      <c r="N41" s="80" t="n">
        <v>13</v>
      </c>
      <c r="O41" s="49">
        <f>IF(N41&gt;=($N$6*0.7),1,0)</f>
        <v/>
      </c>
      <c r="P41" s="49">
        <f>IF(N41&gt;=($N$6*0.8),1,0)</f>
        <v/>
      </c>
      <c r="Q41" s="49">
        <f>IF(N41&gt;=($N$6*0.9),1,0)</f>
        <v/>
      </c>
      <c r="R41" s="80" t="n">
        <v>35</v>
      </c>
      <c r="S41" s="48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</row>
    <row r="42" ht="19.5" customHeight="1" s="98">
      <c r="A42" s="47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53" t="n"/>
      <c r="E42" s="53" t="n"/>
      <c r="F42" s="80" t="n">
        <v>13</v>
      </c>
      <c r="G42" s="49">
        <f>IF(F42&gt;=($F$6*0.5),1,0)</f>
        <v/>
      </c>
      <c r="H42" s="49">
        <f>IF(F42&gt;=($F$6*0.6),1,0)</f>
        <v/>
      </c>
      <c r="I42" s="49">
        <f>IF(F42&gt;=($F$6*0.7),1,0)</f>
        <v/>
      </c>
      <c r="J42" s="80" t="n">
        <v>21</v>
      </c>
      <c r="K42" s="49">
        <f>IF(J42&gt;=($J$6*0.7),1,0)</f>
        <v/>
      </c>
      <c r="L42" s="49">
        <f>IF(J42&gt;=($J$6*0.8),1,0)</f>
        <v/>
      </c>
      <c r="M42" s="49">
        <f>IF(J42&gt;=($J$6*0.9),1,0)</f>
        <v/>
      </c>
      <c r="N42" s="80" t="n">
        <v>22</v>
      </c>
      <c r="O42" s="49">
        <f>IF(N42&gt;=($N$6*0.7),1,0)</f>
        <v/>
      </c>
      <c r="P42" s="49">
        <f>IF(N42&gt;=($N$6*0.8),1,0)</f>
        <v/>
      </c>
      <c r="Q42" s="49">
        <f>IF(N42&gt;=($N$6*0.9),1,0)</f>
        <v/>
      </c>
      <c r="R42" s="80" t="n">
        <v>56</v>
      </c>
      <c r="S42" s="48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</row>
    <row r="43" ht="19.5" customHeight="1" s="98">
      <c r="A43" s="47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53" t="n"/>
      <c r="E43" s="53" t="n"/>
      <c r="F43" s="80" t="n">
        <v>13</v>
      </c>
      <c r="G43" s="49">
        <f>IF(F43&gt;=($F$6*0.5),1,0)</f>
        <v/>
      </c>
      <c r="H43" s="49">
        <f>IF(F43&gt;=($F$6*0.6),1,0)</f>
        <v/>
      </c>
      <c r="I43" s="49">
        <f>IF(F43&gt;=($F$6*0.7),1,0)</f>
        <v/>
      </c>
      <c r="J43" s="80" t="n">
        <v>23</v>
      </c>
      <c r="K43" s="49">
        <f>IF(J43&gt;=($J$6*0.7),1,0)</f>
        <v/>
      </c>
      <c r="L43" s="49">
        <f>IF(J43&gt;=($J$6*0.8),1,0)</f>
        <v/>
      </c>
      <c r="M43" s="49">
        <f>IF(J43&gt;=($J$6*0.9),1,0)</f>
        <v/>
      </c>
      <c r="N43" s="80" t="n">
        <v>25</v>
      </c>
      <c r="O43" s="49">
        <f>IF(N43&gt;=($N$6*0.7),1,0)</f>
        <v/>
      </c>
      <c r="P43" s="49">
        <f>IF(N43&gt;=($N$6*0.8),1,0)</f>
        <v/>
      </c>
      <c r="Q43" s="49">
        <f>IF(N43&gt;=($N$6*0.9),1,0)</f>
        <v/>
      </c>
      <c r="R43" t="n">
        <v>61</v>
      </c>
      <c r="S43" s="48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</row>
    <row r="44" ht="19.5" customHeight="1" s="98">
      <c r="A44" s="47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53" t="n"/>
      <c r="E44" s="53" t="n"/>
      <c r="F44" s="80" t="n">
        <v>13</v>
      </c>
      <c r="G44" s="49">
        <f>IF(F44&gt;=($F$6*0.5),1,0)</f>
        <v/>
      </c>
      <c r="H44" s="49">
        <f>IF(F44&gt;=($F$6*0.6),1,0)</f>
        <v/>
      </c>
      <c r="I44" s="49">
        <f>IF(F44&gt;=($F$6*0.7),1,0)</f>
        <v/>
      </c>
      <c r="J44" s="80" t="n">
        <v>23</v>
      </c>
      <c r="K44" s="49">
        <f>IF(J44&gt;=($J$6*0.7),1,0)</f>
        <v/>
      </c>
      <c r="L44" s="49">
        <f>IF(J44&gt;=($J$6*0.8),1,0)</f>
        <v/>
      </c>
      <c r="M44" s="49">
        <f>IF(J44&gt;=($J$6*0.9),1,0)</f>
        <v/>
      </c>
      <c r="N44" s="80" t="n">
        <v>21</v>
      </c>
      <c r="O44" s="49">
        <f>IF(N44&gt;=($N$6*0.7),1,0)</f>
        <v/>
      </c>
      <c r="P44" s="49">
        <f>IF(N44&gt;=($N$6*0.8),1,0)</f>
        <v/>
      </c>
      <c r="Q44" s="49">
        <f>IF(N44&gt;=($N$6*0.9),1,0)</f>
        <v/>
      </c>
      <c r="R44" s="80" t="n">
        <v>57</v>
      </c>
      <c r="S44" s="48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</row>
    <row r="45" ht="19.5" customHeight="1" s="98">
      <c r="A45" s="47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53" t="n"/>
      <c r="E45" s="53" t="n"/>
      <c r="F45" s="80" t="n">
        <v>13</v>
      </c>
      <c r="G45" s="49">
        <f>IF(F45&gt;=($F$6*0.5),1,0)</f>
        <v/>
      </c>
      <c r="H45" s="49">
        <f>IF(F45&gt;=($F$6*0.6),1,0)</f>
        <v/>
      </c>
      <c r="I45" s="49">
        <f>IF(F45&gt;=($F$6*0.7),1,0)</f>
        <v/>
      </c>
      <c r="J45" s="80" t="n">
        <v>26</v>
      </c>
      <c r="K45" s="49">
        <f>IF(J45&gt;=($J$6*0.7),1,0)</f>
        <v/>
      </c>
      <c r="L45" s="49">
        <f>IF(J45&gt;=($J$6*0.8),1,0)</f>
        <v/>
      </c>
      <c r="M45" s="49">
        <f>IF(J45&gt;=($J$6*0.9),1,0)</f>
        <v/>
      </c>
      <c r="N45" s="80" t="n">
        <v>23</v>
      </c>
      <c r="O45" s="49">
        <f>IF(N45&gt;=($N$6*0.7),1,0)</f>
        <v/>
      </c>
      <c r="P45" s="49">
        <f>IF(N45&gt;=($N$6*0.8),1,0)</f>
        <v/>
      </c>
      <c r="Q45" s="49">
        <f>IF(N45&gt;=($N$6*0.9),1,0)</f>
        <v/>
      </c>
      <c r="R45" s="80" t="n">
        <v>62</v>
      </c>
      <c r="S45" s="48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</row>
    <row r="46" ht="19.5" customHeight="1" s="98">
      <c r="A46" s="47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53" t="n"/>
      <c r="E46" s="53" t="n"/>
      <c r="F46" s="80" t="n">
        <v>13</v>
      </c>
      <c r="G46" s="49">
        <f>IF(F46&gt;=($F$6*0.5),1,0)</f>
        <v/>
      </c>
      <c r="H46" s="49">
        <f>IF(F46&gt;=($F$6*0.6),1,0)</f>
        <v/>
      </c>
      <c r="I46" s="49">
        <f>IF(F46&gt;=($F$6*0.7),1,0)</f>
        <v/>
      </c>
      <c r="J46" s="80" t="n">
        <v>25</v>
      </c>
      <c r="K46" s="49">
        <f>IF(J46&gt;=($J$6*0.7),1,0)</f>
        <v/>
      </c>
      <c r="L46" s="49">
        <f>IF(J46&gt;=($J$6*0.8),1,0)</f>
        <v/>
      </c>
      <c r="M46" s="49">
        <f>IF(J46&gt;=($J$6*0.9),1,0)</f>
        <v/>
      </c>
      <c r="N46" s="80" t="n">
        <v>22</v>
      </c>
      <c r="O46" s="49">
        <f>IF(N46&gt;=($N$6*0.7),1,0)</f>
        <v/>
      </c>
      <c r="P46" s="49">
        <f>IF(N46&gt;=($N$6*0.8),1,0)</f>
        <v/>
      </c>
      <c r="Q46" s="49">
        <f>IF(N46&gt;=($N$6*0.9),1,0)</f>
        <v/>
      </c>
      <c r="R46" s="80" t="n">
        <v>60</v>
      </c>
      <c r="S46" s="48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</row>
    <row r="47" ht="19.5" customHeight="1" s="98">
      <c r="A47" s="47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53" t="n"/>
      <c r="E47" s="53" t="n"/>
      <c r="F47" s="80" t="n">
        <v>13</v>
      </c>
      <c r="G47" s="49">
        <f>IF(F47&gt;=($F$6*0.5),1,0)</f>
        <v/>
      </c>
      <c r="H47" s="49">
        <f>IF(F47&gt;=($F$6*0.6),1,0)</f>
        <v/>
      </c>
      <c r="I47" s="49">
        <f>IF(F47&gt;=($F$6*0.7),1,0)</f>
        <v/>
      </c>
      <c r="J47" s="80" t="n">
        <v>23</v>
      </c>
      <c r="K47" s="49">
        <f>IF(J47&gt;=($J$6*0.7),1,0)</f>
        <v/>
      </c>
      <c r="L47" s="49">
        <f>IF(J47&gt;=($J$6*0.8),1,0)</f>
        <v/>
      </c>
      <c r="M47" s="49">
        <f>IF(J47&gt;=($J$6*0.9),1,0)</f>
        <v/>
      </c>
      <c r="N47" s="80" t="n">
        <v>23</v>
      </c>
      <c r="O47" s="49">
        <f>IF(N47&gt;=($N$6*0.7),1,0)</f>
        <v/>
      </c>
      <c r="P47" s="49">
        <f>IF(N47&gt;=($N$6*0.8),1,0)</f>
        <v/>
      </c>
      <c r="Q47" s="49">
        <f>IF(N47&gt;=($N$6*0.9),1,0)</f>
        <v/>
      </c>
      <c r="R47" s="80" t="n">
        <v>59</v>
      </c>
      <c r="S47" s="48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</row>
    <row r="48" ht="19.5" customHeight="1" s="98">
      <c r="A48" s="47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53" t="n"/>
      <c r="E48" s="53" t="n"/>
      <c r="F48" s="80" t="n">
        <v>13</v>
      </c>
      <c r="G48" s="49">
        <f>IF(F48&gt;=($F$6*0.5),1,0)</f>
        <v/>
      </c>
      <c r="H48" s="49">
        <f>IF(F48&gt;=($F$6*0.6),1,0)</f>
        <v/>
      </c>
      <c r="I48" s="49">
        <f>IF(F48&gt;=($F$6*0.7),1,0)</f>
        <v/>
      </c>
      <c r="J48" s="80" t="n">
        <v>20</v>
      </c>
      <c r="K48" s="49">
        <f>IF(J48&gt;=($J$6*0.7),1,0)</f>
        <v/>
      </c>
      <c r="L48" s="49">
        <f>IF(J48&gt;=($J$6*0.8),1,0)</f>
        <v/>
      </c>
      <c r="M48" s="49">
        <f>IF(J48&gt;=($J$6*0.9),1,0)</f>
        <v/>
      </c>
      <c r="N48" s="80" t="n">
        <v>23</v>
      </c>
      <c r="O48" s="49">
        <f>IF(N48&gt;=($N$6*0.7),1,0)</f>
        <v/>
      </c>
      <c r="P48" s="49">
        <f>IF(N48&gt;=($N$6*0.8),1,0)</f>
        <v/>
      </c>
      <c r="Q48" s="49">
        <f>IF(N48&gt;=($N$6*0.9),1,0)</f>
        <v/>
      </c>
      <c r="R48" t="n">
        <v>56</v>
      </c>
      <c r="S48" s="48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</row>
    <row r="49" ht="19.5" customHeight="1" s="98">
      <c r="A49" s="47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53" t="n"/>
      <c r="E49" s="53" t="n"/>
      <c r="F49" s="80" t="n">
        <v>11</v>
      </c>
      <c r="G49" s="49">
        <f>IF(F49&gt;=($F$6*0.5),1,0)</f>
        <v/>
      </c>
      <c r="H49" s="49">
        <f>IF(F49&gt;=($F$6*0.6),1,0)</f>
        <v/>
      </c>
      <c r="I49" s="49">
        <f>IF(F49&gt;=($F$6*0.7),1,0)</f>
        <v/>
      </c>
      <c r="J49" s="80" t="n">
        <v>21</v>
      </c>
      <c r="K49" s="49">
        <f>IF(J49&gt;=($J$6*0.7),1,0)</f>
        <v/>
      </c>
      <c r="L49" s="49">
        <f>IF(J49&gt;=($J$6*0.8),1,0)</f>
        <v/>
      </c>
      <c r="M49" s="49">
        <f>IF(J49&gt;=($J$6*0.9),1,0)</f>
        <v/>
      </c>
      <c r="N49" s="80" t="n">
        <v>19</v>
      </c>
      <c r="O49" s="49">
        <f>IF(N49&gt;=($N$6*0.7),1,0)</f>
        <v/>
      </c>
      <c r="P49" s="49">
        <f>IF(N49&gt;=($N$6*0.8),1,0)</f>
        <v/>
      </c>
      <c r="Q49" s="49">
        <f>IF(N49&gt;=($N$6*0.9),1,0)</f>
        <v/>
      </c>
      <c r="R49" s="80" t="n">
        <v>51</v>
      </c>
      <c r="S49" s="48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</row>
    <row r="50" ht="19.5" customHeight="1" s="98">
      <c r="A50" s="47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53" t="n"/>
      <c r="E50" s="53" t="n"/>
      <c r="F50" s="80" t="n">
        <v>13</v>
      </c>
      <c r="G50" s="49">
        <f>IF(F50&gt;=($F$6*0.5),1,0)</f>
        <v/>
      </c>
      <c r="H50" s="49">
        <f>IF(F50&gt;=($F$6*0.6),1,0)</f>
        <v/>
      </c>
      <c r="I50" s="49">
        <f>IF(F50&gt;=($F$6*0.7),1,0)</f>
        <v/>
      </c>
      <c r="J50" s="80" t="n">
        <v>22</v>
      </c>
      <c r="K50" s="49">
        <f>IF(J50&gt;=($J$6*0.7),1,0)</f>
        <v/>
      </c>
      <c r="L50" s="49">
        <f>IF(J50&gt;=($J$6*0.8),1,0)</f>
        <v/>
      </c>
      <c r="M50" s="49">
        <f>IF(J50&gt;=($J$6*0.9),1,0)</f>
        <v/>
      </c>
      <c r="N50" s="80" t="n">
        <v>22</v>
      </c>
      <c r="O50" s="49">
        <f>IF(N50&gt;=($N$6*0.7),1,0)</f>
        <v/>
      </c>
      <c r="P50" s="49">
        <f>IF(N50&gt;=($N$6*0.8),1,0)</f>
        <v/>
      </c>
      <c r="Q50" s="49">
        <f>IF(N50&gt;=($N$6*0.9),1,0)</f>
        <v/>
      </c>
      <c r="R50" t="n">
        <v>57</v>
      </c>
      <c r="S50" s="48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</row>
    <row r="51" ht="19.5" customHeight="1" s="98">
      <c r="A51" s="47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53" t="n"/>
      <c r="E51" s="53" t="n"/>
      <c r="F51" s="80" t="n">
        <v>13</v>
      </c>
      <c r="G51" s="49">
        <f>IF(F51&gt;=($F$6*0.5),1,0)</f>
        <v/>
      </c>
      <c r="H51" s="49">
        <f>IF(F51&gt;=($F$6*0.6),1,0)</f>
        <v/>
      </c>
      <c r="I51" s="49">
        <f>IF(F51&gt;=($F$6*0.7),1,0)</f>
        <v/>
      </c>
      <c r="J51" s="80" t="n">
        <v>25</v>
      </c>
      <c r="K51" s="49">
        <f>IF(J51&gt;=($J$6*0.7),1,0)</f>
        <v/>
      </c>
      <c r="L51" s="49">
        <f>IF(J51&gt;=($J$6*0.8),1,0)</f>
        <v/>
      </c>
      <c r="M51" s="49">
        <f>IF(J51&gt;=($J$6*0.9),1,0)</f>
        <v/>
      </c>
      <c r="N51" s="80" t="n">
        <v>22</v>
      </c>
      <c r="O51" s="49">
        <f>IF(N51&gt;=($N$6*0.7),1,0)</f>
        <v/>
      </c>
      <c r="P51" s="49">
        <f>IF(N51&gt;=($N$6*0.8),1,0)</f>
        <v/>
      </c>
      <c r="Q51" s="49">
        <f>IF(N51&gt;=($N$6*0.9),1,0)</f>
        <v/>
      </c>
      <c r="R51" s="80" t="n">
        <v>60</v>
      </c>
      <c r="S51" s="48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</row>
    <row r="52" ht="19.5" customHeight="1" s="98">
      <c r="A52" s="47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53" t="n"/>
      <c r="E52" s="53" t="n"/>
      <c r="F52" s="80" t="n">
        <v>13</v>
      </c>
      <c r="G52" s="49">
        <f>IF(F52&gt;=($F$6*0.5),1,0)</f>
        <v/>
      </c>
      <c r="H52" s="49">
        <f>IF(F52&gt;=($F$6*0.6),1,0)</f>
        <v/>
      </c>
      <c r="I52" s="49">
        <f>IF(F52&gt;=($F$6*0.7),1,0)</f>
        <v/>
      </c>
      <c r="J52" s="80" t="n">
        <v>23</v>
      </c>
      <c r="K52" s="49">
        <f>IF(J52&gt;=($J$6*0.7),1,0)</f>
        <v/>
      </c>
      <c r="L52" s="49">
        <f>IF(J52&gt;=($J$6*0.8),1,0)</f>
        <v/>
      </c>
      <c r="M52" s="49">
        <f>IF(J52&gt;=($J$6*0.9),1,0)</f>
        <v/>
      </c>
      <c r="N52" s="80" t="n">
        <v>24</v>
      </c>
      <c r="O52" s="49">
        <f>IF(N52&gt;=($N$6*0.7),1,0)</f>
        <v/>
      </c>
      <c r="P52" s="49">
        <f>IF(N52&gt;=($N$6*0.8),1,0)</f>
        <v/>
      </c>
      <c r="Q52" s="49">
        <f>IF(N52&gt;=($N$6*0.9),1,0)</f>
        <v/>
      </c>
      <c r="R52" t="n">
        <v>60</v>
      </c>
      <c r="S52" s="48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</row>
    <row r="53" ht="19.5" customHeight="1" s="98">
      <c r="A53" s="47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53" t="n"/>
      <c r="E53" s="53" t="n"/>
      <c r="F53" s="80" t="n">
        <v>13</v>
      </c>
      <c r="G53" s="49">
        <f>IF(F53&gt;=($F$6*0.5),1,0)</f>
        <v/>
      </c>
      <c r="H53" s="49">
        <f>IF(F53&gt;=($F$6*0.6),1,0)</f>
        <v/>
      </c>
      <c r="I53" s="49">
        <f>IF(F53&gt;=($F$6*0.7),1,0)</f>
        <v/>
      </c>
      <c r="J53" s="80" t="n">
        <v>23</v>
      </c>
      <c r="K53" s="49">
        <f>IF(J53&gt;=($J$6*0.7),1,0)</f>
        <v/>
      </c>
      <c r="L53" s="49">
        <f>IF(J53&gt;=($J$6*0.8),1,0)</f>
        <v/>
      </c>
      <c r="M53" s="49">
        <f>IF(J53&gt;=($J$6*0.9),1,0)</f>
        <v/>
      </c>
      <c r="N53" s="80" t="n">
        <v>25</v>
      </c>
      <c r="O53" s="49">
        <f>IF(N53&gt;=($N$6*0.7),1,0)</f>
        <v/>
      </c>
      <c r="P53" s="49">
        <f>IF(N53&gt;=($N$6*0.8),1,0)</f>
        <v/>
      </c>
      <c r="Q53" s="49">
        <f>IF(N53&gt;=($N$6*0.9),1,0)</f>
        <v/>
      </c>
      <c r="R53" t="n">
        <v>61</v>
      </c>
      <c r="S53" s="48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</row>
    <row r="54" ht="19.5" customHeight="1" s="98">
      <c r="A54" s="47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s="53" t="n"/>
      <c r="E54" s="53" t="n"/>
      <c r="F54" t="n">
        <v>13</v>
      </c>
      <c r="G54" s="49">
        <f>IF(F54&gt;=($F$6*0.5),1,0)</f>
        <v/>
      </c>
      <c r="H54" s="49">
        <f>IF(F54&gt;=($F$6*0.6),1,0)</f>
        <v/>
      </c>
      <c r="I54" s="49">
        <f>IF(F54&gt;=($F$6*0.7),1,0)</f>
        <v/>
      </c>
      <c r="J54" t="n">
        <v>22</v>
      </c>
      <c r="K54" s="49">
        <f>IF(J54&gt;=($J$6*0.7),1,0)</f>
        <v/>
      </c>
      <c r="L54" s="49">
        <f>IF(J54&gt;=($J$6*0.8),1,0)</f>
        <v/>
      </c>
      <c r="M54" s="49">
        <f>IF(J54&gt;=($J$6*0.9),1,0)</f>
        <v/>
      </c>
      <c r="N54" t="n">
        <v>21</v>
      </c>
      <c r="O54" s="49">
        <f>IF(N54&gt;=($N$6*0.7),1,0)</f>
        <v/>
      </c>
      <c r="P54" s="49">
        <f>IF(N54&gt;=($N$6*0.8),1,0)</f>
        <v/>
      </c>
      <c r="Q54" s="49">
        <f>IF(N54&gt;=($N$6*0.9),1,0)</f>
        <v/>
      </c>
      <c r="R54" s="80" t="n">
        <v>56</v>
      </c>
      <c r="S54" s="48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</row>
    <row r="55" ht="19.5" customHeight="1" s="98">
      <c r="A55" s="47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s="53" t="n"/>
      <c r="E55" s="53" t="n"/>
      <c r="F55" t="n">
        <v>9</v>
      </c>
      <c r="G55" s="49">
        <f>IF(F55&gt;=($F$6*0.5),1,0)</f>
        <v/>
      </c>
      <c r="H55" s="49">
        <f>IF(F55&gt;=($F$6*0.6),1,0)</f>
        <v/>
      </c>
      <c r="I55" s="49">
        <f>IF(F55&gt;=($F$6*0.7),1,0)</f>
        <v/>
      </c>
      <c r="J55" t="n">
        <v>18</v>
      </c>
      <c r="K55" s="49">
        <f>IF(J55&gt;=($J$6*0.7),1,0)</f>
        <v/>
      </c>
      <c r="L55" s="49">
        <f>IF(J55&gt;=($J$6*0.8),1,0)</f>
        <v/>
      </c>
      <c r="M55" s="49">
        <f>IF(J55&gt;=($J$6*0.9),1,0)</f>
        <v/>
      </c>
      <c r="N55" t="n">
        <v>15</v>
      </c>
      <c r="O55" s="49">
        <f>IF(N55&gt;=($N$6*0.7),1,0)</f>
        <v/>
      </c>
      <c r="P55" s="49">
        <f>IF(N55&gt;=($N$6*0.8),1,0)</f>
        <v/>
      </c>
      <c r="Q55" s="49">
        <f>IF(N55&gt;=($N$6*0.9),1,0)</f>
        <v/>
      </c>
      <c r="R55" s="80" t="n">
        <v>42</v>
      </c>
      <c r="S55" s="48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</row>
    <row r="56" ht="19.5" customHeight="1" s="98">
      <c r="A56" s="47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53" t="n"/>
      <c r="E56" s="53" t="n"/>
      <c r="F56" s="80" t="n">
        <v>13</v>
      </c>
      <c r="G56" s="49">
        <f>IF(F56&gt;=($F$6*0.5),1,0)</f>
        <v/>
      </c>
      <c r="H56" s="49">
        <f>IF(F56&gt;=($F$6*0.6),1,0)</f>
        <v/>
      </c>
      <c r="I56" s="49">
        <f>IF(F56&gt;=($F$6*0.7),1,0)</f>
        <v/>
      </c>
      <c r="J56" s="80" t="n">
        <v>27</v>
      </c>
      <c r="K56" s="49">
        <f>IF(J56&gt;=($J$6*0.7),1,0)</f>
        <v/>
      </c>
      <c r="L56" s="49">
        <f>IF(J56&gt;=($J$6*0.8),1,0)</f>
        <v/>
      </c>
      <c r="M56" s="49">
        <f>IF(J56&gt;=($J$6*0.9),1,0)</f>
        <v/>
      </c>
      <c r="N56" s="80" t="n">
        <v>24</v>
      </c>
      <c r="O56" s="49">
        <f>IF(N56&gt;=($N$6*0.7),1,0)</f>
        <v/>
      </c>
      <c r="P56" s="49">
        <f>IF(N56&gt;=($N$6*0.8),1,0)</f>
        <v/>
      </c>
      <c r="Q56" s="49">
        <f>IF(N56&gt;=($N$6*0.9),1,0)</f>
        <v/>
      </c>
      <c r="R56" s="80" t="n">
        <v>64</v>
      </c>
      <c r="S56" s="48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</row>
    <row r="57" ht="19.5" customHeight="1" s="98">
      <c r="A57" s="47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53" t="n"/>
      <c r="E57" s="53" t="n"/>
      <c r="F57" s="80" t="n">
        <v>13</v>
      </c>
      <c r="G57" s="49">
        <f>IF(F57&gt;=($F$6*0.5),1,0)</f>
        <v/>
      </c>
      <c r="H57" s="49">
        <f>IF(F57&gt;=($F$6*0.6),1,0)</f>
        <v/>
      </c>
      <c r="I57" s="49">
        <f>IF(F57&gt;=($F$6*0.7),1,0)</f>
        <v/>
      </c>
      <c r="J57" s="80" t="n">
        <v>25</v>
      </c>
      <c r="K57" s="49">
        <f>IF(J57&gt;=($J$6*0.7),1,0)</f>
        <v/>
      </c>
      <c r="L57" s="49">
        <f>IF(J57&gt;=($J$6*0.8),1,0)</f>
        <v/>
      </c>
      <c r="M57" s="49">
        <f>IF(J57&gt;=($J$6*0.9),1,0)</f>
        <v/>
      </c>
      <c r="N57" s="80" t="n">
        <v>26</v>
      </c>
      <c r="O57" s="49">
        <f>IF(N57&gt;=($N$6*0.7),1,0)</f>
        <v/>
      </c>
      <c r="P57" s="49">
        <f>IF(N57&gt;=($N$6*0.8),1,0)</f>
        <v/>
      </c>
      <c r="Q57" s="49">
        <f>IF(N57&gt;=($N$6*0.9),1,0)</f>
        <v/>
      </c>
      <c r="R57" s="80" t="n">
        <v>64</v>
      </c>
      <c r="S57" s="48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</row>
    <row r="58" ht="19.5" customHeight="1" s="98">
      <c r="A58" s="47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53" t="n"/>
      <c r="E58" s="53" t="n"/>
      <c r="F58" s="80" t="n">
        <v>13</v>
      </c>
      <c r="G58" s="49">
        <f>IF(F58&gt;=($F$6*0.5),1,0)</f>
        <v/>
      </c>
      <c r="H58" s="49">
        <f>IF(F58&gt;=($F$6*0.6),1,0)</f>
        <v/>
      </c>
      <c r="I58" s="49">
        <f>IF(F58&gt;=($F$6*0.7),1,0)</f>
        <v/>
      </c>
      <c r="J58" s="80" t="n">
        <v>22</v>
      </c>
      <c r="K58" s="49">
        <f>IF(J58&gt;=($J$6*0.7),1,0)</f>
        <v/>
      </c>
      <c r="L58" s="49">
        <f>IF(J58&gt;=($J$6*0.8),1,0)</f>
        <v/>
      </c>
      <c r="M58" s="49">
        <f>IF(J58&gt;=($J$6*0.9),1,0)</f>
        <v/>
      </c>
      <c r="N58" s="80" t="n">
        <v>25</v>
      </c>
      <c r="O58" s="49">
        <f>IF(N58&gt;=($N$6*0.7),1,0)</f>
        <v/>
      </c>
      <c r="P58" s="49">
        <f>IF(N58&gt;=($N$6*0.8),1,0)</f>
        <v/>
      </c>
      <c r="Q58" s="49">
        <f>IF(N58&gt;=($N$6*0.9),1,0)</f>
        <v/>
      </c>
      <c r="R58" t="n">
        <v>60</v>
      </c>
      <c r="S58" s="48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</row>
    <row r="59" ht="19.5" customHeight="1" s="98">
      <c r="A59" s="47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53" t="n"/>
      <c r="E59" s="53" t="n"/>
      <c r="F59" s="80" t="n">
        <v>11</v>
      </c>
      <c r="G59" s="49">
        <f>IF(F59&gt;=($F$6*0.5),1,0)</f>
        <v/>
      </c>
      <c r="H59" s="49">
        <f>IF(F59&gt;=($F$6*0.6),1,0)</f>
        <v/>
      </c>
      <c r="I59" s="49">
        <f>IF(F59&gt;=($F$6*0.7),1,0)</f>
        <v/>
      </c>
      <c r="J59" s="80" t="n">
        <v>22</v>
      </c>
      <c r="K59" s="49">
        <f>IF(J59&gt;=($J$6*0.7),1,0)</f>
        <v/>
      </c>
      <c r="L59" s="49">
        <f>IF(J59&gt;=($J$6*0.8),1,0)</f>
        <v/>
      </c>
      <c r="M59" s="49">
        <f>IF(J59&gt;=($J$6*0.9),1,0)</f>
        <v/>
      </c>
      <c r="N59" s="80" t="n">
        <v>21</v>
      </c>
      <c r="O59" s="49">
        <f>IF(N59&gt;=($N$6*0.7),1,0)</f>
        <v/>
      </c>
      <c r="P59" s="49">
        <f>IF(N59&gt;=($N$6*0.8),1,0)</f>
        <v/>
      </c>
      <c r="Q59" s="49">
        <f>IF(N59&gt;=($N$6*0.9),1,0)</f>
        <v/>
      </c>
      <c r="R59" s="80" t="n">
        <v>54</v>
      </c>
      <c r="S59" s="48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</row>
    <row r="60" ht="19.5" customHeight="1" s="98">
      <c r="A60" s="47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53" t="n"/>
      <c r="E60" s="53" t="n"/>
      <c r="F60" s="80" t="n">
        <v>13</v>
      </c>
      <c r="G60" s="49">
        <f>IF(F60&gt;=($F$6*0.5),1,0)</f>
        <v/>
      </c>
      <c r="H60" s="49">
        <f>IF(F60&gt;=($F$6*0.6),1,0)</f>
        <v/>
      </c>
      <c r="I60" s="49">
        <f>IF(F60&gt;=($F$6*0.7),1,0)</f>
        <v/>
      </c>
      <c r="J60" s="80" t="n">
        <v>24</v>
      </c>
      <c r="K60" s="49">
        <f>IF(J60&gt;=($J$6*0.7),1,0)</f>
        <v/>
      </c>
      <c r="L60" s="49">
        <f>IF(J60&gt;=($J$6*0.8),1,0)</f>
        <v/>
      </c>
      <c r="M60" s="49">
        <f>IF(J60&gt;=($J$6*0.9),1,0)</f>
        <v/>
      </c>
      <c r="N60" s="80" t="n">
        <v>21</v>
      </c>
      <c r="O60" s="49">
        <f>IF(N60&gt;=($N$6*0.7),1,0)</f>
        <v/>
      </c>
      <c r="P60" s="49">
        <f>IF(N60&gt;=($N$6*0.8),1,0)</f>
        <v/>
      </c>
      <c r="Q60" s="49">
        <f>IF(N60&gt;=($N$6*0.9),1,0)</f>
        <v/>
      </c>
      <c r="R60" s="80" t="n">
        <v>58</v>
      </c>
      <c r="S60" s="48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</row>
    <row r="61" ht="19.5" customHeight="1" s="98">
      <c r="A61" s="47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53" t="n"/>
      <c r="E61" s="53" t="n"/>
      <c r="F61" s="80" t="n">
        <v>13</v>
      </c>
      <c r="G61" s="49">
        <f>IF(F61&gt;=($F$6*0.5),1,0)</f>
        <v/>
      </c>
      <c r="H61" s="49">
        <f>IF(F61&gt;=($F$6*0.6),1,0)</f>
        <v/>
      </c>
      <c r="I61" s="49">
        <f>IF(F61&gt;=($F$6*0.7),1,0)</f>
        <v/>
      </c>
      <c r="J61" s="80" t="n">
        <v>23</v>
      </c>
      <c r="K61" s="49">
        <f>IF(J61&gt;=($J$6*0.7),1,0)</f>
        <v/>
      </c>
      <c r="L61" s="49">
        <f>IF(J61&gt;=($J$6*0.8),1,0)</f>
        <v/>
      </c>
      <c r="M61" s="49">
        <f>IF(J61&gt;=($J$6*0.9),1,0)</f>
        <v/>
      </c>
      <c r="N61" s="80" t="n">
        <v>20</v>
      </c>
      <c r="O61" s="49">
        <f>IF(N61&gt;=($N$6*0.7),1,0)</f>
        <v/>
      </c>
      <c r="P61" s="49">
        <f>IF(N61&gt;=($N$6*0.8),1,0)</f>
        <v/>
      </c>
      <c r="Q61" s="49">
        <f>IF(N61&gt;=($N$6*0.9),1,0)</f>
        <v/>
      </c>
      <c r="R61" t="n">
        <v>56</v>
      </c>
      <c r="S61" s="48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</row>
    <row r="62" ht="19.5" customHeight="1" s="98">
      <c r="A62" s="47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53" t="n"/>
      <c r="E62" s="53" t="n"/>
      <c r="F62" s="80" t="n">
        <v>13</v>
      </c>
      <c r="G62" s="49">
        <f>IF(F62&gt;=($F$6*0.5),1,0)</f>
        <v/>
      </c>
      <c r="H62" s="49">
        <f>IF(F62&gt;=($F$6*0.6),1,0)</f>
        <v/>
      </c>
      <c r="I62" s="49">
        <f>IF(F62&gt;=($F$6*0.7),1,0)</f>
        <v/>
      </c>
      <c r="J62" s="80" t="n">
        <v>21</v>
      </c>
      <c r="K62" s="49">
        <f>IF(J62&gt;=($J$6*0.7),1,0)</f>
        <v/>
      </c>
      <c r="L62" s="49">
        <f>IF(J62&gt;=($J$6*0.8),1,0)</f>
        <v/>
      </c>
      <c r="M62" s="49">
        <f>IF(J62&gt;=($J$6*0.9),1,0)</f>
        <v/>
      </c>
      <c r="N62" s="80" t="n">
        <v>21</v>
      </c>
      <c r="O62" s="49">
        <f>IF(N62&gt;=($N$6*0.7),1,0)</f>
        <v/>
      </c>
      <c r="P62" s="49">
        <f>IF(N62&gt;=($N$6*0.8),1,0)</f>
        <v/>
      </c>
      <c r="Q62" s="49">
        <f>IF(N62&gt;=($N$6*0.9),1,0)</f>
        <v/>
      </c>
      <c r="R62" s="80" t="n">
        <v>55</v>
      </c>
      <c r="S62" s="48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4" t="n"/>
    </row>
    <row r="63" ht="19.5" customHeight="1" s="98">
      <c r="A63" s="47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53" t="n"/>
      <c r="E63" s="53" t="n"/>
      <c r="F63" s="80" t="n">
        <v>13</v>
      </c>
      <c r="G63" s="49">
        <f>IF(F63&gt;=($F$6*0.5),1,0)</f>
        <v/>
      </c>
      <c r="H63" s="49">
        <f>IF(F63&gt;=($F$6*0.6),1,0)</f>
        <v/>
      </c>
      <c r="I63" s="49">
        <f>IF(F63&gt;=($F$6*0.7),1,0)</f>
        <v/>
      </c>
      <c r="J63" s="80" t="n">
        <v>21</v>
      </c>
      <c r="K63" s="49">
        <f>IF(J63&gt;=($J$6*0.7),1,0)</f>
        <v/>
      </c>
      <c r="L63" s="49">
        <f>IF(J63&gt;=($J$6*0.8),1,0)</f>
        <v/>
      </c>
      <c r="M63" s="49">
        <f>IF(J63&gt;=($J$6*0.9),1,0)</f>
        <v/>
      </c>
      <c r="N63" s="80" t="n">
        <v>23</v>
      </c>
      <c r="O63" s="49">
        <f>IF(N63&gt;=($N$6*0.7),1,0)</f>
        <v/>
      </c>
      <c r="P63" s="49">
        <f>IF(N63&gt;=($N$6*0.8),1,0)</f>
        <v/>
      </c>
      <c r="Q63" s="49">
        <f>IF(N63&gt;=($N$6*0.9),1,0)</f>
        <v/>
      </c>
      <c r="R63" s="80" t="n">
        <v>57</v>
      </c>
      <c r="S63" s="48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</row>
    <row r="64" ht="19.5" customHeight="1" s="98">
      <c r="A64" s="47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53" t="n"/>
      <c r="E64" s="53" t="n"/>
      <c r="F64" s="80" t="n">
        <v>13</v>
      </c>
      <c r="G64" s="49">
        <f>IF(F64&gt;=($F$6*0.5),1,0)</f>
        <v/>
      </c>
      <c r="H64" s="49">
        <f>IF(F64&gt;=($F$6*0.6),1,0)</f>
        <v/>
      </c>
      <c r="I64" s="49">
        <f>IF(F64&gt;=($F$6*0.7),1,0)</f>
        <v/>
      </c>
      <c r="J64" s="80" t="n">
        <v>23</v>
      </c>
      <c r="K64" s="49">
        <f>IF(J64&gt;=($J$6*0.7),1,0)</f>
        <v/>
      </c>
      <c r="L64" s="49">
        <f>IF(J64&gt;=($J$6*0.8),1,0)</f>
        <v/>
      </c>
      <c r="M64" s="49">
        <f>IF(J64&gt;=($J$6*0.9),1,0)</f>
        <v/>
      </c>
      <c r="N64" s="80" t="n">
        <v>22</v>
      </c>
      <c r="O64" s="49">
        <f>IF(N64&gt;=($N$6*0.7),1,0)</f>
        <v/>
      </c>
      <c r="P64" s="49">
        <f>IF(N64&gt;=($N$6*0.8),1,0)</f>
        <v/>
      </c>
      <c r="Q64" s="49">
        <f>IF(N64&gt;=($N$6*0.9),1,0)</f>
        <v/>
      </c>
      <c r="R64" s="80" t="n">
        <v>58</v>
      </c>
      <c r="S64" s="48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</row>
    <row r="65" ht="19.5" customHeight="1" s="98">
      <c r="A65" s="47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53" t="n"/>
      <c r="E65" s="53" t="n"/>
      <c r="F65" s="80" t="n">
        <v>13</v>
      </c>
      <c r="G65" s="49">
        <f>IF(F65&gt;=($F$6*0.5),1,0)</f>
        <v/>
      </c>
      <c r="H65" s="49">
        <f>IF(F65&gt;=($F$6*0.6),1,0)</f>
        <v/>
      </c>
      <c r="I65" s="49">
        <f>IF(F65&gt;=($F$6*0.7),1,0)</f>
        <v/>
      </c>
      <c r="J65" s="80" t="n">
        <v>24</v>
      </c>
      <c r="K65" s="49">
        <f>IF(J65&gt;=($J$6*0.7),1,0)</f>
        <v/>
      </c>
      <c r="L65" s="49">
        <f>IF(J65&gt;=($J$6*0.8),1,0)</f>
        <v/>
      </c>
      <c r="M65" s="49">
        <f>IF(J65&gt;=($J$6*0.9),1,0)</f>
        <v/>
      </c>
      <c r="N65" s="80" t="n">
        <v>24</v>
      </c>
      <c r="O65" s="49">
        <f>IF(N65&gt;=($N$6*0.7),1,0)</f>
        <v/>
      </c>
      <c r="P65" s="49">
        <f>IF(N65&gt;=($N$6*0.8),1,0)</f>
        <v/>
      </c>
      <c r="Q65" s="49">
        <f>IF(N65&gt;=($N$6*0.9),1,0)</f>
        <v/>
      </c>
      <c r="R65" t="n">
        <v>61</v>
      </c>
      <c r="S65" s="48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</row>
    <row r="66" ht="19.5" customHeight="1" s="98">
      <c r="A66" s="47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s="53" t="n"/>
      <c r="E66" s="53" t="n"/>
      <c r="F66" t="n">
        <v>13</v>
      </c>
      <c r="G66" s="49">
        <f>IF(F66&gt;=($F$6*0.5),1,0)</f>
        <v/>
      </c>
      <c r="H66" s="49">
        <f>IF(F66&gt;=($F$6*0.6),1,0)</f>
        <v/>
      </c>
      <c r="I66" s="49">
        <f>IF(F66&gt;=($F$6*0.7),1,0)</f>
        <v/>
      </c>
      <c r="J66" t="n">
        <v>24</v>
      </c>
      <c r="K66" s="49">
        <f>IF(J66&gt;=($J$6*0.7),1,0)</f>
        <v/>
      </c>
      <c r="L66" s="49">
        <f>IF(J66&gt;=($J$6*0.8),1,0)</f>
        <v/>
      </c>
      <c r="M66" s="49">
        <f>IF(J66&gt;=($J$6*0.9),1,0)</f>
        <v/>
      </c>
      <c r="N66" t="n">
        <v>24</v>
      </c>
      <c r="O66" s="49">
        <f>IF(N66&gt;=($N$6*0.7),1,0)</f>
        <v/>
      </c>
      <c r="P66" s="49">
        <f>IF(N66&gt;=($N$6*0.8),1,0)</f>
        <v/>
      </c>
      <c r="Q66" s="49">
        <f>IF(N66&gt;=($N$6*0.9),1,0)</f>
        <v/>
      </c>
      <c r="R66" t="n">
        <v>61</v>
      </c>
      <c r="S66" s="48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</row>
    <row r="67" ht="19.5" customHeight="1" s="98">
      <c r="A67" s="47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53" t="n"/>
      <c r="E67" s="53" t="n"/>
      <c r="F67" s="80" t="n">
        <v>11</v>
      </c>
      <c r="G67" s="49">
        <f>IF(F67&gt;=($F$6*0.5),1,0)</f>
        <v/>
      </c>
      <c r="H67" s="49">
        <f>IF(F67&gt;=($F$6*0.6),1,0)</f>
        <v/>
      </c>
      <c r="I67" s="49">
        <f>IF(F67&gt;=($F$6*0.7),1,0)</f>
        <v/>
      </c>
      <c r="J67" s="80" t="n">
        <v>21</v>
      </c>
      <c r="K67" s="49">
        <f>IF(J67&gt;=($J$6*0.7),1,0)</f>
        <v/>
      </c>
      <c r="L67" s="49">
        <f>IF(J67&gt;=($J$6*0.8),1,0)</f>
        <v/>
      </c>
      <c r="M67" s="49">
        <f>IF(J67&gt;=($J$6*0.9),1,0)</f>
        <v/>
      </c>
      <c r="N67" s="80" t="n">
        <v>22</v>
      </c>
      <c r="O67" s="49">
        <f>IF(N67&gt;=($N$6*0.7),1,0)</f>
        <v/>
      </c>
      <c r="P67" s="49">
        <f>IF(N67&gt;=($N$6*0.8),1,0)</f>
        <v/>
      </c>
      <c r="Q67" s="49">
        <f>IF(N67&gt;=($N$6*0.9),1,0)</f>
        <v/>
      </c>
      <c r="R67" s="80" t="n">
        <v>54</v>
      </c>
      <c r="S67" s="48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4" t="n"/>
      <c r="AC67" s="44" t="n"/>
      <c r="AD67" s="44" t="n"/>
    </row>
    <row r="68" ht="19.5" customHeight="1" s="98">
      <c r="A68" s="47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s="53" t="n"/>
      <c r="E68" s="53" t="n"/>
      <c r="F68" t="n">
        <v>11</v>
      </c>
      <c r="G68" s="49">
        <f>IF(F68&gt;=($F$6*0.5),1,0)</f>
        <v/>
      </c>
      <c r="H68" s="49">
        <f>IF(F68&gt;=($F$6*0.6),1,0)</f>
        <v/>
      </c>
      <c r="I68" s="49">
        <f>IF(F68&gt;=($F$6*0.7),1,0)</f>
        <v/>
      </c>
      <c r="J68" t="n">
        <v>19</v>
      </c>
      <c r="K68" s="49">
        <f>IF(J68&gt;=($J$6*0.7),1,0)</f>
        <v/>
      </c>
      <c r="L68" s="49">
        <f>IF(J68&gt;=($J$6*0.8),1,0)</f>
        <v/>
      </c>
      <c r="M68" s="49">
        <f>IF(J68&gt;=($J$6*0.9),1,0)</f>
        <v/>
      </c>
      <c r="N68" t="n">
        <v>22</v>
      </c>
      <c r="O68" s="49">
        <f>IF(N68&gt;=($N$6*0.7),1,0)</f>
        <v/>
      </c>
      <c r="P68" s="49">
        <f>IF(N68&gt;=($N$6*0.8),1,0)</f>
        <v/>
      </c>
      <c r="Q68" s="49">
        <f>IF(N68&gt;=($N$6*0.9),1,0)</f>
        <v/>
      </c>
      <c r="R68" t="n">
        <v>52</v>
      </c>
      <c r="S68" s="48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</row>
    <row r="69" ht="19.5" customHeight="1" s="98">
      <c r="A69" s="47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53" t="n"/>
      <c r="E69" s="53" t="n"/>
      <c r="F69" s="80" t="n">
        <v>13</v>
      </c>
      <c r="G69" s="49">
        <f>IF(F69&gt;=($F$6*0.5),1,0)</f>
        <v/>
      </c>
      <c r="H69" s="49">
        <f>IF(F69&gt;=($F$6*0.6),1,0)</f>
        <v/>
      </c>
      <c r="I69" s="49">
        <f>IF(F69&gt;=($F$6*0.7),1,0)</f>
        <v/>
      </c>
      <c r="J69" s="80" t="n">
        <v>25</v>
      </c>
      <c r="K69" s="49">
        <f>IF(J69&gt;=($J$6*0.7),1,0)</f>
        <v/>
      </c>
      <c r="L69" s="49">
        <f>IF(J69&gt;=($J$6*0.8),1,0)</f>
        <v/>
      </c>
      <c r="M69" s="49">
        <f>IF(J69&gt;=($J$6*0.9),1,0)</f>
        <v/>
      </c>
      <c r="N69" s="80" t="n">
        <v>24</v>
      </c>
      <c r="O69" s="49">
        <f>IF(N69&gt;=($N$6*0.7),1,0)</f>
        <v/>
      </c>
      <c r="P69" s="49">
        <f>IF(N69&gt;=($N$6*0.8),1,0)</f>
        <v/>
      </c>
      <c r="Q69" s="49">
        <f>IF(N69&gt;=($N$6*0.9),1,0)</f>
        <v/>
      </c>
      <c r="R69" s="80" t="n">
        <v>62</v>
      </c>
      <c r="S69" s="48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</row>
    <row r="70" ht="19.5" customHeight="1" s="98">
      <c r="A70" s="47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53" t="n"/>
      <c r="E70" s="53" t="n"/>
      <c r="F70" s="80" t="n">
        <v>14</v>
      </c>
      <c r="G70" s="49">
        <f>IF(F70&gt;=($F$6*0.5),1,0)</f>
        <v/>
      </c>
      <c r="H70" s="49">
        <f>IF(F70&gt;=($F$6*0.6),1,0)</f>
        <v/>
      </c>
      <c r="I70" s="49">
        <f>IF(F70&gt;=($F$6*0.7),1,0)</f>
        <v/>
      </c>
      <c r="J70" s="80" t="n">
        <v>28</v>
      </c>
      <c r="K70" s="49">
        <f>IF(J70&gt;=($J$6*0.7),1,0)</f>
        <v/>
      </c>
      <c r="L70" s="49">
        <f>IF(J70&gt;=($J$6*0.8),1,0)</f>
        <v/>
      </c>
      <c r="M70" s="49">
        <f>IF(J70&gt;=($J$6*0.9),1,0)</f>
        <v/>
      </c>
      <c r="N70" s="80" t="n">
        <v>28</v>
      </c>
      <c r="O70" s="49">
        <f>IF(N70&gt;=($N$6*0.7),1,0)</f>
        <v/>
      </c>
      <c r="P70" s="49">
        <f>IF(N70&gt;=($N$6*0.8),1,0)</f>
        <v/>
      </c>
      <c r="Q70" s="49">
        <f>IF(N70&gt;=($N$6*0.9),1,0)</f>
        <v/>
      </c>
      <c r="R70" t="n">
        <v>70</v>
      </c>
      <c r="S70" s="48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</row>
    <row r="71" ht="19.5" customHeight="1" s="98">
      <c r="A71" s="47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53" t="n"/>
      <c r="E71" s="53" t="n"/>
      <c r="F71" s="80" t="n">
        <v>13</v>
      </c>
      <c r="G71" s="49">
        <f>IF(F71&gt;=($F$6*0.5),1,0)</f>
        <v/>
      </c>
      <c r="H71" s="49">
        <f>IF(F71&gt;=($F$6*0.6),1,0)</f>
        <v/>
      </c>
      <c r="I71" s="49">
        <f>IF(F71&gt;=($F$6*0.7),1,0)</f>
        <v/>
      </c>
      <c r="J71" s="80" t="n">
        <v>24</v>
      </c>
      <c r="K71" s="49">
        <f>IF(J71&gt;=($J$6*0.7),1,0)</f>
        <v/>
      </c>
      <c r="L71" s="49">
        <f>IF(J71&gt;=($J$6*0.8),1,0)</f>
        <v/>
      </c>
      <c r="M71" s="49">
        <f>IF(J71&gt;=($J$6*0.9),1,0)</f>
        <v/>
      </c>
      <c r="N71" s="80" t="n">
        <v>24</v>
      </c>
      <c r="O71" s="49">
        <f>IF(N71&gt;=($N$6*0.7),1,0)</f>
        <v/>
      </c>
      <c r="P71" s="49">
        <f>IF(N71&gt;=($N$6*0.8),1,0)</f>
        <v/>
      </c>
      <c r="Q71" s="49">
        <f>IF(N71&gt;=($N$6*0.9),1,0)</f>
        <v/>
      </c>
      <c r="R71" s="80" t="n">
        <v>61</v>
      </c>
      <c r="S71" s="48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</row>
    <row r="72" ht="19.5" customHeight="1" s="98">
      <c r="A72" s="47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53" t="n"/>
      <c r="E72" s="53" t="n"/>
      <c r="F72" s="80" t="n">
        <v>14</v>
      </c>
      <c r="G72" s="49">
        <f>IF(F72&gt;=($F$6*0.5),1,0)</f>
        <v/>
      </c>
      <c r="H72" s="49">
        <f>IF(F72&gt;=($F$6*0.6),1,0)</f>
        <v/>
      </c>
      <c r="I72" s="49">
        <f>IF(F72&gt;=($F$6*0.7),1,0)</f>
        <v/>
      </c>
      <c r="J72" s="80" t="n">
        <v>25</v>
      </c>
      <c r="K72" s="49">
        <f>IF(J72&gt;=($J$6*0.7),1,0)</f>
        <v/>
      </c>
      <c r="L72" s="49">
        <f>IF(J72&gt;=($J$6*0.8),1,0)</f>
        <v/>
      </c>
      <c r="M72" s="49">
        <f>IF(J72&gt;=($J$6*0.9),1,0)</f>
        <v/>
      </c>
      <c r="N72" s="80" t="n">
        <v>26</v>
      </c>
      <c r="O72" s="49">
        <f>IF(N72&gt;=($N$6*0.7),1,0)</f>
        <v/>
      </c>
      <c r="P72" s="49">
        <f>IF(N72&gt;=($N$6*0.8),1,0)</f>
        <v/>
      </c>
      <c r="Q72" s="49">
        <f>IF(N72&gt;=($N$6*0.9),1,0)</f>
        <v/>
      </c>
      <c r="R72" s="80" t="n">
        <v>65</v>
      </c>
      <c r="S72" s="48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</row>
    <row r="73" ht="19.5" customHeight="1" s="98">
      <c r="A73" s="47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53" t="n"/>
      <c r="E73" s="53" t="n"/>
      <c r="F73" s="80" t="n">
        <v>14</v>
      </c>
      <c r="G73" s="49">
        <f>IF(F73&gt;=($F$6*0.5),1,0)</f>
        <v/>
      </c>
      <c r="H73" s="49">
        <f>IF(F73&gt;=($F$6*0.6),1,0)</f>
        <v/>
      </c>
      <c r="I73" s="49">
        <f>IF(F73&gt;=($F$6*0.7),1,0)</f>
        <v/>
      </c>
      <c r="J73" s="80" t="n">
        <v>26</v>
      </c>
      <c r="K73" s="49">
        <f>IF(J73&gt;=($J$6*0.7),1,0)</f>
        <v/>
      </c>
      <c r="L73" s="49">
        <f>IF(J73&gt;=($J$6*0.8),1,0)</f>
        <v/>
      </c>
      <c r="M73" s="49">
        <f>IF(J73&gt;=($J$6*0.9),1,0)</f>
        <v/>
      </c>
      <c r="N73" s="80" t="n">
        <v>28</v>
      </c>
      <c r="O73" s="49">
        <f>IF(N73&gt;=($N$6*0.7),1,0)</f>
        <v/>
      </c>
      <c r="P73" s="49">
        <f>IF(N73&gt;=($N$6*0.8),1,0)</f>
        <v/>
      </c>
      <c r="Q73" s="49">
        <f>IF(N73&gt;=($N$6*0.9),1,0)</f>
        <v/>
      </c>
      <c r="R73" s="80" t="n">
        <v>68</v>
      </c>
      <c r="S73" s="48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</row>
    <row r="74" ht="19.5" customHeight="1" s="98">
      <c r="A74" s="47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53" t="n"/>
      <c r="E74" s="53" t="n"/>
      <c r="F74" s="80" t="n">
        <v>13</v>
      </c>
      <c r="G74" s="49">
        <f>IF(F74&gt;=($F$6*0.5),1,0)</f>
        <v/>
      </c>
      <c r="H74" s="49">
        <f>IF(F74&gt;=($F$6*0.6),1,0)</f>
        <v/>
      </c>
      <c r="I74" s="49">
        <f>IF(F74&gt;=($F$6*0.7),1,0)</f>
        <v/>
      </c>
      <c r="J74" s="80" t="n">
        <v>23</v>
      </c>
      <c r="K74" s="49">
        <f>IF(J74&gt;=($J$6*0.7),1,0)</f>
        <v/>
      </c>
      <c r="L74" s="49">
        <f>IF(J74&gt;=($J$6*0.8),1,0)</f>
        <v/>
      </c>
      <c r="M74" s="49">
        <f>IF(J74&gt;=($J$6*0.9),1,0)</f>
        <v/>
      </c>
      <c r="N74" s="80" t="n">
        <v>21</v>
      </c>
      <c r="O74" s="49">
        <f>IF(N74&gt;=($N$6*0.7),1,0)</f>
        <v/>
      </c>
      <c r="P74" s="49">
        <f>IF(N74&gt;=($N$6*0.8),1,0)</f>
        <v/>
      </c>
      <c r="Q74" s="49">
        <f>IF(N74&gt;=($N$6*0.9),1,0)</f>
        <v/>
      </c>
      <c r="R74" t="n">
        <v>57</v>
      </c>
      <c r="S74" s="48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</row>
    <row r="75" ht="19.5" customHeight="1" s="98">
      <c r="A75" s="47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53" t="n"/>
      <c r="E75" s="53" t="n"/>
      <c r="F75" s="80" t="n">
        <v>13</v>
      </c>
      <c r="G75" s="49">
        <f>IF(F75&gt;=($F$6*0.5),1,0)</f>
        <v/>
      </c>
      <c r="H75" s="49">
        <f>IF(F75&gt;=($F$6*0.6),1,0)</f>
        <v/>
      </c>
      <c r="I75" s="49">
        <f>IF(F75&gt;=($F$6*0.7),1,0)</f>
        <v/>
      </c>
      <c r="J75" s="80" t="n">
        <v>26</v>
      </c>
      <c r="K75" s="49">
        <f>IF(J75&gt;=($J$6*0.7),1,0)</f>
        <v/>
      </c>
      <c r="L75" s="49">
        <f>IF(J75&gt;=($J$6*0.8),1,0)</f>
        <v/>
      </c>
      <c r="M75" s="49">
        <f>IF(J75&gt;=($J$6*0.9),1,0)</f>
        <v/>
      </c>
      <c r="N75" s="80" t="n">
        <v>23</v>
      </c>
      <c r="O75" s="49">
        <f>IF(N75&gt;=($N$6*0.7),1,0)</f>
        <v/>
      </c>
      <c r="P75" s="49">
        <f>IF(N75&gt;=($N$6*0.8),1,0)</f>
        <v/>
      </c>
      <c r="Q75" s="49">
        <f>IF(N75&gt;=($N$6*0.9),1,0)</f>
        <v/>
      </c>
      <c r="R75" s="80" t="n">
        <v>62</v>
      </c>
      <c r="S75" s="48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</row>
    <row r="76" ht="19.5" customHeight="1" s="98">
      <c r="A76" s="47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53" t="n"/>
      <c r="E76" s="53" t="n"/>
      <c r="F76" s="80" t="n">
        <v>13</v>
      </c>
      <c r="G76" s="49">
        <f>IF(F76&gt;=($F$6*0.5),1,0)</f>
        <v/>
      </c>
      <c r="H76" s="49">
        <f>IF(F76&gt;=($F$6*0.6),1,0)</f>
        <v/>
      </c>
      <c r="I76" s="49">
        <f>IF(F76&gt;=($F$6*0.7),1,0)</f>
        <v/>
      </c>
      <c r="J76" s="80" t="n">
        <v>24</v>
      </c>
      <c r="K76" s="49">
        <f>IF(J76&gt;=($J$6*0.7),1,0)</f>
        <v/>
      </c>
      <c r="L76" s="49">
        <f>IF(J76&gt;=($J$6*0.8),1,0)</f>
        <v/>
      </c>
      <c r="M76" s="49">
        <f>IF(J76&gt;=($J$6*0.9),1,0)</f>
        <v/>
      </c>
      <c r="N76" s="80" t="n">
        <v>21</v>
      </c>
      <c r="O76" s="49">
        <f>IF(N76&gt;=($N$6*0.7),1,0)</f>
        <v/>
      </c>
      <c r="P76" s="49">
        <f>IF(N76&gt;=($N$6*0.8),1,0)</f>
        <v/>
      </c>
      <c r="Q76" s="49">
        <f>IF(N76&gt;=($N$6*0.9),1,0)</f>
        <v/>
      </c>
      <c r="R76" t="n">
        <v>58</v>
      </c>
      <c r="S76" s="48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</row>
    <row r="77" ht="19.5" customHeight="1" s="98">
      <c r="A77" s="47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53" t="n"/>
      <c r="E77" s="53" t="n"/>
      <c r="F77" s="80" t="n">
        <v>11</v>
      </c>
      <c r="G77" s="49">
        <f>IF(F77&gt;=($F$6*0.5),1,0)</f>
        <v/>
      </c>
      <c r="H77" s="49">
        <f>IF(F77&gt;=($F$6*0.6),1,0)</f>
        <v/>
      </c>
      <c r="I77" s="49">
        <f>IF(F77&gt;=($F$6*0.7),1,0)</f>
        <v/>
      </c>
      <c r="J77" s="80" t="n">
        <v>21</v>
      </c>
      <c r="K77" s="49">
        <f>IF(J77&gt;=($J$6*0.7),1,0)</f>
        <v/>
      </c>
      <c r="L77" s="49">
        <f>IF(J77&gt;=($J$6*0.8),1,0)</f>
        <v/>
      </c>
      <c r="M77" s="49">
        <f>IF(J77&gt;=($J$6*0.9),1,0)</f>
        <v/>
      </c>
      <c r="N77" s="80" t="n">
        <v>22</v>
      </c>
      <c r="O77" s="49">
        <f>IF(N77&gt;=($N$6*0.7),1,0)</f>
        <v/>
      </c>
      <c r="P77" s="49">
        <f>IF(N77&gt;=($N$6*0.8),1,0)</f>
        <v/>
      </c>
      <c r="Q77" s="49">
        <f>IF(N77&gt;=($N$6*0.9),1,0)</f>
        <v/>
      </c>
      <c r="R77" s="80" t="n">
        <v>54</v>
      </c>
      <c r="S77" s="48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</row>
    <row r="78" ht="19.5" customHeight="1" s="98">
      <c r="A78" s="47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s="53" t="n"/>
      <c r="E78" s="53" t="n"/>
      <c r="F78" t="n">
        <v>14</v>
      </c>
      <c r="G78" s="49">
        <f>IF(F78&gt;=($F$6*0.5),1,0)</f>
        <v/>
      </c>
      <c r="H78" s="49">
        <f>IF(F78&gt;=($F$6*0.6),1,0)</f>
        <v/>
      </c>
      <c r="I78" s="49">
        <f>IF(F78&gt;=($F$6*0.7),1,0)</f>
        <v/>
      </c>
      <c r="J78" t="n">
        <v>24</v>
      </c>
      <c r="K78" s="49">
        <f>IF(J78&gt;=($J$6*0.7),1,0)</f>
        <v/>
      </c>
      <c r="L78" s="49">
        <f>IF(J78&gt;=($J$6*0.8),1,0)</f>
        <v/>
      </c>
      <c r="M78" s="49">
        <f>IF(J78&gt;=($J$6*0.9),1,0)</f>
        <v/>
      </c>
      <c r="N78" t="n">
        <v>27</v>
      </c>
      <c r="O78" s="49">
        <f>IF(N78&gt;=($N$6*0.7),1,0)</f>
        <v/>
      </c>
      <c r="P78" s="49">
        <f>IF(N78&gt;=($N$6*0.8),1,0)</f>
        <v/>
      </c>
      <c r="Q78" s="49">
        <f>IF(N78&gt;=($N$6*0.9),1,0)</f>
        <v/>
      </c>
      <c r="R78" t="n">
        <v>65</v>
      </c>
      <c r="S78" s="48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</row>
    <row r="79" ht="19.5" customHeight="1" s="98">
      <c r="A79" s="47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53" t="n"/>
      <c r="E79" s="53" t="n"/>
      <c r="F79" s="80" t="n">
        <v>14</v>
      </c>
      <c r="G79" s="49">
        <f>IF(F79&gt;=($F$6*0.5),1,0)</f>
        <v/>
      </c>
      <c r="H79" s="49">
        <f>IF(F79&gt;=($F$6*0.6),1,0)</f>
        <v/>
      </c>
      <c r="I79" s="49">
        <f>IF(F79&gt;=($F$6*0.7),1,0)</f>
        <v/>
      </c>
      <c r="J79" s="80" t="n">
        <v>28</v>
      </c>
      <c r="K79" s="49">
        <f>IF(J79&gt;=($J$6*0.7),1,0)</f>
        <v/>
      </c>
      <c r="L79" s="49">
        <f>IF(J79&gt;=($J$6*0.8),1,0)</f>
        <v/>
      </c>
      <c r="M79" s="49">
        <f>IF(J79&gt;=($J$6*0.9),1,0)</f>
        <v/>
      </c>
      <c r="N79" s="80" t="n">
        <v>26</v>
      </c>
      <c r="O79" s="49">
        <f>IF(N79&gt;=($N$6*0.7),1,0)</f>
        <v/>
      </c>
      <c r="P79" s="49">
        <f>IF(N79&gt;=($N$6*0.8),1,0)</f>
        <v/>
      </c>
      <c r="Q79" s="49">
        <f>IF(N79&gt;=($N$6*0.9),1,0)</f>
        <v/>
      </c>
      <c r="R79" s="80" t="n">
        <v>68</v>
      </c>
      <c r="S79" s="48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</row>
    <row r="80" ht="19.5" customHeight="1" s="98">
      <c r="A80" s="47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53" t="n"/>
      <c r="E80" s="53" t="n"/>
      <c r="F80" s="80" t="n">
        <v>11</v>
      </c>
      <c r="G80" s="49">
        <f>IF(F80&gt;=($F$6*0.5),1,0)</f>
        <v/>
      </c>
      <c r="H80" s="49">
        <f>IF(F80&gt;=($F$6*0.6),1,0)</f>
        <v/>
      </c>
      <c r="I80" s="49">
        <f>IF(F80&gt;=($F$6*0.7),1,0)</f>
        <v/>
      </c>
      <c r="J80" s="80" t="n">
        <v>22</v>
      </c>
      <c r="K80" s="49">
        <f>IF(J80&gt;=($J$6*0.7),1,0)</f>
        <v/>
      </c>
      <c r="L80" s="49">
        <f>IF(J80&gt;=($J$6*0.8),1,0)</f>
        <v/>
      </c>
      <c r="M80" s="49">
        <f>IF(J80&gt;=($J$6*0.9),1,0)</f>
        <v/>
      </c>
      <c r="N80" s="80" t="n">
        <v>19</v>
      </c>
      <c r="O80" s="49">
        <f>IF(N80&gt;=($N$6*0.7),1,0)</f>
        <v/>
      </c>
      <c r="P80" s="49">
        <f>IF(N80&gt;=($N$6*0.8),1,0)</f>
        <v/>
      </c>
      <c r="Q80" s="49">
        <f>IF(N80&gt;=($N$6*0.9),1,0)</f>
        <v/>
      </c>
      <c r="R80" t="n">
        <v>52</v>
      </c>
      <c r="S80" s="48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</row>
    <row r="81" ht="19.5" customHeight="1" s="98">
      <c r="A81" s="47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s="53" t="n"/>
      <c r="E81" s="53" t="n"/>
      <c r="F81" t="n">
        <v>13</v>
      </c>
      <c r="G81" s="49">
        <f>IF(F81&gt;=($F$6*0.5),1,0)</f>
        <v/>
      </c>
      <c r="H81" s="49">
        <f>IF(F81&gt;=($F$6*0.6),1,0)</f>
        <v/>
      </c>
      <c r="I81" s="49">
        <f>IF(F81&gt;=($F$6*0.7),1,0)</f>
        <v/>
      </c>
      <c r="J81" t="n">
        <v>22</v>
      </c>
      <c r="K81" s="49">
        <f>IF(J81&gt;=($J$6*0.7),1,0)</f>
        <v/>
      </c>
      <c r="L81" s="49">
        <f>IF(J81&gt;=($J$6*0.8),1,0)</f>
        <v/>
      </c>
      <c r="M81" s="49">
        <f>IF(J81&gt;=($J$6*0.9),1,0)</f>
        <v/>
      </c>
      <c r="N81" t="n">
        <v>22</v>
      </c>
      <c r="O81" s="49">
        <f>IF(N81&gt;=($N$6*0.7),1,0)</f>
        <v/>
      </c>
      <c r="P81" s="49">
        <f>IF(N81&gt;=($N$6*0.8),1,0)</f>
        <v/>
      </c>
      <c r="Q81" s="49">
        <f>IF(N81&gt;=($N$6*0.9),1,0)</f>
        <v/>
      </c>
      <c r="R81" s="80" t="n">
        <v>57</v>
      </c>
      <c r="S81" s="48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</row>
    <row r="82" ht="19.5" customHeight="1" s="98">
      <c r="A82" s="47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53" t="n"/>
      <c r="E82" s="53" t="n"/>
      <c r="F82" s="80" t="n">
        <v>9</v>
      </c>
      <c r="G82" s="49">
        <f>IF(F82&gt;=($F$6*0.5),1,0)</f>
        <v/>
      </c>
      <c r="H82" s="49">
        <f>IF(F82&gt;=($F$6*0.6),1,0)</f>
        <v/>
      </c>
      <c r="I82" s="49">
        <f>IF(F82&gt;=($F$6*0.7),1,0)</f>
        <v/>
      </c>
      <c r="J82" s="80" t="n">
        <v>15</v>
      </c>
      <c r="K82" s="49">
        <f>IF(J82&gt;=($J$6*0.7),1,0)</f>
        <v/>
      </c>
      <c r="L82" s="49">
        <f>IF(J82&gt;=($J$6*0.8),1,0)</f>
        <v/>
      </c>
      <c r="M82" s="49">
        <f>IF(J82&gt;=($J$6*0.9),1,0)</f>
        <v/>
      </c>
      <c r="N82" s="80" t="n">
        <v>15</v>
      </c>
      <c r="O82" s="49">
        <f>IF(N82&gt;=($N$6*0.7),1,0)</f>
        <v/>
      </c>
      <c r="P82" s="49">
        <f>IF(N82&gt;=($N$6*0.8),1,0)</f>
        <v/>
      </c>
      <c r="Q82" s="49">
        <f>IF(N82&gt;=($N$6*0.9),1,0)</f>
        <v/>
      </c>
      <c r="R82" t="n">
        <v>39</v>
      </c>
      <c r="S82" s="48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</row>
    <row r="83" ht="19.5" customHeight="1" s="98">
      <c r="A83" s="47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53" t="n"/>
      <c r="E83" s="53" t="n"/>
      <c r="F83" s="80" t="n">
        <v>13</v>
      </c>
      <c r="G83" s="49">
        <f>IF(F83&gt;=($F$6*0.5),1,0)</f>
        <v/>
      </c>
      <c r="H83" s="49">
        <f>IF(F83&gt;=($F$6*0.6),1,0)</f>
        <v/>
      </c>
      <c r="I83" s="49">
        <f>IF(F83&gt;=($F$6*0.7),1,0)</f>
        <v/>
      </c>
      <c r="J83" s="80" t="n">
        <v>24</v>
      </c>
      <c r="K83" s="49">
        <f>IF(J83&gt;=($J$6*0.7),1,0)</f>
        <v/>
      </c>
      <c r="L83" s="49">
        <f>IF(J83&gt;=($J$6*0.8),1,0)</f>
        <v/>
      </c>
      <c r="M83" s="49">
        <f>IF(J83&gt;=($J$6*0.9),1,0)</f>
        <v/>
      </c>
      <c r="N83" s="80" t="n">
        <v>26</v>
      </c>
      <c r="O83" s="49">
        <f>IF(N83&gt;=($N$6*0.7),1,0)</f>
        <v/>
      </c>
      <c r="P83" s="49">
        <f>IF(N83&gt;=($N$6*0.8),1,0)</f>
        <v/>
      </c>
      <c r="Q83" s="49">
        <f>IF(N83&gt;=($N$6*0.9),1,0)</f>
        <v/>
      </c>
      <c r="R83" t="n">
        <v>63</v>
      </c>
      <c r="S83" s="48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</row>
    <row r="84" ht="19.5" customHeight="1" s="98">
      <c r="A84" s="47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53" t="n"/>
      <c r="E84" s="53" t="n"/>
      <c r="F84" s="80" t="n">
        <v>14</v>
      </c>
      <c r="G84" s="49">
        <f>IF(F84&gt;=($F$6*0.5),1,0)</f>
        <v/>
      </c>
      <c r="H84" s="49">
        <f>IF(F84&gt;=($F$6*0.6),1,0)</f>
        <v/>
      </c>
      <c r="I84" s="49">
        <f>IF(F84&gt;=($F$6*0.7),1,0)</f>
        <v/>
      </c>
      <c r="J84" s="80" t="n">
        <v>28</v>
      </c>
      <c r="K84" s="49">
        <f>IF(J84&gt;=($J$6*0.7),1,0)</f>
        <v/>
      </c>
      <c r="L84" s="49">
        <f>IF(J84&gt;=($J$6*0.8),1,0)</f>
        <v/>
      </c>
      <c r="M84" s="49">
        <f>IF(J84&gt;=($J$6*0.9),1,0)</f>
        <v/>
      </c>
      <c r="N84" s="80" t="n">
        <v>26</v>
      </c>
      <c r="O84" s="49">
        <f>IF(N84&gt;=($N$6*0.7),1,0)</f>
        <v/>
      </c>
      <c r="P84" s="49">
        <f>IF(N84&gt;=($N$6*0.8),1,0)</f>
        <v/>
      </c>
      <c r="Q84" s="49">
        <f>IF(N84&gt;=($N$6*0.9),1,0)</f>
        <v/>
      </c>
      <c r="R84" t="n">
        <v>68</v>
      </c>
      <c r="S84" s="48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</row>
    <row r="85" ht="19.5" customHeight="1" s="98">
      <c r="A85" s="47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53" t="n"/>
      <c r="E85" s="53" t="n"/>
      <c r="F85" s="80" t="n">
        <v>13</v>
      </c>
      <c r="G85" s="49">
        <f>IF(F85&gt;=($F$6*0.5),1,0)</f>
        <v/>
      </c>
      <c r="H85" s="49">
        <f>IF(F85&gt;=($F$6*0.6),1,0)</f>
        <v/>
      </c>
      <c r="I85" s="49">
        <f>IF(F85&gt;=($F$6*0.7),1,0)</f>
        <v/>
      </c>
      <c r="J85" s="80" t="n">
        <v>24</v>
      </c>
      <c r="K85" s="49">
        <f>IF(J85&gt;=($J$6*0.7),1,0)</f>
        <v/>
      </c>
      <c r="L85" s="49">
        <f>IF(J85&gt;=($J$6*0.8),1,0)</f>
        <v/>
      </c>
      <c r="M85" s="49">
        <f>IF(J85&gt;=($J$6*0.9),1,0)</f>
        <v/>
      </c>
      <c r="N85" s="80" t="n">
        <v>24</v>
      </c>
      <c r="O85" s="49">
        <f>IF(N85&gt;=($N$6*0.7),1,0)</f>
        <v/>
      </c>
      <c r="P85" s="49">
        <f>IF(N85&gt;=($N$6*0.8),1,0)</f>
        <v/>
      </c>
      <c r="Q85" s="49">
        <f>IF(N85&gt;=($N$6*0.9),1,0)</f>
        <v/>
      </c>
      <c r="R85" t="n">
        <v>61</v>
      </c>
      <c r="S85" s="48" t="n"/>
      <c r="T85" s="44" t="n"/>
      <c r="U85" s="44" t="n"/>
      <c r="V85" s="44" t="n"/>
      <c r="W85" s="44" t="n"/>
      <c r="X85" s="44" t="n"/>
      <c r="Y85" s="44" t="n"/>
      <c r="Z85" s="44" t="n"/>
      <c r="AA85" s="44" t="n"/>
      <c r="AB85" s="44" t="n"/>
      <c r="AC85" s="44" t="n"/>
      <c r="AD85" s="44" t="n"/>
    </row>
    <row r="86" ht="19.5" customHeight="1" s="98">
      <c r="A86" s="47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53" t="n"/>
      <c r="E86" s="53" t="n"/>
      <c r="F86" s="80" t="n">
        <v>13</v>
      </c>
      <c r="G86" s="49">
        <f>IF(F86&gt;=($F$6*0.5),1,0)</f>
        <v/>
      </c>
      <c r="H86" s="49">
        <f>IF(F86&gt;=($F$6*0.6),1,0)</f>
        <v/>
      </c>
      <c r="I86" s="49">
        <f>IF(F86&gt;=($F$6*0.7),1,0)</f>
        <v/>
      </c>
      <c r="J86" s="80" t="n">
        <v>23</v>
      </c>
      <c r="K86" s="49">
        <f>IF(J86&gt;=($J$6*0.7),1,0)</f>
        <v/>
      </c>
      <c r="L86" s="49">
        <f>IF(J86&gt;=($J$6*0.8),1,0)</f>
        <v/>
      </c>
      <c r="M86" s="49">
        <f>IF(J86&gt;=($J$6*0.9),1,0)</f>
        <v/>
      </c>
      <c r="N86" s="80" t="n">
        <v>23</v>
      </c>
      <c r="O86" s="49">
        <f>IF(N86&gt;=($N$6*0.7),1,0)</f>
        <v/>
      </c>
      <c r="P86" s="49">
        <f>IF(N86&gt;=($N$6*0.8),1,0)</f>
        <v/>
      </c>
      <c r="Q86" s="49">
        <f>IF(N86&gt;=($N$6*0.9),1,0)</f>
        <v/>
      </c>
      <c r="R86" s="80" t="n">
        <v>59</v>
      </c>
      <c r="S86" s="48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</row>
    <row r="87" ht="19.5" customHeight="1" s="98">
      <c r="A87" s="47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53" t="n"/>
      <c r="E87" s="53" t="n"/>
      <c r="F87" s="80" t="n">
        <v>11</v>
      </c>
      <c r="G87" s="49">
        <f>IF(F87&gt;=($F$6*0.5),1,0)</f>
        <v/>
      </c>
      <c r="H87" s="49">
        <f>IF(F87&gt;=($F$6*0.6),1,0)</f>
        <v/>
      </c>
      <c r="I87" s="49">
        <f>IF(F87&gt;=($F$6*0.7),1,0)</f>
        <v/>
      </c>
      <c r="J87" s="80" t="n">
        <v>19</v>
      </c>
      <c r="K87" s="49">
        <f>IF(J87&gt;=($J$6*0.7),1,0)</f>
        <v/>
      </c>
      <c r="L87" s="49">
        <f>IF(J87&gt;=($J$6*0.8),1,0)</f>
        <v/>
      </c>
      <c r="M87" s="49">
        <f>IF(J87&gt;=($J$6*0.9),1,0)</f>
        <v/>
      </c>
      <c r="N87" s="80" t="n">
        <v>20</v>
      </c>
      <c r="O87" s="49">
        <f>IF(N87&gt;=($N$6*0.7),1,0)</f>
        <v/>
      </c>
      <c r="P87" s="49">
        <f>IF(N87&gt;=($N$6*0.8),1,0)</f>
        <v/>
      </c>
      <c r="Q87" s="49">
        <f>IF(N87&gt;=($N$6*0.9),1,0)</f>
        <v/>
      </c>
      <c r="R87" s="80" t="n">
        <v>50</v>
      </c>
      <c r="S87" s="48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</row>
    <row r="88" ht="19.5" customHeight="1" s="98">
      <c r="A88" s="47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53" t="n"/>
      <c r="E88" s="53" t="n"/>
      <c r="F88" s="80" t="n">
        <v>14</v>
      </c>
      <c r="G88" s="49">
        <f>IF(F88&gt;=($F$6*0.5),1,0)</f>
        <v/>
      </c>
      <c r="H88" s="49">
        <f>IF(F88&gt;=($F$6*0.6),1,0)</f>
        <v/>
      </c>
      <c r="I88" s="49">
        <f>IF(F88&gt;=($F$6*0.7),1,0)</f>
        <v/>
      </c>
      <c r="J88" s="80" t="n">
        <v>24</v>
      </c>
      <c r="K88" s="49">
        <f>IF(J88&gt;=($J$6*0.7),1,0)</f>
        <v/>
      </c>
      <c r="L88" s="49">
        <f>IF(J88&gt;=($J$6*0.8),1,0)</f>
        <v/>
      </c>
      <c r="M88" s="49">
        <f>IF(J88&gt;=($J$6*0.9),1,0)</f>
        <v/>
      </c>
      <c r="N88" s="80" t="n">
        <v>27</v>
      </c>
      <c r="O88" s="49">
        <f>IF(N88&gt;=($N$6*0.7),1,0)</f>
        <v/>
      </c>
      <c r="P88" s="49">
        <f>IF(N88&gt;=($N$6*0.8),1,0)</f>
        <v/>
      </c>
      <c r="Q88" s="49">
        <f>IF(N88&gt;=($N$6*0.9),1,0)</f>
        <v/>
      </c>
      <c r="R88" s="80" t="n">
        <v>65</v>
      </c>
      <c r="S88" s="48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</row>
    <row r="89" ht="19.5" customHeight="1" s="98">
      <c r="A89" s="47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53" t="n"/>
      <c r="E89" s="53" t="n"/>
      <c r="F89" s="80" t="n">
        <v>14</v>
      </c>
      <c r="G89" s="49">
        <f>IF(F89&gt;=($F$6*0.5),1,0)</f>
        <v/>
      </c>
      <c r="H89" s="49">
        <f>IF(F89&gt;=($F$6*0.6),1,0)</f>
        <v/>
      </c>
      <c r="I89" s="49">
        <f>IF(F89&gt;=($F$6*0.7),1,0)</f>
        <v/>
      </c>
      <c r="J89" s="80" t="n">
        <v>27</v>
      </c>
      <c r="K89" s="49">
        <f>IF(J89&gt;=($J$6*0.7),1,0)</f>
        <v/>
      </c>
      <c r="L89" s="49">
        <f>IF(J89&gt;=($J$6*0.8),1,0)</f>
        <v/>
      </c>
      <c r="M89" s="49">
        <f>IF(J89&gt;=($J$6*0.9),1,0)</f>
        <v/>
      </c>
      <c r="N89" s="80" t="n">
        <v>25</v>
      </c>
      <c r="O89" s="49">
        <f>IF(N89&gt;=($N$6*0.7),1,0)</f>
        <v/>
      </c>
      <c r="P89" s="49">
        <f>IF(N89&gt;=($N$6*0.8),1,0)</f>
        <v/>
      </c>
      <c r="Q89" s="49">
        <f>IF(N89&gt;=($N$6*0.9),1,0)</f>
        <v/>
      </c>
      <c r="R89" s="80" t="n">
        <v>66</v>
      </c>
      <c r="S89" s="48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</row>
    <row r="90" ht="19.5" customHeight="1" s="98">
      <c r="A90" s="47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53" t="n"/>
      <c r="E90" s="53" t="n"/>
      <c r="F90" s="80" t="n">
        <v>14</v>
      </c>
      <c r="G90" s="49">
        <f>IF(F90&gt;=($F$6*0.5),1,0)</f>
        <v/>
      </c>
      <c r="H90" s="49">
        <f>IF(F90&gt;=($F$6*0.6),1,0)</f>
        <v/>
      </c>
      <c r="I90" s="49">
        <f>IF(F90&gt;=($F$6*0.7),1,0)</f>
        <v/>
      </c>
      <c r="J90" s="80" t="n">
        <v>27</v>
      </c>
      <c r="K90" s="49">
        <f>IF(J90&gt;=($J$6*0.7),1,0)</f>
        <v/>
      </c>
      <c r="L90" s="49">
        <f>IF(J90&gt;=($J$6*0.8),1,0)</f>
        <v/>
      </c>
      <c r="M90" s="49">
        <f>IF(J90&gt;=($J$6*0.9),1,0)</f>
        <v/>
      </c>
      <c r="N90" s="80" t="n">
        <v>27</v>
      </c>
      <c r="O90" s="49">
        <f>IF(N90&gt;=($N$6*0.7),1,0)</f>
        <v/>
      </c>
      <c r="P90" s="49">
        <f>IF(N90&gt;=($N$6*0.8),1,0)</f>
        <v/>
      </c>
      <c r="Q90" s="49">
        <f>IF(N90&gt;=($N$6*0.9),1,0)</f>
        <v/>
      </c>
      <c r="R90" s="80" t="n">
        <v>68</v>
      </c>
      <c r="S90" s="48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</row>
    <row r="91" ht="19.5" customHeight="1" s="98">
      <c r="A91" s="47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53" t="n"/>
      <c r="E91" s="53" t="n"/>
      <c r="F91" s="80" t="n">
        <v>13</v>
      </c>
      <c r="G91" s="49">
        <f>IF(F91&gt;=($F$6*0.5),1,0)</f>
        <v/>
      </c>
      <c r="H91" s="49">
        <f>IF(F91&gt;=($F$6*0.6),1,0)</f>
        <v/>
      </c>
      <c r="I91" s="49">
        <f>IF(F91&gt;=($F$6*0.7),1,0)</f>
        <v/>
      </c>
      <c r="J91" s="80" t="n">
        <v>24</v>
      </c>
      <c r="K91" s="49">
        <f>IF(J91&gt;=($J$6*0.7),1,0)</f>
        <v/>
      </c>
      <c r="L91" s="49">
        <f>IF(J91&gt;=($J$6*0.8),1,0)</f>
        <v/>
      </c>
      <c r="M91" s="49">
        <f>IF(J91&gt;=($J$6*0.9),1,0)</f>
        <v/>
      </c>
      <c r="N91" s="80" t="n">
        <v>21</v>
      </c>
      <c r="O91" s="49">
        <f>IF(N91&gt;=($N$6*0.7),1,0)</f>
        <v/>
      </c>
      <c r="P91" s="49">
        <f>IF(N91&gt;=($N$6*0.8),1,0)</f>
        <v/>
      </c>
      <c r="Q91" s="49">
        <f>IF(N91&gt;=($N$6*0.9),1,0)</f>
        <v/>
      </c>
      <c r="R91" t="n">
        <v>58</v>
      </c>
      <c r="S91" s="48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</row>
    <row r="92" ht="19.5" customHeight="1" s="98">
      <c r="A92" s="47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s="53" t="n"/>
      <c r="E92" s="53" t="n"/>
      <c r="F92" t="n">
        <v>13</v>
      </c>
      <c r="G92" s="49">
        <f>IF(F92&gt;=($F$6*0.5),1,0)</f>
        <v/>
      </c>
      <c r="H92" s="49">
        <f>IF(F92&gt;=($F$6*0.6),1,0)</f>
        <v/>
      </c>
      <c r="I92" s="49">
        <f>IF(F92&gt;=($F$6*0.7),1,0)</f>
        <v/>
      </c>
      <c r="J92" t="n">
        <v>23</v>
      </c>
      <c r="K92" s="49">
        <f>IF(J92&gt;=($J$6*0.7),1,0)</f>
        <v/>
      </c>
      <c r="L92" s="49">
        <f>IF(J92&gt;=($J$6*0.8),1,0)</f>
        <v/>
      </c>
      <c r="M92" s="49">
        <f>IF(J92&gt;=($J$6*0.9),1,0)</f>
        <v/>
      </c>
      <c r="N92" t="n">
        <v>23</v>
      </c>
      <c r="O92" s="49">
        <f>IF(N92&gt;=($N$6*0.7),1,0)</f>
        <v/>
      </c>
      <c r="P92" s="49">
        <f>IF(N92&gt;=($N$6*0.8),1,0)</f>
        <v/>
      </c>
      <c r="Q92" s="49">
        <f>IF(N92&gt;=($N$6*0.9),1,0)</f>
        <v/>
      </c>
      <c r="R92" s="80" t="n">
        <v>59</v>
      </c>
      <c r="S92" s="48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</row>
    <row r="93" ht="19.5" customHeight="1" s="98">
      <c r="A93" s="47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53" t="n"/>
      <c r="E93" s="53" t="n"/>
      <c r="F93" s="80" t="n">
        <v>11</v>
      </c>
      <c r="G93" s="49">
        <f>IF(F93&gt;=($F$6*0.5),1,0)</f>
        <v/>
      </c>
      <c r="H93" s="49">
        <f>IF(F93&gt;=($F$6*0.6),1,0)</f>
        <v/>
      </c>
      <c r="I93" s="49">
        <f>IF(F93&gt;=($F$6*0.7),1,0)</f>
        <v/>
      </c>
      <c r="J93" s="80" t="n">
        <v>17</v>
      </c>
      <c r="K93" s="49">
        <f>IF(J93&gt;=($J$6*0.7),1,0)</f>
        <v/>
      </c>
      <c r="L93" s="49">
        <f>IF(J93&gt;=($J$6*0.8),1,0)</f>
        <v/>
      </c>
      <c r="M93" s="49">
        <f>IF(J93&gt;=($J$6*0.9),1,0)</f>
        <v/>
      </c>
      <c r="N93" s="80" t="n">
        <v>20</v>
      </c>
      <c r="O93" s="49">
        <f>IF(N93&gt;=($N$6*0.7),1,0)</f>
        <v/>
      </c>
      <c r="P93" s="49">
        <f>IF(N93&gt;=($N$6*0.8),1,0)</f>
        <v/>
      </c>
      <c r="Q93" s="49">
        <f>IF(N93&gt;=($N$6*0.9),1,0)</f>
        <v/>
      </c>
      <c r="R93" s="80" t="n">
        <v>48</v>
      </c>
      <c r="S93" s="48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B93" s="44" t="n"/>
      <c r="AC93" s="44" t="n"/>
      <c r="AD93" s="44" t="n"/>
    </row>
    <row r="94" ht="19.5" customHeight="1" s="98">
      <c r="A94" s="47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53" t="n"/>
      <c r="E94" s="53" t="n"/>
      <c r="F94" s="80" t="n">
        <v>14</v>
      </c>
      <c r="G94" s="49">
        <f>IF(F94&gt;=($F$6*0.5),1,0)</f>
        <v/>
      </c>
      <c r="H94" s="49">
        <f>IF(F94&gt;=($F$6*0.6),1,0)</f>
        <v/>
      </c>
      <c r="I94" s="49">
        <f>IF(F94&gt;=($F$6*0.7),1,0)</f>
        <v/>
      </c>
      <c r="J94" s="80" t="n">
        <v>28</v>
      </c>
      <c r="K94" s="49">
        <f>IF(J94&gt;=($J$6*0.7),1,0)</f>
        <v/>
      </c>
      <c r="L94" s="49">
        <f>IF(J94&gt;=($J$6*0.8),1,0)</f>
        <v/>
      </c>
      <c r="M94" s="49">
        <f>IF(J94&gt;=($J$6*0.9),1,0)</f>
        <v/>
      </c>
      <c r="N94" s="80" t="n">
        <v>28</v>
      </c>
      <c r="O94" s="49">
        <f>IF(N94&gt;=($N$6*0.7),1,0)</f>
        <v/>
      </c>
      <c r="P94" s="49">
        <f>IF(N94&gt;=($N$6*0.8),1,0)</f>
        <v/>
      </c>
      <c r="Q94" s="49">
        <f>IF(N94&gt;=($N$6*0.9),1,0)</f>
        <v/>
      </c>
      <c r="R94" s="80" t="n">
        <v>70</v>
      </c>
      <c r="S94" s="48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</row>
    <row r="95" ht="19.5" customHeight="1" s="98">
      <c r="A95" s="47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s="53" t="n"/>
      <c r="E95" s="53" t="n"/>
      <c r="F95" t="n">
        <v>13</v>
      </c>
      <c r="G95" s="49">
        <f>IF(F95&gt;=($F$6*0.5),1,0)</f>
        <v/>
      </c>
      <c r="H95" s="49">
        <f>IF(F95&gt;=($F$6*0.6),1,0)</f>
        <v/>
      </c>
      <c r="I95" s="49">
        <f>IF(F95&gt;=($F$6*0.7),1,0)</f>
        <v/>
      </c>
      <c r="J95" t="n">
        <v>23</v>
      </c>
      <c r="K95" s="49">
        <f>IF(J95&gt;=($J$6*0.7),1,0)</f>
        <v/>
      </c>
      <c r="L95" s="49">
        <f>IF(J95&gt;=($J$6*0.8),1,0)</f>
        <v/>
      </c>
      <c r="M95" s="49">
        <f>IF(J95&gt;=($J$6*0.9),1,0)</f>
        <v/>
      </c>
      <c r="N95" t="n">
        <v>20</v>
      </c>
      <c r="O95" s="49">
        <f>IF(N95&gt;=($N$6*0.7),1,0)</f>
        <v/>
      </c>
      <c r="P95" s="49">
        <f>IF(N95&gt;=($N$6*0.8),1,0)</f>
        <v/>
      </c>
      <c r="Q95" s="49">
        <f>IF(N95&gt;=($N$6*0.9),1,0)</f>
        <v/>
      </c>
      <c r="R95" s="80" t="n">
        <v>56</v>
      </c>
      <c r="S95" s="48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4" t="n"/>
    </row>
    <row r="96" ht="19.5" customHeight="1" s="98">
      <c r="A96" s="47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53" t="n"/>
      <c r="E96" s="53" t="n"/>
      <c r="F96" s="80" t="n">
        <v>13</v>
      </c>
      <c r="G96" s="49">
        <f>IF(F96&gt;=($F$6*0.5),1,0)</f>
        <v/>
      </c>
      <c r="H96" s="49">
        <f>IF(F96&gt;=($F$6*0.6),1,0)</f>
        <v/>
      </c>
      <c r="I96" s="49">
        <f>IF(F96&gt;=($F$6*0.7),1,0)</f>
        <v/>
      </c>
      <c r="J96" s="80" t="n">
        <v>24</v>
      </c>
      <c r="K96" s="49">
        <f>IF(J96&gt;=($J$6*0.7),1,0)</f>
        <v/>
      </c>
      <c r="L96" s="49">
        <f>IF(J96&gt;=($J$6*0.8),1,0)</f>
        <v/>
      </c>
      <c r="M96" s="49">
        <f>IF(J96&gt;=($J$6*0.9),1,0)</f>
        <v/>
      </c>
      <c r="N96" s="80" t="n">
        <v>21</v>
      </c>
      <c r="O96" s="49">
        <f>IF(N96&gt;=($N$6*0.7),1,0)</f>
        <v/>
      </c>
      <c r="P96" s="49">
        <f>IF(N96&gt;=($N$6*0.8),1,0)</f>
        <v/>
      </c>
      <c r="Q96" s="49">
        <f>IF(N96&gt;=($N$6*0.9),1,0)</f>
        <v/>
      </c>
      <c r="R96" s="80" t="n">
        <v>58</v>
      </c>
      <c r="S96" s="48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</row>
    <row r="97" ht="19.5" customHeight="1" s="98">
      <c r="A97" s="47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53" t="n"/>
      <c r="E97" s="53" t="n"/>
      <c r="F97" s="80" t="n">
        <v>13</v>
      </c>
      <c r="G97" s="49">
        <f>IF(F97&gt;=($F$6*0.5),1,0)</f>
        <v/>
      </c>
      <c r="H97" s="49">
        <f>IF(F97&gt;=($F$6*0.6),1,0)</f>
        <v/>
      </c>
      <c r="I97" s="49">
        <f>IF(F97&gt;=($F$6*0.7),1,0)</f>
        <v/>
      </c>
      <c r="J97" s="80" t="n">
        <v>24</v>
      </c>
      <c r="K97" s="49">
        <f>IF(J97&gt;=($J$6*0.7),1,0)</f>
        <v/>
      </c>
      <c r="L97" s="49">
        <f>IF(J97&gt;=($J$6*0.8),1,0)</f>
        <v/>
      </c>
      <c r="M97" s="49">
        <f>IF(J97&gt;=($J$6*0.9),1,0)</f>
        <v/>
      </c>
      <c r="N97" s="80" t="n">
        <v>24</v>
      </c>
      <c r="O97" s="49">
        <f>IF(N97&gt;=($N$6*0.7),1,0)</f>
        <v/>
      </c>
      <c r="P97" s="49">
        <f>IF(N97&gt;=($N$6*0.8),1,0)</f>
        <v/>
      </c>
      <c r="Q97" s="49">
        <f>IF(N97&gt;=($N$6*0.9),1,0)</f>
        <v/>
      </c>
      <c r="R97" s="80" t="n">
        <v>61</v>
      </c>
      <c r="S97" s="48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4" t="n"/>
    </row>
    <row r="98" ht="19.5" customHeight="1" s="98">
      <c r="A98" s="47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53" t="n"/>
      <c r="E98" s="53" t="n"/>
      <c r="F98" s="80" t="n">
        <v>14</v>
      </c>
      <c r="G98" s="49">
        <f>IF(F98&gt;=($F$6*0.5),1,0)</f>
        <v/>
      </c>
      <c r="H98" s="49">
        <f>IF(F98&gt;=($F$6*0.6),1,0)</f>
        <v/>
      </c>
      <c r="I98" s="49">
        <f>IF(F98&gt;=($F$6*0.7),1,0)</f>
        <v/>
      </c>
      <c r="J98" s="80" t="n">
        <v>28</v>
      </c>
      <c r="K98" s="49">
        <f>IF(J98&gt;=($J$6*0.7),1,0)</f>
        <v/>
      </c>
      <c r="L98" s="49">
        <f>IF(J98&gt;=($J$6*0.8),1,0)</f>
        <v/>
      </c>
      <c r="M98" s="49">
        <f>IF(J98&gt;=($J$6*0.9),1,0)</f>
        <v/>
      </c>
      <c r="N98" s="80" t="n">
        <v>28</v>
      </c>
      <c r="O98" s="49">
        <f>IF(N98&gt;=($N$6*0.7),1,0)</f>
        <v/>
      </c>
      <c r="P98" s="49">
        <f>IF(N98&gt;=($N$6*0.8),1,0)</f>
        <v/>
      </c>
      <c r="Q98" s="49">
        <f>IF(N98&gt;=($N$6*0.9),1,0)</f>
        <v/>
      </c>
      <c r="R98" t="n">
        <v>70</v>
      </c>
      <c r="S98" s="48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</row>
    <row r="99" ht="19.5" customHeight="1" s="98">
      <c r="A99" s="47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53" t="n"/>
      <c r="E99" s="53" t="n"/>
      <c r="F99" s="80" t="n">
        <v>11</v>
      </c>
      <c r="G99" s="49">
        <f>IF(F99&gt;=($F$6*0.5),1,0)</f>
        <v/>
      </c>
      <c r="H99" s="49">
        <f>IF(F99&gt;=($F$6*0.6),1,0)</f>
        <v/>
      </c>
      <c r="I99" s="49">
        <f>IF(F99&gt;=($F$6*0.7),1,0)</f>
        <v/>
      </c>
      <c r="J99" s="80" t="n">
        <v>20</v>
      </c>
      <c r="K99" s="49">
        <f>IF(J99&gt;=($J$6*0.7),1,0)</f>
        <v/>
      </c>
      <c r="L99" s="49">
        <f>IF(J99&gt;=($J$6*0.8),1,0)</f>
        <v/>
      </c>
      <c r="M99" s="49">
        <f>IF(J99&gt;=($J$6*0.9),1,0)</f>
        <v/>
      </c>
      <c r="N99" s="80" t="n">
        <v>19</v>
      </c>
      <c r="O99" s="49">
        <f>IF(N99&gt;=($N$6*0.7),1,0)</f>
        <v/>
      </c>
      <c r="P99" s="49">
        <f>IF(N99&gt;=($N$6*0.8),1,0)</f>
        <v/>
      </c>
      <c r="Q99" s="49">
        <f>IF(N99&gt;=($N$6*0.9),1,0)</f>
        <v/>
      </c>
      <c r="R99" t="n">
        <v>50</v>
      </c>
      <c r="S99" s="48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B99" s="44" t="n"/>
      <c r="AC99" s="44" t="n"/>
      <c r="AD99" s="44" t="n"/>
    </row>
    <row r="100" ht="19.5" customHeight="1" s="98">
      <c r="A100" s="47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53" t="n"/>
      <c r="E100" s="53" t="n"/>
      <c r="F100" s="80" t="n">
        <v>14</v>
      </c>
      <c r="G100" s="49">
        <f>IF(F100&gt;=($F$6*0.5),1,0)</f>
        <v/>
      </c>
      <c r="H100" s="49">
        <f>IF(F100&gt;=($F$6*0.6),1,0)</f>
        <v/>
      </c>
      <c r="I100" s="49">
        <f>IF(F100&gt;=($F$6*0.7),1,0)</f>
        <v/>
      </c>
      <c r="J100" s="80" t="n">
        <v>28</v>
      </c>
      <c r="K100" s="49">
        <f>IF(J100&gt;=($J$6*0.7),1,0)</f>
        <v/>
      </c>
      <c r="L100" s="49">
        <f>IF(J100&gt;=($J$6*0.8),1,0)</f>
        <v/>
      </c>
      <c r="M100" s="49">
        <f>IF(J100&gt;=($J$6*0.9),1,0)</f>
        <v/>
      </c>
      <c r="N100" s="80" t="n">
        <v>25</v>
      </c>
      <c r="O100" s="49">
        <f>IF(N100&gt;=($N$6*0.7),1,0)</f>
        <v/>
      </c>
      <c r="P100" s="49">
        <f>IF(N100&gt;=($N$6*0.8),1,0)</f>
        <v/>
      </c>
      <c r="Q100" s="49">
        <f>IF(N100&gt;=($N$6*0.9),1,0)</f>
        <v/>
      </c>
      <c r="R100" t="n">
        <v>67</v>
      </c>
      <c r="S100" s="48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</row>
    <row r="101" ht="19.5" customHeight="1" s="98">
      <c r="A101" s="47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s="53" t="n"/>
      <c r="E101" s="53" t="n"/>
      <c r="F101" t="n">
        <v>14</v>
      </c>
      <c r="G101" s="49">
        <f>IF(F101&gt;=($F$6*0.5),1,0)</f>
        <v/>
      </c>
      <c r="H101" s="49">
        <f>IF(F101&gt;=($F$6*0.6),1,0)</f>
        <v/>
      </c>
      <c r="I101" s="49">
        <f>IF(F101&gt;=($F$6*0.7),1,0)</f>
        <v/>
      </c>
      <c r="J101" t="n">
        <v>26</v>
      </c>
      <c r="K101" s="49">
        <f>IF(J101&gt;=($J$6*0.7),1,0)</f>
        <v/>
      </c>
      <c r="L101" s="49">
        <f>IF(J101&gt;=($J$6*0.8),1,0)</f>
        <v/>
      </c>
      <c r="M101" s="49">
        <f>IF(J101&gt;=($J$6*0.9),1,0)</f>
        <v/>
      </c>
      <c r="N101" t="n">
        <v>26</v>
      </c>
      <c r="O101" s="49">
        <f>IF(N101&gt;=($N$6*0.7),1,0)</f>
        <v/>
      </c>
      <c r="P101" s="49">
        <f>IF(N101&gt;=($N$6*0.8),1,0)</f>
        <v/>
      </c>
      <c r="Q101" s="49">
        <f>IF(N101&gt;=($N$6*0.9),1,0)</f>
        <v/>
      </c>
      <c r="R101" t="n">
        <v>66</v>
      </c>
      <c r="S101" s="48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</row>
    <row r="102" ht="19.5" customHeight="1" s="98">
      <c r="A102" s="47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53" t="n"/>
      <c r="E102" s="53" t="n"/>
      <c r="F102" s="80" t="n">
        <v>14</v>
      </c>
      <c r="G102" s="49">
        <f>IF(F102&gt;=($F$6*0.5),1,0)</f>
        <v/>
      </c>
      <c r="H102" s="49">
        <f>IF(F102&gt;=($F$6*0.6),1,0)</f>
        <v/>
      </c>
      <c r="I102" s="49">
        <f>IF(F102&gt;=($F$6*0.7),1,0)</f>
        <v/>
      </c>
      <c r="J102" s="80" t="n">
        <v>25</v>
      </c>
      <c r="K102" s="49">
        <f>IF(J102&gt;=($J$6*0.7),1,0)</f>
        <v/>
      </c>
      <c r="L102" s="49">
        <f>IF(J102&gt;=($J$6*0.8),1,0)</f>
        <v/>
      </c>
      <c r="M102" s="49">
        <f>IF(J102&gt;=($J$6*0.9),1,0)</f>
        <v/>
      </c>
      <c r="N102" s="80" t="n">
        <v>26</v>
      </c>
      <c r="O102" s="49">
        <f>IF(N102&gt;=($N$6*0.7),1,0)</f>
        <v/>
      </c>
      <c r="P102" s="49">
        <f>IF(N102&gt;=($N$6*0.8),1,0)</f>
        <v/>
      </c>
      <c r="Q102" s="49">
        <f>IF(N102&gt;=($N$6*0.9),1,0)</f>
        <v/>
      </c>
      <c r="R102" t="n">
        <v>65</v>
      </c>
      <c r="S102" s="48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</row>
    <row r="103" ht="19.5" customHeight="1" s="98">
      <c r="A103" s="47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53" t="n"/>
      <c r="E103" s="53" t="n"/>
      <c r="F103" s="80" t="n">
        <v>11</v>
      </c>
      <c r="G103" s="49">
        <f>IF(F103&gt;=($F$6*0.5),1,0)</f>
        <v/>
      </c>
      <c r="H103" s="49">
        <f>IF(F103&gt;=($F$6*0.6),1,0)</f>
        <v/>
      </c>
      <c r="I103" s="49">
        <f>IF(F103&gt;=($F$6*0.7),1,0)</f>
        <v/>
      </c>
      <c r="J103" s="80" t="n">
        <v>19</v>
      </c>
      <c r="K103" s="49">
        <f>IF(J103&gt;=($J$6*0.7),1,0)</f>
        <v/>
      </c>
      <c r="L103" s="49">
        <f>IF(J103&gt;=($J$6*0.8),1,0)</f>
        <v/>
      </c>
      <c r="M103" s="49">
        <f>IF(J103&gt;=($J$6*0.9),1,0)</f>
        <v/>
      </c>
      <c r="N103" s="80" t="n">
        <v>21</v>
      </c>
      <c r="O103" s="49">
        <f>IF(N103&gt;=($N$6*0.7),1,0)</f>
        <v/>
      </c>
      <c r="P103" s="49">
        <f>IF(N103&gt;=($N$6*0.8),1,0)</f>
        <v/>
      </c>
      <c r="Q103" s="49">
        <f>IF(N103&gt;=($N$6*0.9),1,0)</f>
        <v/>
      </c>
      <c r="R103" t="n">
        <v>51</v>
      </c>
      <c r="S103" s="48" t="n"/>
      <c r="T103" s="44" t="n"/>
      <c r="U103" s="44" t="n"/>
      <c r="V103" s="44" t="n"/>
      <c r="W103" s="44" t="n"/>
      <c r="X103" s="44" t="n"/>
      <c r="Y103" s="44" t="n"/>
      <c r="Z103" s="44" t="n"/>
      <c r="AA103" s="44" t="n"/>
      <c r="AB103" s="44" t="n"/>
      <c r="AC103" s="44" t="n"/>
      <c r="AD103" s="44" t="n"/>
    </row>
    <row r="104" ht="19.5" customHeight="1" s="98">
      <c r="A104" s="47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s="53" t="n"/>
      <c r="E104" s="53" t="n"/>
      <c r="F104" t="n">
        <v>13</v>
      </c>
      <c r="G104" s="49">
        <f>IF(F104&gt;=($F$6*0.5),1,0)</f>
        <v/>
      </c>
      <c r="H104" s="49">
        <f>IF(F104&gt;=($F$6*0.6),1,0)</f>
        <v/>
      </c>
      <c r="I104" s="49">
        <f>IF(F104&gt;=($F$6*0.7),1,0)</f>
        <v/>
      </c>
      <c r="J104" t="n">
        <v>24</v>
      </c>
      <c r="K104" s="49">
        <f>IF(J104&gt;=($J$6*0.7),1,0)</f>
        <v/>
      </c>
      <c r="L104" s="49">
        <f>IF(J104&gt;=($J$6*0.8),1,0)</f>
        <v/>
      </c>
      <c r="M104" s="49">
        <f>IF(J104&gt;=($J$6*0.9),1,0)</f>
        <v/>
      </c>
      <c r="N104" t="n">
        <v>22</v>
      </c>
      <c r="O104" s="49">
        <f>IF(N104&gt;=($N$6*0.7),1,0)</f>
        <v/>
      </c>
      <c r="P104" s="49">
        <f>IF(N104&gt;=($N$6*0.8),1,0)</f>
        <v/>
      </c>
      <c r="Q104" s="49">
        <f>IF(N104&gt;=($N$6*0.9),1,0)</f>
        <v/>
      </c>
      <c r="R104" s="80" t="n">
        <v>59</v>
      </c>
      <c r="S104" s="48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</row>
    <row r="105" ht="19.5" customHeight="1" s="98">
      <c r="A105" s="47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s="53" t="n"/>
      <c r="E105" s="53" t="n"/>
      <c r="F105" t="n">
        <v>14</v>
      </c>
      <c r="G105" s="49">
        <f>IF(F105&gt;=($F$6*0.5),1,0)</f>
        <v/>
      </c>
      <c r="H105" s="49">
        <f>IF(F105&gt;=($F$6*0.6),1,0)</f>
        <v/>
      </c>
      <c r="I105" s="49">
        <f>IF(F105&gt;=($F$6*0.7),1,0)</f>
        <v/>
      </c>
      <c r="J105" t="n">
        <v>28</v>
      </c>
      <c r="K105" s="49">
        <f>IF(J105&gt;=($J$6*0.7),1,0)</f>
        <v/>
      </c>
      <c r="L105" s="49">
        <f>IF(J105&gt;=($J$6*0.8),1,0)</f>
        <v/>
      </c>
      <c r="M105" s="49">
        <f>IF(J105&gt;=($J$6*0.9),1,0)</f>
        <v/>
      </c>
      <c r="N105" t="n">
        <v>28</v>
      </c>
      <c r="O105" s="49">
        <f>IF(N105&gt;=($N$6*0.7),1,0)</f>
        <v/>
      </c>
      <c r="P105" s="49">
        <f>IF(N105&gt;=($N$6*0.8),1,0)</f>
        <v/>
      </c>
      <c r="Q105" s="49">
        <f>IF(N105&gt;=($N$6*0.9),1,0)</f>
        <v/>
      </c>
      <c r="R105" t="n">
        <v>70</v>
      </c>
      <c r="S105" s="48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B105" s="44" t="n"/>
      <c r="AC105" s="44" t="n"/>
      <c r="AD105" s="44" t="n"/>
    </row>
    <row r="106" ht="19.5" customHeight="1" s="98">
      <c r="A106" s="47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53" t="n"/>
      <c r="E106" s="53" t="n"/>
      <c r="F106" s="80" t="n">
        <v>14</v>
      </c>
      <c r="G106" s="49">
        <f>IF(F106&gt;=($F$6*0.5),1,0)</f>
        <v/>
      </c>
      <c r="H106" s="49">
        <f>IF(F106&gt;=($F$6*0.6),1,0)</f>
        <v/>
      </c>
      <c r="I106" s="49">
        <f>IF(F106&gt;=($F$6*0.7),1,0)</f>
        <v/>
      </c>
      <c r="J106" s="80" t="n">
        <v>28</v>
      </c>
      <c r="K106" s="49">
        <f>IF(J106&gt;=($J$6*0.7),1,0)</f>
        <v/>
      </c>
      <c r="L106" s="49">
        <f>IF(J106&gt;=($J$6*0.8),1,0)</f>
        <v/>
      </c>
      <c r="M106" s="49">
        <f>IF(J106&gt;=($J$6*0.9),1,0)</f>
        <v/>
      </c>
      <c r="N106" s="80" t="n">
        <v>28</v>
      </c>
      <c r="O106" s="49">
        <f>IF(N106&gt;=($N$6*0.7),1,0)</f>
        <v/>
      </c>
      <c r="P106" s="49">
        <f>IF(N106&gt;=($N$6*0.8),1,0)</f>
        <v/>
      </c>
      <c r="Q106" s="49">
        <f>IF(N106&gt;=($N$6*0.9),1,0)</f>
        <v/>
      </c>
      <c r="R106" s="80" t="n">
        <v>70</v>
      </c>
      <c r="S106" s="48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</row>
    <row r="107" ht="19.5" customHeight="1" s="98">
      <c r="A107" s="47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s="53" t="n"/>
      <c r="E107" s="53" t="n"/>
      <c r="F107" t="n">
        <v>13</v>
      </c>
      <c r="G107" s="49">
        <f>IF(F107&gt;=($F$6*0.5),1,0)</f>
        <v/>
      </c>
      <c r="H107" s="49">
        <f>IF(F107&gt;=($F$6*0.6),1,0)</f>
        <v/>
      </c>
      <c r="I107" s="49">
        <f>IF(F107&gt;=($F$6*0.7),1,0)</f>
        <v/>
      </c>
      <c r="J107" t="n">
        <v>21</v>
      </c>
      <c r="K107" s="49">
        <f>IF(J107&gt;=($J$6*0.7),1,0)</f>
        <v/>
      </c>
      <c r="L107" s="49">
        <f>IF(J107&gt;=($J$6*0.8),1,0)</f>
        <v/>
      </c>
      <c r="M107" s="49">
        <f>IF(J107&gt;=($J$6*0.9),1,0)</f>
        <v/>
      </c>
      <c r="N107" t="n">
        <v>22</v>
      </c>
      <c r="O107" s="49">
        <f>IF(N107&gt;=($N$6*0.7),1,0)</f>
        <v/>
      </c>
      <c r="P107" s="49">
        <f>IF(N107&gt;=($N$6*0.8),1,0)</f>
        <v/>
      </c>
      <c r="Q107" s="49">
        <f>IF(N107&gt;=($N$6*0.9),1,0)</f>
        <v/>
      </c>
      <c r="R107" t="n">
        <v>56</v>
      </c>
      <c r="S107" s="48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B107" s="44" t="n"/>
      <c r="AC107" s="44" t="n"/>
      <c r="AD107" s="44" t="n"/>
    </row>
    <row r="108" ht="19.5" customHeight="1" s="98">
      <c r="A108" s="47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53" t="n"/>
      <c r="E108" s="53" t="n"/>
      <c r="F108" s="80" t="n">
        <v>14</v>
      </c>
      <c r="G108" s="49">
        <f>IF(F108&gt;=($F$6*0.5),1,0)</f>
        <v/>
      </c>
      <c r="H108" s="49">
        <f>IF(F108&gt;=($F$6*0.6),1,0)</f>
        <v/>
      </c>
      <c r="I108" s="49">
        <f>IF(F108&gt;=($F$6*0.7),1,0)</f>
        <v/>
      </c>
      <c r="J108" s="80" t="n">
        <v>26</v>
      </c>
      <c r="K108" s="49">
        <f>IF(J108&gt;=($J$6*0.7),1,0)</f>
        <v/>
      </c>
      <c r="L108" s="49">
        <f>IF(J108&gt;=($J$6*0.8),1,0)</f>
        <v/>
      </c>
      <c r="M108" s="49">
        <f>IF(J108&gt;=($J$6*0.9),1,0)</f>
        <v/>
      </c>
      <c r="N108" s="80" t="n">
        <v>28</v>
      </c>
      <c r="O108" s="49">
        <f>IF(N108&gt;=($N$6*0.7),1,0)</f>
        <v/>
      </c>
      <c r="P108" s="49">
        <f>IF(N108&gt;=($N$6*0.8),1,0)</f>
        <v/>
      </c>
      <c r="Q108" s="49">
        <f>IF(N108&gt;=($N$6*0.9),1,0)</f>
        <v/>
      </c>
      <c r="R108" s="80" t="n">
        <v>68</v>
      </c>
      <c r="S108" s="48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</row>
    <row r="109" ht="19.5" customHeight="1" s="98">
      <c r="A109" s="47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s="53" t="n"/>
      <c r="E109" s="53" t="n"/>
      <c r="F109" t="n">
        <v>13</v>
      </c>
      <c r="G109" s="49">
        <f>IF(F109&gt;=($F$6*0.5),1,0)</f>
        <v/>
      </c>
      <c r="H109" s="49">
        <f>IF(F109&gt;=($F$6*0.6),1,0)</f>
        <v/>
      </c>
      <c r="I109" s="49">
        <f>IF(F109&gt;=($F$6*0.7),1,0)</f>
        <v/>
      </c>
      <c r="J109" t="n">
        <v>25</v>
      </c>
      <c r="K109" s="49">
        <f>IF(J109&gt;=($J$6*0.7),1,0)</f>
        <v/>
      </c>
      <c r="L109" s="49">
        <f>IF(J109&gt;=($J$6*0.8),1,0)</f>
        <v/>
      </c>
      <c r="M109" s="49">
        <f>IF(J109&gt;=($J$6*0.9),1,0)</f>
        <v/>
      </c>
      <c r="N109" t="n">
        <v>23</v>
      </c>
      <c r="O109" s="49">
        <f>IF(N109&gt;=($N$6*0.7),1,0)</f>
        <v/>
      </c>
      <c r="P109" s="49">
        <f>IF(N109&gt;=($N$6*0.8),1,0)</f>
        <v/>
      </c>
      <c r="Q109" s="49">
        <f>IF(N109&gt;=($N$6*0.9),1,0)</f>
        <v/>
      </c>
      <c r="R109" t="n">
        <v>61</v>
      </c>
      <c r="S109" s="48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B109" s="44" t="n"/>
      <c r="AC109" s="44" t="n"/>
      <c r="AD109" s="44" t="n"/>
    </row>
    <row r="110" ht="19.5" customHeight="1" s="98">
      <c r="A110" s="47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53" t="n"/>
      <c r="E110" s="53" t="n"/>
      <c r="F110" s="80" t="n">
        <v>14</v>
      </c>
      <c r="G110" s="49">
        <f>IF(F110&gt;=($F$6*0.5),1,0)</f>
        <v/>
      </c>
      <c r="H110" s="49">
        <f>IF(F110&gt;=($F$6*0.6),1,0)</f>
        <v/>
      </c>
      <c r="I110" s="49">
        <f>IF(F110&gt;=($F$6*0.7),1,0)</f>
        <v/>
      </c>
      <c r="J110" s="80" t="n">
        <v>28</v>
      </c>
      <c r="K110" s="49">
        <f>IF(J110&gt;=($J$6*0.7),1,0)</f>
        <v/>
      </c>
      <c r="L110" s="49">
        <f>IF(J110&gt;=($J$6*0.8),1,0)</f>
        <v/>
      </c>
      <c r="M110" s="49">
        <f>IF(J110&gt;=($J$6*0.9),1,0)</f>
        <v/>
      </c>
      <c r="N110" s="80" t="n">
        <v>28</v>
      </c>
      <c r="O110" s="49">
        <f>IF(N110&gt;=($N$6*0.7),1,0)</f>
        <v/>
      </c>
      <c r="P110" s="49">
        <f>IF(N110&gt;=($N$6*0.8),1,0)</f>
        <v/>
      </c>
      <c r="Q110" s="49">
        <f>IF(N110&gt;=($N$6*0.9),1,0)</f>
        <v/>
      </c>
      <c r="R110" s="80" t="n">
        <v>70</v>
      </c>
      <c r="S110" s="48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</row>
    <row r="111" ht="19.5" customHeight="1" s="98">
      <c r="A111" s="47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53" t="n"/>
      <c r="E111" s="53" t="n"/>
      <c r="F111" s="80" t="n">
        <v>11</v>
      </c>
      <c r="G111" s="49">
        <f>IF(F111&gt;=($F$6*0.5),1,0)</f>
        <v/>
      </c>
      <c r="H111" s="49">
        <f>IF(F111&gt;=($F$6*0.6),1,0)</f>
        <v/>
      </c>
      <c r="I111" s="49">
        <f>IF(F111&gt;=($F$6*0.7),1,0)</f>
        <v/>
      </c>
      <c r="J111" s="80" t="n">
        <v>19</v>
      </c>
      <c r="K111" s="49">
        <f>IF(J111&gt;=($J$6*0.7),1,0)</f>
        <v/>
      </c>
      <c r="L111" s="49">
        <f>IF(J111&gt;=($J$6*0.8),1,0)</f>
        <v/>
      </c>
      <c r="M111" s="49">
        <f>IF(J111&gt;=($J$6*0.9),1,0)</f>
        <v/>
      </c>
      <c r="N111" s="80" t="n">
        <v>16</v>
      </c>
      <c r="O111" s="49">
        <f>IF(N111&gt;=($N$6*0.7),1,0)</f>
        <v/>
      </c>
      <c r="P111" s="49">
        <f>IF(N111&gt;=($N$6*0.8),1,0)</f>
        <v/>
      </c>
      <c r="Q111" s="49">
        <f>IF(N111&gt;=($N$6*0.9),1,0)</f>
        <v/>
      </c>
      <c r="R111" s="80" t="n">
        <v>46</v>
      </c>
      <c r="S111" s="48" t="n"/>
      <c r="T111" s="44" t="n"/>
      <c r="U111" s="44" t="n"/>
      <c r="V111" s="44" t="n"/>
      <c r="W111" s="44" t="n"/>
      <c r="X111" s="44" t="n"/>
      <c r="Y111" s="44" t="n"/>
      <c r="Z111" s="44" t="n"/>
      <c r="AA111" s="44" t="n"/>
      <c r="AB111" s="44" t="n"/>
      <c r="AC111" s="44" t="n"/>
      <c r="AD111" s="44" t="n"/>
    </row>
    <row r="112" ht="19.5" customHeight="1" s="98">
      <c r="A112" s="47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s="53" t="n"/>
      <c r="E112" s="53" t="n"/>
      <c r="F112" t="n">
        <v>11</v>
      </c>
      <c r="G112" s="49">
        <f>IF(F112&gt;=($F$6*0.5),1,0)</f>
        <v/>
      </c>
      <c r="H112" s="49">
        <f>IF(F112&gt;=($F$6*0.6),1,0)</f>
        <v/>
      </c>
      <c r="I112" s="49">
        <f>IF(F112&gt;=($F$6*0.7),1,0)</f>
        <v/>
      </c>
      <c r="J112" t="n">
        <v>20</v>
      </c>
      <c r="K112" s="49">
        <f>IF(J112&gt;=($J$6*0.7),1,0)</f>
        <v/>
      </c>
      <c r="L112" s="49">
        <f>IF(J112&gt;=($J$6*0.8),1,0)</f>
        <v/>
      </c>
      <c r="M112" s="49">
        <f>IF(J112&gt;=($J$6*0.9),1,0)</f>
        <v/>
      </c>
      <c r="N112" t="n">
        <v>20</v>
      </c>
      <c r="O112" s="49">
        <f>IF(N112&gt;=($N$6*0.7),1,0)</f>
        <v/>
      </c>
      <c r="P112" s="49">
        <f>IF(N112&gt;=($N$6*0.8),1,0)</f>
        <v/>
      </c>
      <c r="Q112" s="49">
        <f>IF(N112&gt;=($N$6*0.9),1,0)</f>
        <v/>
      </c>
      <c r="R112" s="80" t="n">
        <v>51</v>
      </c>
      <c r="S112" s="48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</row>
    <row r="113" ht="19.5" customHeight="1" s="98">
      <c r="A113" s="47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53" t="n"/>
      <c r="E113" s="53" t="n"/>
      <c r="F113" s="80" t="n">
        <v>13</v>
      </c>
      <c r="G113" s="49">
        <f>IF(F113&gt;=($F$6*0.5),1,0)</f>
        <v/>
      </c>
      <c r="H113" s="49">
        <f>IF(F113&gt;=($F$6*0.6),1,0)</f>
        <v/>
      </c>
      <c r="I113" s="49">
        <f>IF(F113&gt;=($F$6*0.7),1,0)</f>
        <v/>
      </c>
      <c r="J113" s="80" t="n">
        <v>23</v>
      </c>
      <c r="K113" s="49">
        <f>IF(J113&gt;=($J$6*0.7),1,0)</f>
        <v/>
      </c>
      <c r="L113" s="49">
        <f>IF(J113&gt;=($J$6*0.8),1,0)</f>
        <v/>
      </c>
      <c r="M113" s="49">
        <f>IF(J113&gt;=($J$6*0.9),1,0)</f>
        <v/>
      </c>
      <c r="N113" s="80" t="n">
        <v>25</v>
      </c>
      <c r="O113" s="49">
        <f>IF(N113&gt;=($N$6*0.7),1,0)</f>
        <v/>
      </c>
      <c r="P113" s="49">
        <f>IF(N113&gt;=($N$6*0.8),1,0)</f>
        <v/>
      </c>
      <c r="Q113" s="49">
        <f>IF(N113&gt;=($N$6*0.9),1,0)</f>
        <v/>
      </c>
      <c r="R113" t="n">
        <v>61</v>
      </c>
      <c r="S113" s="48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B113" s="44" t="n"/>
      <c r="AC113" s="44" t="n"/>
      <c r="AD113" s="44" t="n"/>
    </row>
    <row r="114" ht="19.5" customHeight="1" s="98">
      <c r="A114" s="47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53" t="n"/>
      <c r="E114" s="53" t="n"/>
      <c r="F114" s="80" t="n">
        <v>14</v>
      </c>
      <c r="G114" s="49">
        <f>IF(F114&gt;=($F$6*0.5),1,0)</f>
        <v/>
      </c>
      <c r="H114" s="49">
        <f>IF(F114&gt;=($F$6*0.6),1,0)</f>
        <v/>
      </c>
      <c r="I114" s="49">
        <f>IF(F114&gt;=($F$6*0.7),1,0)</f>
        <v/>
      </c>
      <c r="J114" s="80" t="n">
        <v>26</v>
      </c>
      <c r="K114" s="49">
        <f>IF(J114&gt;=($J$6*0.7),1,0)</f>
        <v/>
      </c>
      <c r="L114" s="49">
        <f>IF(J114&gt;=($J$6*0.8),1,0)</f>
        <v/>
      </c>
      <c r="M114" s="49">
        <f>IF(J114&gt;=($J$6*0.9),1,0)</f>
        <v/>
      </c>
      <c r="N114" s="80" t="n">
        <v>25</v>
      </c>
      <c r="O114" s="49">
        <f>IF(N114&gt;=($N$6*0.7),1,0)</f>
        <v/>
      </c>
      <c r="P114" s="49">
        <f>IF(N114&gt;=($N$6*0.8),1,0)</f>
        <v/>
      </c>
      <c r="Q114" s="49">
        <f>IF(N114&gt;=($N$6*0.9),1,0)</f>
        <v/>
      </c>
      <c r="R114" s="80" t="n">
        <v>65</v>
      </c>
      <c r="S114" s="48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</row>
    <row r="115" ht="19.5" customHeight="1" s="98">
      <c r="A115" s="47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53" t="n"/>
      <c r="E115" s="53" t="n"/>
      <c r="F115" s="80" t="n">
        <v>13</v>
      </c>
      <c r="G115" s="49">
        <f>IF(F115&gt;=($F$6*0.5),1,0)</f>
        <v/>
      </c>
      <c r="H115" s="49">
        <f>IF(F115&gt;=($F$6*0.6),1,0)</f>
        <v/>
      </c>
      <c r="I115" s="49">
        <f>IF(F115&gt;=($F$6*0.7),1,0)</f>
        <v/>
      </c>
      <c r="J115" s="80" t="n">
        <v>23</v>
      </c>
      <c r="K115" s="49">
        <f>IF(J115&gt;=($J$6*0.7),1,0)</f>
        <v/>
      </c>
      <c r="L115" s="49">
        <f>IF(J115&gt;=($J$6*0.8),1,0)</f>
        <v/>
      </c>
      <c r="M115" s="49">
        <f>IF(J115&gt;=($J$6*0.9),1,0)</f>
        <v/>
      </c>
      <c r="N115" s="80" t="n">
        <v>20</v>
      </c>
      <c r="O115" s="49">
        <f>IF(N115&gt;=($N$6*0.7),1,0)</f>
        <v/>
      </c>
      <c r="P115" s="49">
        <f>IF(N115&gt;=($N$6*0.8),1,0)</f>
        <v/>
      </c>
      <c r="Q115" s="49">
        <f>IF(N115&gt;=($N$6*0.9),1,0)</f>
        <v/>
      </c>
      <c r="R115" s="80" t="n">
        <v>56</v>
      </c>
      <c r="S115" s="48" t="n"/>
      <c r="T115" s="44" t="n"/>
      <c r="U115" s="44" t="n"/>
      <c r="V115" s="44" t="n"/>
      <c r="W115" s="44" t="n"/>
      <c r="X115" s="44" t="n"/>
      <c r="Y115" s="44" t="n"/>
      <c r="Z115" s="44" t="n"/>
      <c r="AA115" s="44" t="n"/>
      <c r="AB115" s="44" t="n"/>
      <c r="AC115" s="44" t="n"/>
      <c r="AD115" s="44" t="n"/>
    </row>
    <row r="116" ht="19.5" customHeight="1" s="98">
      <c r="A116" s="47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53" t="n"/>
      <c r="E116" s="53" t="n"/>
      <c r="F116" s="80" t="n">
        <v>13</v>
      </c>
      <c r="G116" s="49">
        <f>IF(F116&gt;=($F$6*0.5),1,0)</f>
        <v/>
      </c>
      <c r="H116" s="49">
        <f>IF(F116&gt;=($F$6*0.6),1,0)</f>
        <v/>
      </c>
      <c r="I116" s="49">
        <f>IF(F116&gt;=($F$6*0.7),1,0)</f>
        <v/>
      </c>
      <c r="J116" s="80" t="n">
        <v>22</v>
      </c>
      <c r="K116" s="49">
        <f>IF(J116&gt;=($J$6*0.7),1,0)</f>
        <v/>
      </c>
      <c r="L116" s="49">
        <f>IF(J116&gt;=($J$6*0.8),1,0)</f>
        <v/>
      </c>
      <c r="M116" s="49">
        <f>IF(J116&gt;=($J$6*0.9),1,0)</f>
        <v/>
      </c>
      <c r="N116" s="80" t="n">
        <v>22</v>
      </c>
      <c r="O116" s="49">
        <f>IF(N116&gt;=($N$6*0.7),1,0)</f>
        <v/>
      </c>
      <c r="P116" s="49">
        <f>IF(N116&gt;=($N$6*0.8),1,0)</f>
        <v/>
      </c>
      <c r="Q116" s="49">
        <f>IF(N116&gt;=($N$6*0.9),1,0)</f>
        <v/>
      </c>
      <c r="R116" s="80" t="n">
        <v>57</v>
      </c>
      <c r="S116" s="48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</row>
    <row r="117" ht="19.5" customHeight="1" s="98">
      <c r="A117" s="47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s="49" t="n"/>
      <c r="E117" s="23" t="n"/>
      <c r="F117" t="n">
        <v>13</v>
      </c>
      <c r="G117" s="49">
        <f>IF(F117&gt;=($F$6*0.5),1,0)</f>
        <v/>
      </c>
      <c r="H117" s="49">
        <f>IF(F117&gt;=($F$6*0.6),1,0)</f>
        <v/>
      </c>
      <c r="I117" s="49">
        <f>IF(F117&gt;=($F$6*0.7),1,0)</f>
        <v/>
      </c>
      <c r="J117" t="n">
        <v>25</v>
      </c>
      <c r="K117" s="49">
        <f>IF(J117&gt;=($J$6*0.7),1,0)</f>
        <v/>
      </c>
      <c r="L117" s="49">
        <f>IF(J117&gt;=($J$6*0.8),1,0)</f>
        <v/>
      </c>
      <c r="M117" s="49">
        <f>IF(J117&gt;=($J$6*0.9),1,0)</f>
        <v/>
      </c>
      <c r="N117" t="n">
        <v>26</v>
      </c>
      <c r="O117" s="49">
        <f>IF(N117&gt;=($N$6*0.7),1,0)</f>
        <v/>
      </c>
      <c r="P117" s="49">
        <f>IF(N117&gt;=($N$6*0.8),1,0)</f>
        <v/>
      </c>
      <c r="Q117" s="49">
        <f>IF(N117&gt;=($N$6*0.9),1,0)</f>
        <v/>
      </c>
      <c r="R117" s="80" t="n">
        <v>64</v>
      </c>
      <c r="S117" s="48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B117" s="44" t="n"/>
      <c r="AC117" s="44" t="n"/>
      <c r="AD117" s="44" t="n"/>
    </row>
    <row r="118" ht="19.5" customHeight="1" s="98">
      <c r="A118" s="47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49" t="n"/>
      <c r="E118" s="23" t="n"/>
      <c r="F118" s="80" t="n">
        <v>13</v>
      </c>
      <c r="G118" s="49">
        <f>IF(F118&gt;=($F$6*0.5),1,0)</f>
        <v/>
      </c>
      <c r="H118" s="49">
        <f>IF(F118&gt;=($F$6*0.6),1,0)</f>
        <v/>
      </c>
      <c r="I118" s="49">
        <f>IF(F118&gt;=($F$6*0.7),1,0)</f>
        <v/>
      </c>
      <c r="J118" s="80" t="n">
        <v>22</v>
      </c>
      <c r="K118" s="49">
        <f>IF(J118&gt;=($J$6*0.7),1,0)</f>
        <v/>
      </c>
      <c r="L118" s="49">
        <f>IF(J118&gt;=($J$6*0.8),1,0)</f>
        <v/>
      </c>
      <c r="M118" s="49">
        <f>IF(J118&gt;=($J$6*0.9),1,0)</f>
        <v/>
      </c>
      <c r="N118" s="80" t="n">
        <v>25</v>
      </c>
      <c r="O118" s="49">
        <f>IF(N118&gt;=($N$6*0.7),1,0)</f>
        <v/>
      </c>
      <c r="P118" s="49">
        <f>IF(N118&gt;=($N$6*0.8),1,0)</f>
        <v/>
      </c>
      <c r="Q118" s="49">
        <f>IF(N118&gt;=($N$6*0.9),1,0)</f>
        <v/>
      </c>
      <c r="R118" s="80" t="n">
        <v>60</v>
      </c>
      <c r="S118" s="48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</row>
    <row r="119" ht="19.5" customHeight="1" s="98">
      <c r="A119" s="47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s="49" t="n"/>
      <c r="E119" s="23" t="n"/>
      <c r="F119" t="n">
        <v>14</v>
      </c>
      <c r="G119" s="49">
        <f>IF(F119&gt;=($F$6*0.5),1,0)</f>
        <v/>
      </c>
      <c r="H119" s="49">
        <f>IF(F119&gt;=($F$6*0.6),1,0)</f>
        <v/>
      </c>
      <c r="I119" s="49">
        <f>IF(F119&gt;=($F$6*0.7),1,0)</f>
        <v/>
      </c>
      <c r="J119" t="n">
        <v>28</v>
      </c>
      <c r="K119" s="49">
        <f>IF(J119&gt;=($J$6*0.7),1,0)</f>
        <v/>
      </c>
      <c r="L119" s="49">
        <f>IF(J119&gt;=($J$6*0.8),1,0)</f>
        <v/>
      </c>
      <c r="M119" s="49">
        <f>IF(J119&gt;=($J$6*0.9),1,0)</f>
        <v/>
      </c>
      <c r="N119" t="n">
        <v>28</v>
      </c>
      <c r="O119" s="49">
        <f>IF(N119&gt;=($N$6*0.7),1,0)</f>
        <v/>
      </c>
      <c r="P119" s="49">
        <f>IF(N119&gt;=($N$6*0.8),1,0)</f>
        <v/>
      </c>
      <c r="Q119" s="49">
        <f>IF(N119&gt;=($N$6*0.9),1,0)</f>
        <v/>
      </c>
      <c r="R119" t="n">
        <v>70</v>
      </c>
      <c r="S119" s="48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4" t="n"/>
    </row>
    <row r="120" ht="19.5" customHeight="1" s="98">
      <c r="A120" s="47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49" t="n"/>
      <c r="E120" s="23" t="n"/>
      <c r="F120" s="80" t="n">
        <v>13</v>
      </c>
      <c r="G120" s="49">
        <f>IF(F120&gt;=($F$6*0.5),1,0)</f>
        <v/>
      </c>
      <c r="H120" s="49">
        <f>IF(F120&gt;=($F$6*0.6),1,0)</f>
        <v/>
      </c>
      <c r="I120" s="49">
        <f>IF(F120&gt;=($F$6*0.7),1,0)</f>
        <v/>
      </c>
      <c r="J120" s="80" t="n">
        <v>24</v>
      </c>
      <c r="K120" s="49">
        <f>IF(J120&gt;=($J$6*0.7),1,0)</f>
        <v/>
      </c>
      <c r="L120" s="49">
        <f>IF(J120&gt;=($J$6*0.8),1,0)</f>
        <v/>
      </c>
      <c r="M120" s="49">
        <f>IF(J120&gt;=($J$6*0.9),1,0)</f>
        <v/>
      </c>
      <c r="N120" s="80" t="n">
        <v>24</v>
      </c>
      <c r="O120" s="49">
        <f>IF(N120&gt;=($N$6*0.7),1,0)</f>
        <v/>
      </c>
      <c r="P120" s="49">
        <f>IF(N120&gt;=($N$6*0.8),1,0)</f>
        <v/>
      </c>
      <c r="Q120" s="49">
        <f>IF(N120&gt;=($N$6*0.9),1,0)</f>
        <v/>
      </c>
      <c r="R120" t="n">
        <v>61</v>
      </c>
      <c r="S120" s="48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</row>
    <row r="121" ht="19.5" customHeight="1" s="98">
      <c r="A121" s="47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49" t="n"/>
      <c r="E121" s="23" t="n"/>
      <c r="F121" s="80" t="n">
        <v>13</v>
      </c>
      <c r="G121" s="49">
        <f>IF(F121&gt;=($F$6*0.5),1,0)</f>
        <v/>
      </c>
      <c r="H121" s="49">
        <f>IF(F121&gt;=($F$6*0.6),1,0)</f>
        <v/>
      </c>
      <c r="I121" s="49">
        <f>IF(F121&gt;=($F$6*0.7),1,0)</f>
        <v/>
      </c>
      <c r="J121" s="80" t="n">
        <v>24</v>
      </c>
      <c r="K121" s="49">
        <f>IF(J121&gt;=($J$6*0.7),1,0)</f>
        <v/>
      </c>
      <c r="L121" s="49">
        <f>IF(J121&gt;=($J$6*0.8),1,0)</f>
        <v/>
      </c>
      <c r="M121" s="49">
        <f>IF(J121&gt;=($J$6*0.9),1,0)</f>
        <v/>
      </c>
      <c r="N121" s="80" t="n">
        <v>21</v>
      </c>
      <c r="O121" s="49">
        <f>IF(N121&gt;=($N$6*0.7),1,0)</f>
        <v/>
      </c>
      <c r="P121" s="49">
        <f>IF(N121&gt;=($N$6*0.8),1,0)</f>
        <v/>
      </c>
      <c r="Q121" s="49">
        <f>IF(N121&gt;=($N$6*0.9),1,0)</f>
        <v/>
      </c>
      <c r="R121" t="n">
        <v>58</v>
      </c>
      <c r="S121" s="48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</row>
    <row r="122" ht="19.5" customHeight="1" s="98">
      <c r="A122" s="47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49" t="n"/>
      <c r="E122" s="23" t="n"/>
      <c r="F122" s="80" t="n">
        <v>14</v>
      </c>
      <c r="G122" s="49">
        <f>IF(F122&gt;=($F$6*0.5),1,0)</f>
        <v/>
      </c>
      <c r="H122" s="49">
        <f>IF(F122&gt;=($F$6*0.6),1,0)</f>
        <v/>
      </c>
      <c r="I122" s="49">
        <f>IF(F122&gt;=($F$6*0.7),1,0)</f>
        <v/>
      </c>
      <c r="J122" s="80" t="n">
        <v>26</v>
      </c>
      <c r="K122" s="49">
        <f>IF(J122&gt;=($J$6*0.7),1,0)</f>
        <v/>
      </c>
      <c r="L122" s="49">
        <f>IF(J122&gt;=($J$6*0.8),1,0)</f>
        <v/>
      </c>
      <c r="M122" s="49">
        <f>IF(J122&gt;=($J$6*0.9),1,0)</f>
        <v/>
      </c>
      <c r="N122" s="80" t="n">
        <v>26</v>
      </c>
      <c r="O122" s="49">
        <f>IF(N122&gt;=($N$6*0.7),1,0)</f>
        <v/>
      </c>
      <c r="P122" s="49">
        <f>IF(N122&gt;=($N$6*0.8),1,0)</f>
        <v/>
      </c>
      <c r="Q122" s="49">
        <f>IF(N122&gt;=($N$6*0.9),1,0)</f>
        <v/>
      </c>
      <c r="R122" s="80" t="n">
        <v>66</v>
      </c>
      <c r="S122" s="48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</row>
    <row r="123" ht="24" customHeight="1" s="98">
      <c r="A123" s="47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49" t="n"/>
      <c r="E123" s="23" t="n"/>
      <c r="F123" s="80" t="n">
        <v>11</v>
      </c>
      <c r="G123" s="49">
        <f>IF(F123&gt;=($F$6*0.5),1,0)</f>
        <v/>
      </c>
      <c r="H123" s="49">
        <f>IF(F123&gt;=($F$6*0.6),1,0)</f>
        <v/>
      </c>
      <c r="I123" s="49">
        <f>IF(F123&gt;=($F$6*0.7),1,0)</f>
        <v/>
      </c>
      <c r="J123" s="80" t="n">
        <v>20</v>
      </c>
      <c r="K123" s="49">
        <f>IF(J123&gt;=($J$6*0.7),1,0)</f>
        <v/>
      </c>
      <c r="L123" s="49">
        <f>IF(J123&gt;=($J$6*0.8),1,0)</f>
        <v/>
      </c>
      <c r="M123" s="49">
        <f>IF(J123&gt;=($J$6*0.9),1,0)</f>
        <v/>
      </c>
      <c r="N123" s="80" t="n">
        <v>22</v>
      </c>
      <c r="O123" s="49">
        <f>IF(N123&gt;=($N$6*0.7),1,0)</f>
        <v/>
      </c>
      <c r="P123" s="49">
        <f>IF(N123&gt;=($N$6*0.8),1,0)</f>
        <v/>
      </c>
      <c r="Q123" s="49">
        <f>IF(N123&gt;=($N$6*0.9),1,0)</f>
        <v/>
      </c>
      <c r="R123" t="n">
        <v>53</v>
      </c>
      <c r="S123" s="48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</row>
    <row r="124" ht="15.75" customHeight="1" s="98">
      <c r="A124" s="47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49" t="n"/>
      <c r="E124" s="49" t="n"/>
      <c r="F124" s="80" t="n">
        <v>14</v>
      </c>
      <c r="G124" s="49">
        <f>IF(F124&gt;=($F$6*0.5),1,0)</f>
        <v/>
      </c>
      <c r="H124" s="49">
        <f>IF(F124&gt;=($F$6*0.6),1,0)</f>
        <v/>
      </c>
      <c r="I124" s="49">
        <f>IF(F124&gt;=($F$6*0.7),1,0)</f>
        <v/>
      </c>
      <c r="J124" s="80" t="n">
        <v>28</v>
      </c>
      <c r="K124" s="49">
        <f>IF(J124&gt;=($J$6*0.7),1,0)</f>
        <v/>
      </c>
      <c r="L124" s="49">
        <f>IF(J124&gt;=($J$6*0.8),1,0)</f>
        <v/>
      </c>
      <c r="M124" s="49">
        <f>IF(J124&gt;=($J$6*0.9),1,0)</f>
        <v/>
      </c>
      <c r="N124" s="80" t="n">
        <v>28</v>
      </c>
      <c r="O124" s="49">
        <f>IF(N124&gt;=($N$6*0.7),1,0)</f>
        <v/>
      </c>
      <c r="P124" s="49">
        <f>IF(N124&gt;=($N$6*0.8),1,0)</f>
        <v/>
      </c>
      <c r="Q124" s="49">
        <f>IF(N124&gt;=($N$6*0.9),1,0)</f>
        <v/>
      </c>
      <c r="R124" t="n">
        <v>70</v>
      </c>
      <c r="S124" s="48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</row>
    <row r="125" ht="15.75" customHeight="1" s="98">
      <c r="A125" s="47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49" t="n"/>
      <c r="E125" s="49" t="n"/>
      <c r="F125" s="80" t="n">
        <v>11</v>
      </c>
      <c r="G125" s="49">
        <f>IF(F125&gt;=($F$6*0.5),1,0)</f>
        <v/>
      </c>
      <c r="H125" s="49">
        <f>IF(F125&gt;=($F$6*0.6),1,0)</f>
        <v/>
      </c>
      <c r="I125" s="49">
        <f>IF(F125&gt;=($F$6*0.7),1,0)</f>
        <v/>
      </c>
      <c r="J125" s="80" t="n">
        <v>19</v>
      </c>
      <c r="K125" s="49">
        <f>IF(J125&gt;=($J$6*0.7),1,0)</f>
        <v/>
      </c>
      <c r="L125" s="49">
        <f>IF(J125&gt;=($J$6*0.8),1,0)</f>
        <v/>
      </c>
      <c r="M125" s="49">
        <f>IF(J125&gt;=($J$6*0.9),1,0)</f>
        <v/>
      </c>
      <c r="N125" s="80" t="n">
        <v>19</v>
      </c>
      <c r="O125" s="49">
        <f>IF(N125&gt;=($N$6*0.7),1,0)</f>
        <v/>
      </c>
      <c r="P125" s="49">
        <f>IF(N125&gt;=($N$6*0.8),1,0)</f>
        <v/>
      </c>
      <c r="Q125" s="49">
        <f>IF(N125&gt;=($N$6*0.9),1,0)</f>
        <v/>
      </c>
      <c r="R125" s="80" t="n">
        <v>49</v>
      </c>
      <c r="S125" s="48" t="n"/>
      <c r="T125" s="44" t="n"/>
      <c r="U125" s="44" t="n"/>
      <c r="V125" s="44" t="n"/>
      <c r="W125" s="44" t="n"/>
      <c r="X125" s="44" t="n"/>
      <c r="Y125" s="44" t="n"/>
      <c r="Z125" s="44" t="n"/>
      <c r="AA125" s="44" t="n"/>
      <c r="AB125" s="44" t="n"/>
      <c r="AC125" s="44" t="n"/>
      <c r="AD125" s="44" t="n"/>
    </row>
    <row r="126" ht="15.75" customHeight="1" s="98">
      <c r="A126" s="47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49" t="n"/>
      <c r="E126" s="49" t="n"/>
      <c r="F126" s="80" t="n">
        <v>11</v>
      </c>
      <c r="G126" s="49">
        <f>IF(F126&gt;=($F$6*0.5),1,0)</f>
        <v/>
      </c>
      <c r="H126" s="49">
        <f>IF(F126&gt;=($F$6*0.6),1,0)</f>
        <v/>
      </c>
      <c r="I126" s="49">
        <f>IF(F126&gt;=($F$6*0.7),1,0)</f>
        <v/>
      </c>
      <c r="J126" s="80" t="n">
        <v>23</v>
      </c>
      <c r="K126" s="49">
        <f>IF(J126&gt;=($J$6*0.7),1,0)</f>
        <v/>
      </c>
      <c r="L126" s="49">
        <f>IF(J126&gt;=($J$6*0.8),1,0)</f>
        <v/>
      </c>
      <c r="M126" s="49">
        <f>IF(J126&gt;=($J$6*0.9),1,0)</f>
        <v/>
      </c>
      <c r="N126" s="80" t="n">
        <v>20</v>
      </c>
      <c r="O126" s="49">
        <f>IF(N126&gt;=($N$6*0.7),1,0)</f>
        <v/>
      </c>
      <c r="P126" s="49">
        <f>IF(N126&gt;=($N$6*0.8),1,0)</f>
        <v/>
      </c>
      <c r="Q126" s="49">
        <f>IF(N126&gt;=($N$6*0.9),1,0)</f>
        <v/>
      </c>
      <c r="R126" s="80" t="n">
        <v>54</v>
      </c>
      <c r="S126" s="48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</row>
    <row r="127" ht="15.75" customHeight="1" s="98">
      <c r="A127" s="47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s="49" t="n"/>
      <c r="E127" s="49" t="n"/>
      <c r="F127" t="n">
        <v>11</v>
      </c>
      <c r="G127" s="49">
        <f>IF(F127&gt;=($F$6*0.5),1,0)</f>
        <v/>
      </c>
      <c r="H127" s="49">
        <f>IF(F127&gt;=($F$6*0.6),1,0)</f>
        <v/>
      </c>
      <c r="I127" s="49">
        <f>IF(F127&gt;=($F$6*0.7),1,0)</f>
        <v/>
      </c>
      <c r="J127" t="n">
        <v>20</v>
      </c>
      <c r="K127" s="49">
        <f>IF(J127&gt;=($J$6*0.7),1,0)</f>
        <v/>
      </c>
      <c r="L127" s="49">
        <f>IF(J127&gt;=($J$6*0.8),1,0)</f>
        <v/>
      </c>
      <c r="M127" s="49">
        <f>IF(J127&gt;=($J$6*0.9),1,0)</f>
        <v/>
      </c>
      <c r="N127" t="n">
        <v>20</v>
      </c>
      <c r="O127" s="49">
        <f>IF(N127&gt;=($N$6*0.7),1,0)</f>
        <v/>
      </c>
      <c r="P127" s="49">
        <f>IF(N127&gt;=($N$6*0.8),1,0)</f>
        <v/>
      </c>
      <c r="Q127" s="49">
        <f>IF(N127&gt;=($N$6*0.9),1,0)</f>
        <v/>
      </c>
      <c r="R127" s="80" t="n">
        <v>51</v>
      </c>
      <c r="S127" s="48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4" t="n"/>
    </row>
    <row r="128" ht="15.75" customHeight="1" s="98">
      <c r="A128" s="47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49" t="n"/>
      <c r="E128" s="49" t="n"/>
      <c r="F128" s="80" t="n">
        <v>13</v>
      </c>
      <c r="G128" s="49">
        <f>IF(F128&gt;=($F$6*0.5),1,0)</f>
        <v/>
      </c>
      <c r="H128" s="49">
        <f>IF(F128&gt;=($F$6*0.6),1,0)</f>
        <v/>
      </c>
      <c r="I128" s="49">
        <f>IF(F128&gt;=($F$6*0.7),1,0)</f>
        <v/>
      </c>
      <c r="J128" s="80" t="n">
        <v>22</v>
      </c>
      <c r="K128" s="49">
        <f>IF(J128&gt;=($J$6*0.7),1,0)</f>
        <v/>
      </c>
      <c r="L128" s="49">
        <f>IF(J128&gt;=($J$6*0.8),1,0)</f>
        <v/>
      </c>
      <c r="M128" s="49">
        <f>IF(J128&gt;=($J$6*0.9),1,0)</f>
        <v/>
      </c>
      <c r="N128" s="80" t="n">
        <v>24</v>
      </c>
      <c r="O128" s="49">
        <f>IF(N128&gt;=($N$6*0.7),1,0)</f>
        <v/>
      </c>
      <c r="P128" s="49">
        <f>IF(N128&gt;=($N$6*0.8),1,0)</f>
        <v/>
      </c>
      <c r="Q128" s="49">
        <f>IF(N128&gt;=($N$6*0.9),1,0)</f>
        <v/>
      </c>
      <c r="R128" t="n">
        <v>59</v>
      </c>
      <c r="S128" s="48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</row>
    <row r="129" ht="15.75" customHeight="1" s="98">
      <c r="A129" s="47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s="49" t="n"/>
      <c r="E129" s="49" t="n"/>
      <c r="F129" t="n">
        <v>13</v>
      </c>
      <c r="G129" s="49">
        <f>IF(F129&gt;=($F$6*0.5),1,0)</f>
        <v/>
      </c>
      <c r="H129" s="49">
        <f>IF(F129&gt;=($F$6*0.6),1,0)</f>
        <v/>
      </c>
      <c r="I129" s="49">
        <f>IF(F129&gt;=($F$6*0.7),1,0)</f>
        <v/>
      </c>
      <c r="J129" t="n">
        <v>26</v>
      </c>
      <c r="K129" s="49">
        <f>IF(J129&gt;=($J$6*0.7),1,0)</f>
        <v/>
      </c>
      <c r="L129" s="49">
        <f>IF(J129&gt;=($J$6*0.8),1,0)</f>
        <v/>
      </c>
      <c r="M129" s="49">
        <f>IF(J129&gt;=($J$6*0.9),1,0)</f>
        <v/>
      </c>
      <c r="N129" t="n">
        <v>25</v>
      </c>
      <c r="O129" s="49">
        <f>IF(N129&gt;=($N$6*0.7),1,0)</f>
        <v/>
      </c>
      <c r="P129" s="49">
        <f>IF(N129&gt;=($N$6*0.8),1,0)</f>
        <v/>
      </c>
      <c r="Q129" s="49">
        <f>IF(N129&gt;=($N$6*0.9),1,0)</f>
        <v/>
      </c>
      <c r="R129" s="80" t="n">
        <v>64</v>
      </c>
      <c r="S129" s="48" t="n"/>
      <c r="T129" s="44" t="n"/>
      <c r="U129" s="44" t="n"/>
      <c r="V129" s="44" t="n"/>
      <c r="W129" s="44" t="n"/>
      <c r="X129" s="44" t="n"/>
      <c r="Y129" s="44" t="n"/>
      <c r="Z129" s="44" t="n"/>
      <c r="AA129" s="44" t="n"/>
      <c r="AB129" s="44" t="n"/>
      <c r="AC129" s="44" t="n"/>
      <c r="AD129" s="44" t="n"/>
    </row>
    <row r="130" ht="15.75" customHeight="1" s="98">
      <c r="A130" s="47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49" t="n"/>
      <c r="E130" s="49" t="n"/>
      <c r="F130" s="80" t="n">
        <v>14</v>
      </c>
      <c r="G130" s="49">
        <f>IF(F130&gt;=($F$6*0.5),1,0)</f>
        <v/>
      </c>
      <c r="H130" s="49">
        <f>IF(F130&gt;=($F$6*0.6),1,0)</f>
        <v/>
      </c>
      <c r="I130" s="49">
        <f>IF(F130&gt;=($F$6*0.7),1,0)</f>
        <v/>
      </c>
      <c r="J130" s="80" t="n">
        <v>28</v>
      </c>
      <c r="K130" s="49">
        <f>IF(J130&gt;=($J$6*0.7),1,0)</f>
        <v/>
      </c>
      <c r="L130" s="49">
        <f>IF(J130&gt;=($J$6*0.8),1,0)</f>
        <v/>
      </c>
      <c r="M130" s="49">
        <f>IF(J130&gt;=($J$6*0.9),1,0)</f>
        <v/>
      </c>
      <c r="N130" s="80" t="n">
        <v>28</v>
      </c>
      <c r="O130" s="49">
        <f>IF(N130&gt;=($N$6*0.7),1,0)</f>
        <v/>
      </c>
      <c r="P130" s="49">
        <f>IF(N130&gt;=($N$6*0.8),1,0)</f>
        <v/>
      </c>
      <c r="Q130" s="49">
        <f>IF(N130&gt;=($N$6*0.9),1,0)</f>
        <v/>
      </c>
      <c r="R130" s="80" t="n">
        <v>70</v>
      </c>
      <c r="S130" s="48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</row>
    <row r="131" ht="15.75" customHeight="1" s="98">
      <c r="A131" s="47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49" t="n"/>
      <c r="E131" s="49" t="n"/>
      <c r="F131" s="80" t="n">
        <v>13</v>
      </c>
      <c r="G131" s="49">
        <f>IF(F131&gt;=($F$6*0.5),1,0)</f>
        <v/>
      </c>
      <c r="H131" s="49">
        <f>IF(F131&gt;=($F$6*0.6),1,0)</f>
        <v/>
      </c>
      <c r="I131" s="49">
        <f>IF(F131&gt;=($F$6*0.7),1,0)</f>
        <v/>
      </c>
      <c r="J131" s="80" t="n">
        <v>24</v>
      </c>
      <c r="K131" s="49">
        <f>IF(J131&gt;=($J$6*0.7),1,0)</f>
        <v/>
      </c>
      <c r="L131" s="49">
        <f>IF(J131&gt;=($J$6*0.8),1,0)</f>
        <v/>
      </c>
      <c r="M131" s="49">
        <f>IF(J131&gt;=($J$6*0.9),1,0)</f>
        <v/>
      </c>
      <c r="N131" s="80" t="n">
        <v>24</v>
      </c>
      <c r="O131" s="49">
        <f>IF(N131&gt;=($N$6*0.7),1,0)</f>
        <v/>
      </c>
      <c r="P131" s="49">
        <f>IF(N131&gt;=($N$6*0.8),1,0)</f>
        <v/>
      </c>
      <c r="Q131" s="49">
        <f>IF(N131&gt;=($N$6*0.9),1,0)</f>
        <v/>
      </c>
      <c r="R131" s="80" t="n">
        <v>61</v>
      </c>
      <c r="S131" s="48" t="n"/>
      <c r="T131" s="44" t="n"/>
      <c r="U131" s="44" t="n"/>
      <c r="V131" s="44" t="n"/>
      <c r="W131" s="44" t="n"/>
      <c r="X131" s="44" t="n"/>
      <c r="Y131" s="44" t="n"/>
      <c r="Z131" s="44" t="n"/>
      <c r="AA131" s="44" t="n"/>
      <c r="AB131" s="44" t="n"/>
      <c r="AC131" s="44" t="n"/>
      <c r="AD131" s="44" t="n"/>
    </row>
    <row r="132" ht="15.75" customHeight="1" s="98">
      <c r="A132" s="47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s="49" t="n"/>
      <c r="E132" s="49" t="n"/>
      <c r="F132" t="n">
        <v>11</v>
      </c>
      <c r="G132" s="49">
        <f>IF(F132&gt;=($F$6*0.5),1,0)</f>
        <v/>
      </c>
      <c r="H132" s="49">
        <f>IF(F132&gt;=($F$6*0.6),1,0)</f>
        <v/>
      </c>
      <c r="I132" s="49">
        <f>IF(F132&gt;=($F$6*0.7),1,0)</f>
        <v/>
      </c>
      <c r="J132" t="n">
        <v>20</v>
      </c>
      <c r="K132" s="49">
        <f>IF(J132&gt;=($J$6*0.7),1,0)</f>
        <v/>
      </c>
      <c r="L132" s="49">
        <f>IF(J132&gt;=($J$6*0.8),1,0)</f>
        <v/>
      </c>
      <c r="M132" s="49">
        <f>IF(J132&gt;=($J$6*0.9),1,0)</f>
        <v/>
      </c>
      <c r="N132" t="n">
        <v>20</v>
      </c>
      <c r="O132" s="49">
        <f>IF(N132&gt;=($N$6*0.7),1,0)</f>
        <v/>
      </c>
      <c r="P132" s="49">
        <f>IF(N132&gt;=($N$6*0.8),1,0)</f>
        <v/>
      </c>
      <c r="Q132" s="49">
        <f>IF(N132&gt;=($N$6*0.9),1,0)</f>
        <v/>
      </c>
      <c r="R132" s="80" t="n">
        <v>51</v>
      </c>
      <c r="S132" s="48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</row>
    <row r="133" ht="15.75" customHeight="1" s="98">
      <c r="A133" s="47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s="49" t="n"/>
      <c r="E133" s="49" t="n"/>
      <c r="F133" t="n">
        <v>13</v>
      </c>
      <c r="G133" s="49">
        <f>IF(F133&gt;=($F$6*0.5),1,0)</f>
        <v/>
      </c>
      <c r="H133" s="49">
        <f>IF(F133&gt;=($F$6*0.6),1,0)</f>
        <v/>
      </c>
      <c r="I133" s="49">
        <f>IF(F133&gt;=($F$6*0.7),1,0)</f>
        <v/>
      </c>
      <c r="J133" t="n">
        <v>21</v>
      </c>
      <c r="K133" s="49">
        <f>IF(J133&gt;=($J$6*0.7),1,0)</f>
        <v/>
      </c>
      <c r="L133" s="49">
        <f>IF(J133&gt;=($J$6*0.8),1,0)</f>
        <v/>
      </c>
      <c r="M133" s="49">
        <f>IF(J133&gt;=($J$6*0.9),1,0)</f>
        <v/>
      </c>
      <c r="N133" t="n">
        <v>24</v>
      </c>
      <c r="O133" s="49">
        <f>IF(N133&gt;=($N$6*0.7),1,0)</f>
        <v/>
      </c>
      <c r="P133" s="49">
        <f>IF(N133&gt;=($N$6*0.8),1,0)</f>
        <v/>
      </c>
      <c r="Q133" s="49">
        <f>IF(N133&gt;=($N$6*0.9),1,0)</f>
        <v/>
      </c>
      <c r="R133" t="n">
        <v>58</v>
      </c>
      <c r="S133" s="48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</row>
    <row r="134" ht="15.75" customHeight="1" s="98">
      <c r="A134" s="47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49" t="n"/>
      <c r="E134" s="49" t="n"/>
      <c r="F134" s="80" t="n">
        <v>13</v>
      </c>
      <c r="G134" s="49">
        <f>IF(F134&gt;=($F$6*0.5),1,0)</f>
        <v/>
      </c>
      <c r="H134" s="49">
        <f>IF(F134&gt;=($F$6*0.6),1,0)</f>
        <v/>
      </c>
      <c r="I134" s="49">
        <f>IF(F134&gt;=($F$6*0.7),1,0)</f>
        <v/>
      </c>
      <c r="J134" s="80" t="n">
        <v>22</v>
      </c>
      <c r="K134" s="49">
        <f>IF(J134&gt;=($J$6*0.7),1,0)</f>
        <v/>
      </c>
      <c r="L134" s="49">
        <f>IF(J134&gt;=($J$6*0.8),1,0)</f>
        <v/>
      </c>
      <c r="M134" s="49">
        <f>IF(J134&gt;=($J$6*0.9),1,0)</f>
        <v/>
      </c>
      <c r="N134" s="80" t="n">
        <v>20</v>
      </c>
      <c r="O134" s="49">
        <f>IF(N134&gt;=($N$6*0.7),1,0)</f>
        <v/>
      </c>
      <c r="P134" s="49">
        <f>IF(N134&gt;=($N$6*0.8),1,0)</f>
        <v/>
      </c>
      <c r="Q134" s="49">
        <f>IF(N134&gt;=($N$6*0.9),1,0)</f>
        <v/>
      </c>
      <c r="R134" s="80" t="n">
        <v>55</v>
      </c>
      <c r="S134" s="48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</row>
    <row r="135" ht="15.75" customHeight="1" s="98">
      <c r="A135" s="47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s="49" t="n"/>
      <c r="E135" s="49" t="n"/>
      <c r="F135" t="n">
        <v>13</v>
      </c>
      <c r="G135" s="49">
        <f>IF(F135&gt;=($F$6*0.5),1,0)</f>
        <v/>
      </c>
      <c r="H135" s="49">
        <f>IF(F135&gt;=($F$6*0.6),1,0)</f>
        <v/>
      </c>
      <c r="I135" s="49">
        <f>IF(F135&gt;=($F$6*0.7),1,0)</f>
        <v/>
      </c>
      <c r="J135" t="n">
        <v>26</v>
      </c>
      <c r="K135" s="49">
        <f>IF(J135&gt;=($J$6*0.7),1,0)</f>
        <v/>
      </c>
      <c r="L135" s="49">
        <f>IF(J135&gt;=($J$6*0.8),1,0)</f>
        <v/>
      </c>
      <c r="M135" s="49">
        <f>IF(J135&gt;=($J$6*0.9),1,0)</f>
        <v/>
      </c>
      <c r="N135" t="n">
        <v>23</v>
      </c>
      <c r="O135" s="49">
        <f>IF(N135&gt;=($N$6*0.7),1,0)</f>
        <v/>
      </c>
      <c r="P135" s="49">
        <f>IF(N135&gt;=($N$6*0.8),1,0)</f>
        <v/>
      </c>
      <c r="Q135" s="49">
        <f>IF(N135&gt;=($N$6*0.9),1,0)</f>
        <v/>
      </c>
      <c r="R135" s="80" t="n">
        <v>62</v>
      </c>
      <c r="S135" s="48" t="n"/>
      <c r="T135" s="44" t="n"/>
      <c r="U135" s="44" t="n"/>
      <c r="V135" s="44" t="n"/>
      <c r="W135" s="44" t="n"/>
      <c r="X135" s="44" t="n"/>
      <c r="Y135" s="44" t="n"/>
      <c r="Z135" s="44" t="n"/>
      <c r="AA135" s="44" t="n"/>
      <c r="AB135" s="44" t="n"/>
      <c r="AC135" s="44" t="n"/>
      <c r="AD135" s="44" t="n"/>
    </row>
    <row r="136" ht="15.75" customHeight="1" s="98">
      <c r="A136" s="47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s="49" t="n"/>
      <c r="E136" s="49" t="n"/>
      <c r="F136" t="n">
        <v>14</v>
      </c>
      <c r="G136" s="49">
        <f>IF(F136&gt;=($F$6*0.5),1,0)</f>
        <v/>
      </c>
      <c r="H136" s="49">
        <f>IF(F136&gt;=($F$6*0.6),1,0)</f>
        <v/>
      </c>
      <c r="I136" s="49">
        <f>IF(F136&gt;=($F$6*0.7),1,0)</f>
        <v/>
      </c>
      <c r="J136" t="n">
        <v>28</v>
      </c>
      <c r="K136" s="49">
        <f>IF(J136&gt;=($J$6*0.7),1,0)</f>
        <v/>
      </c>
      <c r="L136" s="49">
        <f>IF(J136&gt;=($J$6*0.8),1,0)</f>
        <v/>
      </c>
      <c r="M136" s="49">
        <f>IF(J136&gt;=($J$6*0.9),1,0)</f>
        <v/>
      </c>
      <c r="N136" t="n">
        <v>28</v>
      </c>
      <c r="O136" s="49">
        <f>IF(N136&gt;=($N$6*0.7),1,0)</f>
        <v/>
      </c>
      <c r="P136" s="49">
        <f>IF(N136&gt;=($N$6*0.8),1,0)</f>
        <v/>
      </c>
      <c r="Q136" s="49">
        <f>IF(N136&gt;=($N$6*0.9),1,0)</f>
        <v/>
      </c>
      <c r="R136" s="80" t="n">
        <v>70</v>
      </c>
      <c r="S136" s="48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</row>
    <row r="137" ht="15.75" customHeight="1" s="98">
      <c r="A137" s="47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49" t="n"/>
      <c r="E137" s="49" t="n"/>
      <c r="F137" s="80" t="n">
        <v>14</v>
      </c>
      <c r="G137" s="49">
        <f>IF(F137&gt;=($F$6*0.5),1,0)</f>
        <v/>
      </c>
      <c r="H137" s="49">
        <f>IF(F137&gt;=($F$6*0.6),1,0)</f>
        <v/>
      </c>
      <c r="I137" s="49">
        <f>IF(F137&gt;=($F$6*0.7),1,0)</f>
        <v/>
      </c>
      <c r="J137" s="80" t="n">
        <v>28</v>
      </c>
      <c r="K137" s="49">
        <f>IF(J137&gt;=($J$6*0.7),1,0)</f>
        <v/>
      </c>
      <c r="L137" s="49">
        <f>IF(J137&gt;=($J$6*0.8),1,0)</f>
        <v/>
      </c>
      <c r="M137" s="49">
        <f>IF(J137&gt;=($J$6*0.9),1,0)</f>
        <v/>
      </c>
      <c r="N137" s="80" t="n">
        <v>28</v>
      </c>
      <c r="O137" s="49">
        <f>IF(N137&gt;=($N$6*0.7),1,0)</f>
        <v/>
      </c>
      <c r="P137" s="49">
        <f>IF(N137&gt;=($N$6*0.8),1,0)</f>
        <v/>
      </c>
      <c r="Q137" s="49">
        <f>IF(N137&gt;=($N$6*0.9),1,0)</f>
        <v/>
      </c>
      <c r="R137" s="80" t="n">
        <v>70</v>
      </c>
      <c r="S137" s="48" t="n"/>
      <c r="T137" s="44" t="n"/>
      <c r="U137" s="44" t="n"/>
      <c r="V137" s="44" t="n"/>
      <c r="W137" s="44" t="n"/>
      <c r="X137" s="44" t="n"/>
      <c r="Y137" s="44" t="n"/>
      <c r="Z137" s="44" t="n"/>
      <c r="AA137" s="44" t="n"/>
      <c r="AB137" s="44" t="n"/>
      <c r="AC137" s="44" t="n"/>
      <c r="AD137" s="44" t="n"/>
    </row>
    <row r="138" ht="15.75" customHeight="1" s="98">
      <c r="A138" s="47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49" t="n"/>
      <c r="E138" s="49" t="n"/>
      <c r="F138" s="80" t="n">
        <v>13</v>
      </c>
      <c r="G138" s="49">
        <f>IF(F138&gt;=($F$6*0.5),1,0)</f>
        <v/>
      </c>
      <c r="H138" s="49">
        <f>IF(F138&gt;=($F$6*0.6),1,0)</f>
        <v/>
      </c>
      <c r="I138" s="49">
        <f>IF(F138&gt;=($F$6*0.7),1,0)</f>
        <v/>
      </c>
      <c r="J138" s="80" t="n">
        <v>21</v>
      </c>
      <c r="K138" s="49">
        <f>IF(J138&gt;=($J$6*0.7),1,0)</f>
        <v/>
      </c>
      <c r="L138" s="49">
        <f>IF(J138&gt;=($J$6*0.8),1,0)</f>
        <v/>
      </c>
      <c r="M138" s="49">
        <f>IF(J138&gt;=($J$6*0.9),1,0)</f>
        <v/>
      </c>
      <c r="N138" s="80" t="n">
        <v>24</v>
      </c>
      <c r="O138" s="49">
        <f>IF(N138&gt;=($N$6*0.7),1,0)</f>
        <v/>
      </c>
      <c r="P138" s="49">
        <f>IF(N138&gt;=($N$6*0.8),1,0)</f>
        <v/>
      </c>
      <c r="Q138" s="49">
        <f>IF(N138&gt;=($N$6*0.9),1,0)</f>
        <v/>
      </c>
      <c r="R138" s="80" t="n">
        <v>58</v>
      </c>
      <c r="S138" s="48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</row>
    <row r="139" ht="15.75" customHeight="1" s="98">
      <c r="A139" s="47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49" t="n"/>
      <c r="E139" s="49" t="n"/>
      <c r="F139" s="80" t="n">
        <v>14</v>
      </c>
      <c r="G139" s="49">
        <f>IF(F139&gt;=($F$6*0.5),1,0)</f>
        <v/>
      </c>
      <c r="H139" s="49">
        <f>IF(F139&gt;=($F$6*0.6),1,0)</f>
        <v/>
      </c>
      <c r="I139" s="49">
        <f>IF(F139&gt;=($F$6*0.7),1,0)</f>
        <v/>
      </c>
      <c r="J139" s="80" t="n">
        <v>26</v>
      </c>
      <c r="K139" s="49">
        <f>IF(J139&gt;=($J$6*0.7),1,0)</f>
        <v/>
      </c>
      <c r="L139" s="49">
        <f>IF(J139&gt;=($J$6*0.8),1,0)</f>
        <v/>
      </c>
      <c r="M139" s="49">
        <f>IF(J139&gt;=($J$6*0.9),1,0)</f>
        <v/>
      </c>
      <c r="N139" s="80" t="n">
        <v>25</v>
      </c>
      <c r="O139" s="49">
        <f>IF(N139&gt;=($N$6*0.7),1,0)</f>
        <v/>
      </c>
      <c r="P139" s="49">
        <f>IF(N139&gt;=($N$6*0.8),1,0)</f>
        <v/>
      </c>
      <c r="Q139" s="49">
        <f>IF(N139&gt;=($N$6*0.9),1,0)</f>
        <v/>
      </c>
      <c r="R139" s="80" t="n">
        <v>65</v>
      </c>
      <c r="S139" s="48" t="n"/>
      <c r="T139" s="44" t="n"/>
      <c r="U139" s="44" t="n"/>
      <c r="V139" s="44" t="n"/>
      <c r="W139" s="44" t="n"/>
      <c r="X139" s="44" t="n"/>
      <c r="Y139" s="44" t="n"/>
      <c r="Z139" s="44" t="n"/>
      <c r="AA139" s="44" t="n"/>
      <c r="AB139" s="44" t="n"/>
      <c r="AC139" s="44" t="n"/>
      <c r="AD139" s="44" t="n"/>
    </row>
    <row r="140" ht="15.75" customHeight="1" s="98">
      <c r="A140" s="47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49" t="n"/>
      <c r="E140" s="49" t="n"/>
      <c r="F140" s="80" t="n">
        <v>14</v>
      </c>
      <c r="G140" s="49">
        <f>IF(F140&gt;=($F$6*0.5),1,0)</f>
        <v/>
      </c>
      <c r="H140" s="49">
        <f>IF(F140&gt;=($F$6*0.6),1,0)</f>
        <v/>
      </c>
      <c r="I140" s="49">
        <f>IF(F140&gt;=($F$6*0.7),1,0)</f>
        <v/>
      </c>
      <c r="J140" s="80" t="n">
        <v>28</v>
      </c>
      <c r="K140" s="49">
        <f>IF(J140&gt;=($J$6*0.7),1,0)</f>
        <v/>
      </c>
      <c r="L140" s="49">
        <f>IF(J140&gt;=($J$6*0.8),1,0)</f>
        <v/>
      </c>
      <c r="M140" s="49">
        <f>IF(J140&gt;=($J$6*0.9),1,0)</f>
        <v/>
      </c>
      <c r="N140" s="80" t="n">
        <v>28</v>
      </c>
      <c r="O140" s="49">
        <f>IF(N140&gt;=($N$6*0.7),1,0)</f>
        <v/>
      </c>
      <c r="P140" s="49">
        <f>IF(N140&gt;=($N$6*0.8),1,0)</f>
        <v/>
      </c>
      <c r="Q140" s="49">
        <f>IF(N140&gt;=($N$6*0.9),1,0)</f>
        <v/>
      </c>
      <c r="R140" s="80" t="n">
        <v>70</v>
      </c>
      <c r="S140" s="48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</row>
    <row r="141" ht="15.75" customHeight="1" s="98">
      <c r="A141" s="47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s="49" t="n"/>
      <c r="E141" s="49" t="n"/>
      <c r="F141" t="n">
        <v>11</v>
      </c>
      <c r="G141" s="49">
        <f>IF(F141&gt;=($F$6*0.5),1,0)</f>
        <v/>
      </c>
      <c r="H141" s="49">
        <f>IF(F141&gt;=($F$6*0.6),1,0)</f>
        <v/>
      </c>
      <c r="I141" s="49">
        <f>IF(F141&gt;=($F$6*0.7),1,0)</f>
        <v/>
      </c>
      <c r="J141" t="n">
        <v>21</v>
      </c>
      <c r="K141" s="49">
        <f>IF(J141&gt;=($J$6*0.7),1,0)</f>
        <v/>
      </c>
      <c r="L141" s="49">
        <f>IF(J141&gt;=($J$6*0.8),1,0)</f>
        <v/>
      </c>
      <c r="M141" s="49">
        <f>IF(J141&gt;=($J$6*0.9),1,0)</f>
        <v/>
      </c>
      <c r="N141" t="n">
        <v>21</v>
      </c>
      <c r="O141" s="49">
        <f>IF(N141&gt;=($N$6*0.7),1,0)</f>
        <v/>
      </c>
      <c r="P141" s="49">
        <f>IF(N141&gt;=($N$6*0.8),1,0)</f>
        <v/>
      </c>
      <c r="Q141" s="49">
        <f>IF(N141&gt;=($N$6*0.9),1,0)</f>
        <v/>
      </c>
      <c r="R141" t="n">
        <v>53</v>
      </c>
      <c r="S141" s="48" t="n"/>
      <c r="T141" s="44" t="n"/>
      <c r="U141" s="44" t="n"/>
      <c r="V141" s="44" t="n"/>
      <c r="W141" s="44" t="n"/>
      <c r="X141" s="44" t="n"/>
      <c r="Y141" s="44" t="n"/>
      <c r="Z141" s="44" t="n"/>
      <c r="AA141" s="44" t="n"/>
      <c r="AB141" s="44" t="n"/>
      <c r="AC141" s="44" t="n"/>
      <c r="AD141" s="44" t="n"/>
    </row>
    <row r="142" ht="15.75" customHeight="1" s="98">
      <c r="A142" s="47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49" t="n"/>
      <c r="E142" s="49" t="n"/>
      <c r="F142" s="80" t="n"/>
      <c r="G142" s="49">
        <f>IF(F142&gt;=($F$6*0.5),1,0)</f>
        <v/>
      </c>
      <c r="H142" s="49">
        <f>IF(F142&gt;=($F$6*0.6),1,0)</f>
        <v/>
      </c>
      <c r="I142" s="49">
        <f>IF(F142&gt;=($F$6*0.7),1,0)</f>
        <v/>
      </c>
      <c r="J142" s="80" t="n"/>
      <c r="K142" s="49">
        <f>IF(J142&gt;=($J$6*0.7),1,0)</f>
        <v/>
      </c>
      <c r="L142" s="49">
        <f>IF(J142&gt;=($J$6*0.8),1,0)</f>
        <v/>
      </c>
      <c r="M142" s="49">
        <f>IF(J142&gt;=($J$6*0.9),1,0)</f>
        <v/>
      </c>
      <c r="N142" s="80" t="n"/>
      <c r="O142" s="49">
        <f>IF(N142&gt;=($N$6*0.7),1,0)</f>
        <v/>
      </c>
      <c r="P142" s="49">
        <f>IF(N142&gt;=($N$6*0.8),1,0)</f>
        <v/>
      </c>
      <c r="Q142" s="49">
        <f>IF(N142&gt;=($N$6*0.9),1,0)</f>
        <v/>
      </c>
      <c r="R142" s="80" t="n"/>
      <c r="S142" s="48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</row>
    <row r="143" ht="15.75" customHeight="1" s="98">
      <c r="A143" s="47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49" t="n"/>
      <c r="E143" s="49" t="n"/>
      <c r="F143" s="80" t="n">
        <v>9</v>
      </c>
      <c r="G143" s="49">
        <f>IF(F143&gt;=($F$6*0.5),1,0)</f>
        <v/>
      </c>
      <c r="H143" s="49">
        <f>IF(F143&gt;=($F$6*0.6),1,0)</f>
        <v/>
      </c>
      <c r="I143" s="49">
        <f>IF(F143&gt;=($F$6*0.7),1,0)</f>
        <v/>
      </c>
      <c r="J143" s="80" t="n">
        <v>15</v>
      </c>
      <c r="K143" s="49">
        <f>IF(J143&gt;=($J$6*0.7),1,0)</f>
        <v/>
      </c>
      <c r="L143" s="49">
        <f>IF(J143&gt;=($J$6*0.8),1,0)</f>
        <v/>
      </c>
      <c r="M143" s="49">
        <f>IF(J143&gt;=($J$6*0.9),1,0)</f>
        <v/>
      </c>
      <c r="N143" s="80" t="n">
        <v>15</v>
      </c>
      <c r="O143" s="49">
        <f>IF(N143&gt;=($N$6*0.7),1,0)</f>
        <v/>
      </c>
      <c r="P143" s="49">
        <f>IF(N143&gt;=($N$6*0.8),1,0)</f>
        <v/>
      </c>
      <c r="Q143" s="49">
        <f>IF(N143&gt;=($N$6*0.9),1,0)</f>
        <v/>
      </c>
      <c r="R143" s="80" t="n">
        <v>39</v>
      </c>
      <c r="S143" s="48" t="n"/>
      <c r="T143" s="44" t="n"/>
      <c r="U143" s="44" t="n"/>
      <c r="V143" s="44" t="n"/>
      <c r="W143" s="44" t="n"/>
      <c r="X143" s="44" t="n"/>
      <c r="Y143" s="44" t="n"/>
      <c r="Z143" s="44" t="n"/>
      <c r="AA143" s="44" t="n"/>
      <c r="AB143" s="44" t="n"/>
      <c r="AC143" s="44" t="n"/>
      <c r="AD143" s="44" t="n"/>
    </row>
    <row r="144" ht="15.75" customHeight="1" s="98">
      <c r="A144" s="47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49" t="n"/>
      <c r="E144" s="49" t="n"/>
      <c r="F144" s="80" t="n">
        <v>14</v>
      </c>
      <c r="G144" s="49">
        <f>IF(F144&gt;=($F$6*0.5),1,0)</f>
        <v/>
      </c>
      <c r="H144" s="49">
        <f>IF(F144&gt;=($F$6*0.6),1,0)</f>
        <v/>
      </c>
      <c r="I144" s="49">
        <f>IF(F144&gt;=($F$6*0.7),1,0)</f>
        <v/>
      </c>
      <c r="J144" s="80" t="n">
        <v>28</v>
      </c>
      <c r="K144" s="49">
        <f>IF(J144&gt;=($J$6*0.7),1,0)</f>
        <v/>
      </c>
      <c r="L144" s="49">
        <f>IF(J144&gt;=($J$6*0.8),1,0)</f>
        <v/>
      </c>
      <c r="M144" s="49">
        <f>IF(J144&gt;=($J$6*0.9),1,0)</f>
        <v/>
      </c>
      <c r="N144" s="80" t="n">
        <v>28</v>
      </c>
      <c r="O144" s="49">
        <f>IF(N144&gt;=($N$6*0.7),1,0)</f>
        <v/>
      </c>
      <c r="P144" s="49">
        <f>IF(N144&gt;=($N$6*0.8),1,0)</f>
        <v/>
      </c>
      <c r="Q144" s="49">
        <f>IF(N144&gt;=($N$6*0.9),1,0)</f>
        <v/>
      </c>
      <c r="R144" t="n">
        <v>70</v>
      </c>
      <c r="S144" s="48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</row>
    <row r="145" ht="15.75" customHeight="1" s="98">
      <c r="A145" s="47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49" t="n"/>
      <c r="E145" s="49" t="n"/>
      <c r="F145" s="80" t="n">
        <v>11</v>
      </c>
      <c r="G145" s="49">
        <f>IF(F145&gt;=($F$6*0.5),1,0)</f>
        <v/>
      </c>
      <c r="H145" s="49">
        <f>IF(F145&gt;=($F$6*0.6),1,0)</f>
        <v/>
      </c>
      <c r="I145" s="49">
        <f>IF(F145&gt;=($F$6*0.7),1,0)</f>
        <v/>
      </c>
      <c r="J145" s="80" t="n">
        <v>22</v>
      </c>
      <c r="K145" s="49">
        <f>IF(J145&gt;=($J$6*0.7),1,0)</f>
        <v/>
      </c>
      <c r="L145" s="49">
        <f>IF(J145&gt;=($J$6*0.8),1,0)</f>
        <v/>
      </c>
      <c r="M145" s="49">
        <f>IF(J145&gt;=($J$6*0.9),1,0)</f>
        <v/>
      </c>
      <c r="N145" s="80" t="n">
        <v>21</v>
      </c>
      <c r="O145" s="49">
        <f>IF(N145&gt;=($N$6*0.7),1,0)</f>
        <v/>
      </c>
      <c r="P145" s="49">
        <f>IF(N145&gt;=($N$6*0.8),1,0)</f>
        <v/>
      </c>
      <c r="Q145" s="49">
        <f>IF(N145&gt;=($N$6*0.9),1,0)</f>
        <v/>
      </c>
      <c r="R145" t="n">
        <v>54</v>
      </c>
      <c r="S145" s="48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B145" s="44" t="n"/>
      <c r="AC145" s="44" t="n"/>
      <c r="AD145" s="44" t="n"/>
    </row>
    <row r="146" ht="15.75" customHeight="1" s="98">
      <c r="A146" s="47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49" t="n"/>
      <c r="E146" s="49" t="n"/>
      <c r="F146" s="80" t="n">
        <v>13</v>
      </c>
      <c r="G146" s="49">
        <f>IF(F146&gt;=($F$6*0.5),1,0)</f>
        <v/>
      </c>
      <c r="H146" s="49">
        <f>IF(F146&gt;=($F$6*0.6),1,0)</f>
        <v/>
      </c>
      <c r="I146" s="49">
        <f>IF(F146&gt;=($F$6*0.7),1,0)</f>
        <v/>
      </c>
      <c r="J146" s="80" t="n">
        <v>25</v>
      </c>
      <c r="K146" s="49">
        <f>IF(J146&gt;=($J$6*0.7),1,0)</f>
        <v/>
      </c>
      <c r="L146" s="49">
        <f>IF(J146&gt;=($J$6*0.8),1,0)</f>
        <v/>
      </c>
      <c r="M146" s="49">
        <f>IF(J146&gt;=($J$6*0.9),1,0)</f>
        <v/>
      </c>
      <c r="N146" s="80" t="n">
        <v>25</v>
      </c>
      <c r="O146" s="49">
        <f>IF(N146&gt;=($N$6*0.7),1,0)</f>
        <v/>
      </c>
      <c r="P146" s="49">
        <f>IF(N146&gt;=($N$6*0.8),1,0)</f>
        <v/>
      </c>
      <c r="Q146" s="49">
        <f>IF(N146&gt;=($N$6*0.9),1,0)</f>
        <v/>
      </c>
      <c r="R146" t="n">
        <v>63</v>
      </c>
      <c r="S146" s="48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</row>
    <row r="147" ht="15.75" customHeight="1" s="98">
      <c r="A147" s="47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49" t="n"/>
      <c r="E147" s="49" t="n"/>
      <c r="F147" s="80" t="n">
        <v>13</v>
      </c>
      <c r="G147" s="49">
        <f>IF(F147&gt;=($F$6*0.5),1,0)</f>
        <v/>
      </c>
      <c r="H147" s="49">
        <f>IF(F147&gt;=($F$6*0.6),1,0)</f>
        <v/>
      </c>
      <c r="I147" s="49">
        <f>IF(F147&gt;=($F$6*0.7),1,0)</f>
        <v/>
      </c>
      <c r="J147" s="80" t="n">
        <v>27</v>
      </c>
      <c r="K147" s="49">
        <f>IF(J147&gt;=($J$6*0.7),1,0)</f>
        <v/>
      </c>
      <c r="L147" s="49">
        <f>IF(J147&gt;=($J$6*0.8),1,0)</f>
        <v/>
      </c>
      <c r="M147" s="49">
        <f>IF(J147&gt;=($J$6*0.9),1,0)</f>
        <v/>
      </c>
      <c r="N147" s="80" t="n">
        <v>24</v>
      </c>
      <c r="O147" s="49">
        <f>IF(N147&gt;=($N$6*0.7),1,0)</f>
        <v/>
      </c>
      <c r="P147" s="49">
        <f>IF(N147&gt;=($N$6*0.8),1,0)</f>
        <v/>
      </c>
      <c r="Q147" s="49">
        <f>IF(N147&gt;=($N$6*0.9),1,0)</f>
        <v/>
      </c>
      <c r="R147" t="n">
        <v>64</v>
      </c>
      <c r="S147" s="48" t="n"/>
      <c r="T147" s="44" t="n"/>
      <c r="U147" s="44" t="n"/>
      <c r="V147" s="44" t="n"/>
      <c r="W147" s="44" t="n"/>
      <c r="X147" s="44" t="n"/>
      <c r="Y147" s="44" t="n"/>
      <c r="Z147" s="44" t="n"/>
      <c r="AA147" s="44" t="n"/>
      <c r="AB147" s="44" t="n"/>
      <c r="AC147" s="44" t="n"/>
      <c r="AD147" s="44" t="n"/>
    </row>
    <row r="148" ht="15.75" customHeight="1" s="98">
      <c r="A148" s="47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49" t="n"/>
      <c r="E148" s="49" t="n"/>
      <c r="F148" s="80" t="n">
        <v>11</v>
      </c>
      <c r="G148" s="49">
        <f>IF(F148&gt;=($F$6*0.5),1,0)</f>
        <v/>
      </c>
      <c r="H148" s="49">
        <f>IF(F148&gt;=($F$6*0.6),1,0)</f>
        <v/>
      </c>
      <c r="I148" s="49">
        <f>IF(F148&gt;=($F$6*0.7),1,0)</f>
        <v/>
      </c>
      <c r="J148" s="80" t="n">
        <v>21</v>
      </c>
      <c r="K148" s="49">
        <f>IF(J148&gt;=($J$6*0.7),1,0)</f>
        <v/>
      </c>
      <c r="L148" s="49">
        <f>IF(J148&gt;=($J$6*0.8),1,0)</f>
        <v/>
      </c>
      <c r="M148" s="49">
        <f>IF(J148&gt;=($J$6*0.9),1,0)</f>
        <v/>
      </c>
      <c r="N148" s="80" t="n">
        <v>21</v>
      </c>
      <c r="O148" s="49">
        <f>IF(N148&gt;=($N$6*0.7),1,0)</f>
        <v/>
      </c>
      <c r="P148" s="49">
        <f>IF(N148&gt;=($N$6*0.8),1,0)</f>
        <v/>
      </c>
      <c r="Q148" s="49">
        <f>IF(N148&gt;=($N$6*0.9),1,0)</f>
        <v/>
      </c>
      <c r="R148" s="80" t="n">
        <v>53</v>
      </c>
      <c r="S148" s="48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</row>
    <row r="149" ht="15.75" customHeight="1" s="98">
      <c r="A149" s="47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s="49" t="n"/>
      <c r="E149" s="49" t="n"/>
      <c r="F149" t="n">
        <v>13</v>
      </c>
      <c r="G149" s="49">
        <f>IF(F149&gt;=($F$6*0.5),1,0)</f>
        <v/>
      </c>
      <c r="H149" s="49">
        <f>IF(F149&gt;=($F$6*0.6),1,0)</f>
        <v/>
      </c>
      <c r="I149" s="49">
        <f>IF(F149&gt;=($F$6*0.7),1,0)</f>
        <v/>
      </c>
      <c r="J149" t="n">
        <v>24</v>
      </c>
      <c r="K149" s="49">
        <f>IF(J149&gt;=($J$6*0.7),1,0)</f>
        <v/>
      </c>
      <c r="L149" s="49">
        <f>IF(J149&gt;=($J$6*0.8),1,0)</f>
        <v/>
      </c>
      <c r="M149" s="49">
        <f>IF(J149&gt;=($J$6*0.9),1,0)</f>
        <v/>
      </c>
      <c r="N149" t="n">
        <v>26</v>
      </c>
      <c r="O149" s="49">
        <f>IF(N149&gt;=($N$6*0.7),1,0)</f>
        <v/>
      </c>
      <c r="P149" s="49">
        <f>IF(N149&gt;=($N$6*0.8),1,0)</f>
        <v/>
      </c>
      <c r="Q149" s="49">
        <f>IF(N149&gt;=($N$6*0.9),1,0)</f>
        <v/>
      </c>
      <c r="R149" s="80" t="n">
        <v>63</v>
      </c>
      <c r="S149" s="48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B149" s="44" t="n"/>
      <c r="AC149" s="44" t="n"/>
      <c r="AD149" s="44" t="n"/>
    </row>
    <row r="150" ht="15.75" customHeight="1" s="98">
      <c r="A150" s="47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49" t="n"/>
      <c r="E150" s="49" t="n"/>
      <c r="F150" s="80" t="n">
        <v>14</v>
      </c>
      <c r="G150" s="49">
        <f>IF(F150&gt;=($F$6*0.5),1,0)</f>
        <v/>
      </c>
      <c r="H150" s="49">
        <f>IF(F150&gt;=($F$6*0.6),1,0)</f>
        <v/>
      </c>
      <c r="I150" s="49">
        <f>IF(F150&gt;=($F$6*0.7),1,0)</f>
        <v/>
      </c>
      <c r="J150" s="80" t="n">
        <v>28</v>
      </c>
      <c r="K150" s="49">
        <f>IF(J150&gt;=($J$6*0.7),1,0)</f>
        <v/>
      </c>
      <c r="L150" s="49">
        <f>IF(J150&gt;=($J$6*0.8),1,0)</f>
        <v/>
      </c>
      <c r="M150" s="49">
        <f>IF(J150&gt;=($J$6*0.9),1,0)</f>
        <v/>
      </c>
      <c r="N150" s="80" t="n">
        <v>28</v>
      </c>
      <c r="O150" s="49">
        <f>IF(N150&gt;=($N$6*0.7),1,0)</f>
        <v/>
      </c>
      <c r="P150" s="49">
        <f>IF(N150&gt;=($N$6*0.8),1,0)</f>
        <v/>
      </c>
      <c r="Q150" s="49">
        <f>IF(N150&gt;=($N$6*0.9),1,0)</f>
        <v/>
      </c>
      <c r="R150" s="80" t="n">
        <v>70</v>
      </c>
      <c r="S150" s="48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</row>
    <row r="151" ht="15.75" customHeight="1" s="98">
      <c r="A151" s="47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49" t="n"/>
      <c r="E151" s="49" t="n"/>
      <c r="F151" s="80" t="n">
        <v>13</v>
      </c>
      <c r="G151" s="49">
        <f>IF(F151&gt;=($F$6*0.5),1,0)</f>
        <v/>
      </c>
      <c r="H151" s="49">
        <f>IF(F151&gt;=($F$6*0.6),1,0)</f>
        <v/>
      </c>
      <c r="I151" s="49">
        <f>IF(F151&gt;=($F$6*0.7),1,0)</f>
        <v/>
      </c>
      <c r="J151" s="80" t="n">
        <v>25</v>
      </c>
      <c r="K151" s="49">
        <f>IF(J151&gt;=($J$6*0.7),1,0)</f>
        <v/>
      </c>
      <c r="L151" s="49">
        <f>IF(J151&gt;=($J$6*0.8),1,0)</f>
        <v/>
      </c>
      <c r="M151" s="49">
        <f>IF(J151&gt;=($J$6*0.9),1,0)</f>
        <v/>
      </c>
      <c r="N151" s="80" t="n">
        <v>25</v>
      </c>
      <c r="O151" s="49">
        <f>IF(N151&gt;=($N$6*0.7),1,0)</f>
        <v/>
      </c>
      <c r="P151" s="49">
        <f>IF(N151&gt;=($N$6*0.8),1,0)</f>
        <v/>
      </c>
      <c r="Q151" s="49">
        <f>IF(N151&gt;=($N$6*0.9),1,0)</f>
        <v/>
      </c>
      <c r="R151" s="80" t="n">
        <v>63</v>
      </c>
      <c r="S151" s="48" t="n"/>
      <c r="T151" s="44" t="n"/>
      <c r="U151" s="44" t="n"/>
      <c r="V151" s="44" t="n"/>
      <c r="W151" s="44" t="n"/>
      <c r="X151" s="44" t="n"/>
      <c r="Y151" s="44" t="n"/>
      <c r="Z151" s="44" t="n"/>
      <c r="AA151" s="44" t="n"/>
      <c r="AB151" s="44" t="n"/>
      <c r="AC151" s="44" t="n"/>
      <c r="AD151" s="44" t="n"/>
    </row>
    <row r="152" ht="15.75" customHeight="1" s="98">
      <c r="A152" s="47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49" t="n"/>
      <c r="E152" s="49" t="n"/>
      <c r="F152" s="80" t="n">
        <v>14</v>
      </c>
      <c r="G152" s="49">
        <f>IF(F152&gt;=($F$6*0.5),1,0)</f>
        <v/>
      </c>
      <c r="H152" s="49">
        <f>IF(F152&gt;=($F$6*0.6),1,0)</f>
        <v/>
      </c>
      <c r="I152" s="49">
        <f>IF(F152&gt;=($F$6*0.7),1,0)</f>
        <v/>
      </c>
      <c r="J152" s="80" t="n">
        <v>27</v>
      </c>
      <c r="K152" s="49">
        <f>IF(J152&gt;=($J$6*0.7),1,0)</f>
        <v/>
      </c>
      <c r="L152" s="49">
        <f>IF(J152&gt;=($J$6*0.8),1,0)</f>
        <v/>
      </c>
      <c r="M152" s="49">
        <f>IF(J152&gt;=($J$6*0.9),1,0)</f>
        <v/>
      </c>
      <c r="N152" s="80" t="n">
        <v>27</v>
      </c>
      <c r="O152" s="49">
        <f>IF(N152&gt;=($N$6*0.7),1,0)</f>
        <v/>
      </c>
      <c r="P152" s="49">
        <f>IF(N152&gt;=($N$6*0.8),1,0)</f>
        <v/>
      </c>
      <c r="Q152" s="49">
        <f>IF(N152&gt;=($N$6*0.9),1,0)</f>
        <v/>
      </c>
      <c r="R152" s="80" t="n">
        <v>68</v>
      </c>
      <c r="S152" s="48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</row>
    <row r="153" ht="15.75" customHeight="1" s="98">
      <c r="A153" s="47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s="49" t="n"/>
      <c r="E153" s="49" t="n"/>
      <c r="F153" t="n">
        <v>13</v>
      </c>
      <c r="G153" s="49">
        <f>IF(F153&gt;=($F$6*0.5),1,0)</f>
        <v/>
      </c>
      <c r="H153" s="49">
        <f>IF(F153&gt;=($F$6*0.6),1,0)</f>
        <v/>
      </c>
      <c r="I153" s="49">
        <f>IF(F153&gt;=($F$6*0.7),1,0)</f>
        <v/>
      </c>
      <c r="J153" t="n">
        <v>21</v>
      </c>
      <c r="K153" s="49">
        <f>IF(J153&gt;=($J$6*0.7),1,0)</f>
        <v/>
      </c>
      <c r="L153" s="49">
        <f>IF(J153&gt;=($J$6*0.8),1,0)</f>
        <v/>
      </c>
      <c r="M153" s="49">
        <f>IF(J153&gt;=($J$6*0.9),1,0)</f>
        <v/>
      </c>
      <c r="N153" t="n">
        <v>21</v>
      </c>
      <c r="O153" s="49">
        <f>IF(N153&gt;=($N$6*0.7),1,0)</f>
        <v/>
      </c>
      <c r="P153" s="49">
        <f>IF(N153&gt;=($N$6*0.8),1,0)</f>
        <v/>
      </c>
      <c r="Q153" s="49">
        <f>IF(N153&gt;=($N$6*0.9),1,0)</f>
        <v/>
      </c>
      <c r="R153" s="80" t="n">
        <v>55</v>
      </c>
      <c r="S153" s="48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</row>
    <row r="154" ht="15.75" customHeight="1" s="98">
      <c r="A154" s="47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s="49" t="n"/>
      <c r="E154" s="49" t="n"/>
      <c r="F154" t="n">
        <v>13</v>
      </c>
      <c r="G154" s="49">
        <f>IF(F154&gt;=($F$6*0.5),1,0)</f>
        <v/>
      </c>
      <c r="H154" s="49">
        <f>IF(F154&gt;=($F$6*0.6),1,0)</f>
        <v/>
      </c>
      <c r="I154" s="49">
        <f>IF(F154&gt;=($F$6*0.7),1,0)</f>
        <v/>
      </c>
      <c r="J154" t="n">
        <v>20</v>
      </c>
      <c r="K154" s="49">
        <f>IF(J154&gt;=($J$6*0.7),1,0)</f>
        <v/>
      </c>
      <c r="L154" s="49">
        <f>IF(J154&gt;=($J$6*0.8),1,0)</f>
        <v/>
      </c>
      <c r="M154" s="49">
        <f>IF(J154&gt;=($J$6*0.9),1,0)</f>
        <v/>
      </c>
      <c r="N154" t="n">
        <v>22</v>
      </c>
      <c r="O154" s="49">
        <f>IF(N154&gt;=($N$6*0.7),1,0)</f>
        <v/>
      </c>
      <c r="P154" s="49">
        <f>IF(N154&gt;=($N$6*0.8),1,0)</f>
        <v/>
      </c>
      <c r="Q154" s="49">
        <f>IF(N154&gt;=($N$6*0.9),1,0)</f>
        <v/>
      </c>
      <c r="R154" t="n">
        <v>55</v>
      </c>
      <c r="S154" s="48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</row>
    <row r="155" ht="15.75" customHeight="1" s="98">
      <c r="A155" s="47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49" t="n"/>
      <c r="E155" s="49" t="n"/>
      <c r="F155" s="80" t="n">
        <v>13</v>
      </c>
      <c r="G155" s="49">
        <f>IF(F155&gt;=($F$6*0.5),1,0)</f>
        <v/>
      </c>
      <c r="H155" s="49">
        <f>IF(F155&gt;=($F$6*0.6),1,0)</f>
        <v/>
      </c>
      <c r="I155" s="49">
        <f>IF(F155&gt;=($F$6*0.7),1,0)</f>
        <v/>
      </c>
      <c r="J155" s="80" t="n">
        <v>26</v>
      </c>
      <c r="K155" s="49">
        <f>IF(J155&gt;=($J$6*0.7),1,0)</f>
        <v/>
      </c>
      <c r="L155" s="49">
        <f>IF(J155&gt;=($J$6*0.8),1,0)</f>
        <v/>
      </c>
      <c r="M155" s="49">
        <f>IF(J155&gt;=($J$6*0.9),1,0)</f>
        <v/>
      </c>
      <c r="N155" s="80" t="n">
        <v>24</v>
      </c>
      <c r="O155" s="49">
        <f>IF(N155&gt;=($N$6*0.7),1,0)</f>
        <v/>
      </c>
      <c r="P155" s="49">
        <f>IF(N155&gt;=($N$6*0.8),1,0)</f>
        <v/>
      </c>
      <c r="Q155" s="49">
        <f>IF(N155&gt;=($N$6*0.9),1,0)</f>
        <v/>
      </c>
      <c r="R155" s="80" t="n">
        <v>63</v>
      </c>
      <c r="S155" s="48" t="n"/>
      <c r="T155" s="44" t="n"/>
      <c r="U155" s="44" t="n"/>
      <c r="V155" s="44" t="n"/>
      <c r="W155" s="44" t="n"/>
      <c r="X155" s="44" t="n"/>
      <c r="Y155" s="44" t="n"/>
      <c r="Z155" s="44" t="n"/>
      <c r="AA155" s="44" t="n"/>
      <c r="AB155" s="44" t="n"/>
      <c r="AC155" s="44" t="n"/>
      <c r="AD155" s="44" t="n"/>
    </row>
    <row r="156" ht="15.75" customHeight="1" s="98">
      <c r="A156" s="47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49" t="n"/>
      <c r="E156" s="49" t="n"/>
      <c r="F156" s="80" t="n">
        <v>14</v>
      </c>
      <c r="G156" s="49">
        <f>IF(F156&gt;=($F$6*0.5),1,0)</f>
        <v/>
      </c>
      <c r="H156" s="49">
        <f>IF(F156&gt;=($F$6*0.6),1,0)</f>
        <v/>
      </c>
      <c r="I156" s="49">
        <f>IF(F156&gt;=($F$6*0.7),1,0)</f>
        <v/>
      </c>
      <c r="J156" s="80" t="n">
        <v>26</v>
      </c>
      <c r="K156" s="49">
        <f>IF(J156&gt;=($J$6*0.7),1,0)</f>
        <v/>
      </c>
      <c r="L156" s="49">
        <f>IF(J156&gt;=($J$6*0.8),1,0)</f>
        <v/>
      </c>
      <c r="M156" s="49">
        <f>IF(J156&gt;=($J$6*0.9),1,0)</f>
        <v/>
      </c>
      <c r="N156" s="80" t="n">
        <v>26</v>
      </c>
      <c r="O156" s="49">
        <f>IF(N156&gt;=($N$6*0.7),1,0)</f>
        <v/>
      </c>
      <c r="P156" s="49">
        <f>IF(N156&gt;=($N$6*0.8),1,0)</f>
        <v/>
      </c>
      <c r="Q156" s="49">
        <f>IF(N156&gt;=($N$6*0.9),1,0)</f>
        <v/>
      </c>
      <c r="R156" t="n">
        <v>66</v>
      </c>
      <c r="S156" s="48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</row>
    <row r="157" ht="15.75" customHeight="1" s="98">
      <c r="A157" s="47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49" t="n"/>
      <c r="E157" s="49" t="n"/>
      <c r="F157" s="80" t="n">
        <v>13</v>
      </c>
      <c r="G157" s="49">
        <f>IF(F157&gt;=($F$6*0.5),1,0)</f>
        <v/>
      </c>
      <c r="H157" s="49">
        <f>IF(F157&gt;=($F$6*0.6),1,0)</f>
        <v/>
      </c>
      <c r="I157" s="49">
        <f>IF(F157&gt;=($F$6*0.7),1,0)</f>
        <v/>
      </c>
      <c r="J157" s="80" t="n">
        <v>25</v>
      </c>
      <c r="K157" s="49">
        <f>IF(J157&gt;=($J$6*0.7),1,0)</f>
        <v/>
      </c>
      <c r="L157" s="49">
        <f>IF(J157&gt;=($J$6*0.8),1,0)</f>
        <v/>
      </c>
      <c r="M157" s="49">
        <f>IF(J157&gt;=($J$6*0.9),1,0)</f>
        <v/>
      </c>
      <c r="N157" s="80" t="n">
        <v>25</v>
      </c>
      <c r="O157" s="49">
        <f>IF(N157&gt;=($N$6*0.7),1,0)</f>
        <v/>
      </c>
      <c r="P157" s="49">
        <f>IF(N157&gt;=($N$6*0.8),1,0)</f>
        <v/>
      </c>
      <c r="Q157" s="49">
        <f>IF(N157&gt;=($N$6*0.9),1,0)</f>
        <v/>
      </c>
      <c r="R157" s="80" t="n">
        <v>63</v>
      </c>
      <c r="S157" s="48" t="n"/>
      <c r="T157" s="44" t="n"/>
      <c r="U157" s="44" t="n"/>
      <c r="V157" s="44" t="n"/>
      <c r="W157" s="44" t="n"/>
      <c r="X157" s="44" t="n"/>
      <c r="Y157" s="44" t="n"/>
      <c r="Z157" s="44" t="n"/>
      <c r="AA157" s="44" t="n"/>
      <c r="AB157" s="44" t="n"/>
      <c r="AC157" s="44" t="n"/>
      <c r="AD157" s="44" t="n"/>
    </row>
    <row r="158" ht="15.75" customHeight="1" s="98">
      <c r="A158" s="47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49" t="n"/>
      <c r="E158" s="49" t="n"/>
      <c r="F158" s="80" t="n">
        <v>13</v>
      </c>
      <c r="G158" s="49">
        <f>IF(F158&gt;=($F$6*0.5),1,0)</f>
        <v/>
      </c>
      <c r="H158" s="49">
        <f>IF(F158&gt;=($F$6*0.6),1,0)</f>
        <v/>
      </c>
      <c r="I158" s="49">
        <f>IF(F158&gt;=($F$6*0.7),1,0)</f>
        <v/>
      </c>
      <c r="J158" s="80" t="n">
        <v>22</v>
      </c>
      <c r="K158" s="49">
        <f>IF(J158&gt;=($J$6*0.7),1,0)</f>
        <v/>
      </c>
      <c r="L158" s="49">
        <f>IF(J158&gt;=($J$6*0.8),1,0)</f>
        <v/>
      </c>
      <c r="M158" s="49">
        <f>IF(J158&gt;=($J$6*0.9),1,0)</f>
        <v/>
      </c>
      <c r="N158" s="80" t="n">
        <v>23</v>
      </c>
      <c r="O158" s="49">
        <f>IF(N158&gt;=($N$6*0.7),1,0)</f>
        <v/>
      </c>
      <c r="P158" s="49">
        <f>IF(N158&gt;=($N$6*0.8),1,0)</f>
        <v/>
      </c>
      <c r="Q158" s="49">
        <f>IF(N158&gt;=($N$6*0.9),1,0)</f>
        <v/>
      </c>
      <c r="R158" t="n">
        <v>58</v>
      </c>
      <c r="S158" s="48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</row>
    <row r="159" ht="15.75" customHeight="1" s="98">
      <c r="A159" s="47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s="49" t="n"/>
      <c r="E159" s="49" t="n"/>
      <c r="F159" t="n">
        <v>13</v>
      </c>
      <c r="G159" s="49">
        <f>IF(F159&gt;=($F$6*0.5),1,0)</f>
        <v/>
      </c>
      <c r="H159" s="49">
        <f>IF(F159&gt;=($F$6*0.6),1,0)</f>
        <v/>
      </c>
      <c r="I159" s="49">
        <f>IF(F159&gt;=($F$6*0.7),1,0)</f>
        <v/>
      </c>
      <c r="J159" t="n">
        <v>21</v>
      </c>
      <c r="K159" s="49">
        <f>IF(J159&gt;=($J$6*0.7),1,0)</f>
        <v/>
      </c>
      <c r="L159" s="49">
        <f>IF(J159&gt;=($J$6*0.8),1,0)</f>
        <v/>
      </c>
      <c r="M159" s="49">
        <f>IF(J159&gt;=($J$6*0.9),1,0)</f>
        <v/>
      </c>
      <c r="N159" t="n">
        <v>23</v>
      </c>
      <c r="O159" s="49">
        <f>IF(N159&gt;=($N$6*0.7),1,0)</f>
        <v/>
      </c>
      <c r="P159" s="49">
        <f>IF(N159&gt;=($N$6*0.8),1,0)</f>
        <v/>
      </c>
      <c r="Q159" s="49">
        <f>IF(N159&gt;=($N$6*0.9),1,0)</f>
        <v/>
      </c>
      <c r="R159" t="n">
        <v>57</v>
      </c>
      <c r="S159" s="48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</row>
    <row r="160" ht="15.75" customHeight="1" s="98">
      <c r="A160" s="47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49" t="n"/>
      <c r="E160" s="49" t="n"/>
      <c r="F160" s="80" t="n">
        <v>13</v>
      </c>
      <c r="G160" s="49">
        <f>IF(F160&gt;=($F$6*0.5),1,0)</f>
        <v/>
      </c>
      <c r="H160" s="49">
        <f>IF(F160&gt;=($F$6*0.6),1,0)</f>
        <v/>
      </c>
      <c r="I160" s="49">
        <f>IF(F160&gt;=($F$6*0.7),1,0)</f>
        <v/>
      </c>
      <c r="J160" s="80" t="n">
        <v>24</v>
      </c>
      <c r="K160" s="49">
        <f>IF(J160&gt;=($J$6*0.7),1,0)</f>
        <v/>
      </c>
      <c r="L160" s="49">
        <f>IF(J160&gt;=($J$6*0.8),1,0)</f>
        <v/>
      </c>
      <c r="M160" s="49">
        <f>IF(J160&gt;=($J$6*0.9),1,0)</f>
        <v/>
      </c>
      <c r="N160" s="80" t="n">
        <v>23</v>
      </c>
      <c r="O160" s="49">
        <f>IF(N160&gt;=($N$6*0.7),1,0)</f>
        <v/>
      </c>
      <c r="P160" s="49">
        <f>IF(N160&gt;=($N$6*0.8),1,0)</f>
        <v/>
      </c>
      <c r="Q160" s="49">
        <f>IF(N160&gt;=($N$6*0.9),1,0)</f>
        <v/>
      </c>
      <c r="R160" t="n">
        <v>60</v>
      </c>
      <c r="S160" s="48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</row>
    <row r="161" ht="15.75" customHeight="1" s="98">
      <c r="A161" s="47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49" t="n"/>
      <c r="E161" s="49" t="n"/>
      <c r="F161" s="80" t="n">
        <v>14</v>
      </c>
      <c r="G161" s="49">
        <f>IF(F161&gt;=($F$6*0.5),1,0)</f>
        <v/>
      </c>
      <c r="H161" s="49">
        <f>IF(F161&gt;=($F$6*0.6),1,0)</f>
        <v/>
      </c>
      <c r="I161" s="49">
        <f>IF(F161&gt;=($F$6*0.7),1,0)</f>
        <v/>
      </c>
      <c r="J161" s="80" t="n">
        <v>28</v>
      </c>
      <c r="K161" s="49">
        <f>IF(J161&gt;=($J$6*0.7),1,0)</f>
        <v/>
      </c>
      <c r="L161" s="49">
        <f>IF(J161&gt;=($J$6*0.8),1,0)</f>
        <v/>
      </c>
      <c r="M161" s="49">
        <f>IF(J161&gt;=($J$6*0.9),1,0)</f>
        <v/>
      </c>
      <c r="N161" s="80" t="n">
        <v>28</v>
      </c>
      <c r="O161" s="49">
        <f>IF(N161&gt;=($N$6*0.7),1,0)</f>
        <v/>
      </c>
      <c r="P161" s="49">
        <f>IF(N161&gt;=($N$6*0.8),1,0)</f>
        <v/>
      </c>
      <c r="Q161" s="49">
        <f>IF(N161&gt;=($N$6*0.9),1,0)</f>
        <v/>
      </c>
      <c r="R161" s="80" t="n">
        <v>70</v>
      </c>
      <c r="S161" s="48" t="n"/>
      <c r="T161" s="44" t="n"/>
      <c r="U161" s="44" t="n"/>
      <c r="V161" s="44" t="n"/>
      <c r="W161" s="44" t="n"/>
      <c r="X161" s="44" t="n"/>
      <c r="Y161" s="44" t="n"/>
      <c r="Z161" s="44" t="n"/>
      <c r="AA161" s="44" t="n"/>
      <c r="AB161" s="44" t="n"/>
      <c r="AC161" s="44" t="n"/>
      <c r="AD161" s="44" t="n"/>
    </row>
    <row r="162" ht="15.75" customHeight="1" s="98">
      <c r="A162" s="47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49" t="n"/>
      <c r="E162" s="49" t="n"/>
      <c r="F162" s="80" t="n">
        <v>11</v>
      </c>
      <c r="G162" s="49">
        <f>IF(F162&gt;=($F$6*0.5),1,0)</f>
        <v/>
      </c>
      <c r="H162" s="49">
        <f>IF(F162&gt;=($F$6*0.6),1,0)</f>
        <v/>
      </c>
      <c r="I162" s="49">
        <f>IF(F162&gt;=($F$6*0.7),1,0)</f>
        <v/>
      </c>
      <c r="J162" s="80" t="n">
        <v>22</v>
      </c>
      <c r="K162" s="49">
        <f>IF(J162&gt;=($J$6*0.7),1,0)</f>
        <v/>
      </c>
      <c r="L162" s="49">
        <f>IF(J162&gt;=($J$6*0.8),1,0)</f>
        <v/>
      </c>
      <c r="M162" s="49">
        <f>IF(J162&gt;=($J$6*0.9),1,0)</f>
        <v/>
      </c>
      <c r="N162" s="80" t="n">
        <v>19</v>
      </c>
      <c r="O162" s="49">
        <f>IF(N162&gt;=($N$6*0.7),1,0)</f>
        <v/>
      </c>
      <c r="P162" s="49">
        <f>IF(N162&gt;=($N$6*0.8),1,0)</f>
        <v/>
      </c>
      <c r="Q162" s="49">
        <f>IF(N162&gt;=($N$6*0.9),1,0)</f>
        <v/>
      </c>
      <c r="R162" s="80" t="n">
        <v>52</v>
      </c>
      <c r="S162" s="48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</row>
    <row r="163" ht="15.75" customHeight="1" s="98">
      <c r="A163" s="47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49" t="n"/>
      <c r="E163" s="49" t="n"/>
      <c r="F163" s="80" t="n">
        <v>11</v>
      </c>
      <c r="G163" s="49">
        <f>IF(F163&gt;=($F$6*0.5),1,0)</f>
        <v/>
      </c>
      <c r="H163" s="49">
        <f>IF(F163&gt;=($F$6*0.6),1,0)</f>
        <v/>
      </c>
      <c r="I163" s="49">
        <f>IF(F163&gt;=($F$6*0.7),1,0)</f>
        <v/>
      </c>
      <c r="J163" s="80" t="n">
        <v>19</v>
      </c>
      <c r="K163" s="49">
        <f>IF(J163&gt;=($J$6*0.7),1,0)</f>
        <v/>
      </c>
      <c r="L163" s="49">
        <f>IF(J163&gt;=($J$6*0.8),1,0)</f>
        <v/>
      </c>
      <c r="M163" s="49">
        <f>IF(J163&gt;=($J$6*0.9),1,0)</f>
        <v/>
      </c>
      <c r="N163" s="80" t="n">
        <v>19</v>
      </c>
      <c r="O163" s="49">
        <f>IF(N163&gt;=($N$6*0.7),1,0)</f>
        <v/>
      </c>
      <c r="P163" s="49">
        <f>IF(N163&gt;=($N$6*0.8),1,0)</f>
        <v/>
      </c>
      <c r="Q163" s="49">
        <f>IF(N163&gt;=($N$6*0.9),1,0)</f>
        <v/>
      </c>
      <c r="R163" t="n">
        <v>49</v>
      </c>
      <c r="S163" s="48" t="n"/>
      <c r="T163" s="44" t="n"/>
      <c r="U163" s="44" t="n"/>
      <c r="V163" s="44" t="n"/>
      <c r="W163" s="44" t="n"/>
      <c r="X163" s="44" t="n"/>
      <c r="Y163" s="44" t="n"/>
      <c r="Z163" s="44" t="n"/>
      <c r="AA163" s="44" t="n"/>
      <c r="AB163" s="44" t="n"/>
      <c r="AC163" s="44" t="n"/>
      <c r="AD163" s="44" t="n"/>
    </row>
    <row r="164" ht="15.75" customHeight="1" s="98">
      <c r="A164" s="47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49" t="n"/>
      <c r="E164" s="49" t="n"/>
      <c r="F164" s="80" t="n">
        <v>11</v>
      </c>
      <c r="G164" s="49">
        <f>IF(F164&gt;=($F$6*0.5),1,0)</f>
        <v/>
      </c>
      <c r="H164" s="49">
        <f>IF(F164&gt;=($F$6*0.6),1,0)</f>
        <v/>
      </c>
      <c r="I164" s="49">
        <f>IF(F164&gt;=($F$6*0.7),1,0)</f>
        <v/>
      </c>
      <c r="J164" s="80" t="n">
        <v>20</v>
      </c>
      <c r="K164" s="49">
        <f>IF(J164&gt;=($J$6*0.7),1,0)</f>
        <v/>
      </c>
      <c r="L164" s="49">
        <f>IF(J164&gt;=($J$6*0.8),1,0)</f>
        <v/>
      </c>
      <c r="M164" s="49">
        <f>IF(J164&gt;=($J$6*0.9),1,0)</f>
        <v/>
      </c>
      <c r="N164" s="80" t="n">
        <v>23</v>
      </c>
      <c r="O164" s="49">
        <f>IF(N164&gt;=($N$6*0.7),1,0)</f>
        <v/>
      </c>
      <c r="P164" s="49">
        <f>IF(N164&gt;=($N$6*0.8),1,0)</f>
        <v/>
      </c>
      <c r="Q164" s="49">
        <f>IF(N164&gt;=($N$6*0.9),1,0)</f>
        <v/>
      </c>
      <c r="R164" s="80" t="n">
        <v>54</v>
      </c>
      <c r="S164" s="48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</row>
    <row r="165" ht="15.75" customHeight="1" s="98">
      <c r="A165" s="47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49" t="n"/>
      <c r="E165" s="49" t="n"/>
      <c r="F165" s="80" t="n">
        <v>14</v>
      </c>
      <c r="G165" s="49">
        <f>IF(F165&gt;=($F$6*0.5),1,0)</f>
        <v/>
      </c>
      <c r="H165" s="49">
        <f>IF(F165&gt;=($F$6*0.6),1,0)</f>
        <v/>
      </c>
      <c r="I165" s="49">
        <f>IF(F165&gt;=($F$6*0.7),1,0)</f>
        <v/>
      </c>
      <c r="J165" s="80" t="n">
        <v>28</v>
      </c>
      <c r="K165" s="49">
        <f>IF(J165&gt;=($J$6*0.7),1,0)</f>
        <v/>
      </c>
      <c r="L165" s="49">
        <f>IF(J165&gt;=($J$6*0.8),1,0)</f>
        <v/>
      </c>
      <c r="M165" s="49">
        <f>IF(J165&gt;=($J$6*0.9),1,0)</f>
        <v/>
      </c>
      <c r="N165" s="80" t="n">
        <v>27</v>
      </c>
      <c r="O165" s="49">
        <f>IF(N165&gt;=($N$6*0.7),1,0)</f>
        <v/>
      </c>
      <c r="P165" s="49">
        <f>IF(N165&gt;=($N$6*0.8),1,0)</f>
        <v/>
      </c>
      <c r="Q165" s="49">
        <f>IF(N165&gt;=($N$6*0.9),1,0)</f>
        <v/>
      </c>
      <c r="R165" t="n">
        <v>69</v>
      </c>
      <c r="S165" s="48" t="n"/>
      <c r="T165" s="44" t="n"/>
      <c r="U165" s="44" t="n"/>
      <c r="V165" s="44" t="n"/>
      <c r="W165" s="44" t="n"/>
      <c r="X165" s="44" t="n"/>
      <c r="Y165" s="44" t="n"/>
      <c r="Z165" s="44" t="n"/>
      <c r="AA165" s="44" t="n"/>
      <c r="AB165" s="44" t="n"/>
      <c r="AC165" s="44" t="n"/>
      <c r="AD165" s="44" t="n"/>
    </row>
    <row r="166" ht="15.75" customHeight="1" s="98">
      <c r="A166" s="47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49" t="n"/>
      <c r="E166" s="49" t="n"/>
      <c r="F166" s="80" t="n">
        <v>13</v>
      </c>
      <c r="G166" s="49">
        <f>IF(F166&gt;=($F$6*0.5),1,0)</f>
        <v/>
      </c>
      <c r="H166" s="49">
        <f>IF(F166&gt;=($F$6*0.6),1,0)</f>
        <v/>
      </c>
      <c r="I166" s="49">
        <f>IF(F166&gt;=($F$6*0.7),1,0)</f>
        <v/>
      </c>
      <c r="J166" s="80" t="n">
        <v>26</v>
      </c>
      <c r="K166" s="49">
        <f>IF(J166&gt;=($J$6*0.7),1,0)</f>
        <v/>
      </c>
      <c r="L166" s="49">
        <f>IF(J166&gt;=($J$6*0.8),1,0)</f>
        <v/>
      </c>
      <c r="M166" s="49">
        <f>IF(J166&gt;=($J$6*0.9),1,0)</f>
        <v/>
      </c>
      <c r="N166" s="80" t="n">
        <v>23</v>
      </c>
      <c r="O166" s="49">
        <f>IF(N166&gt;=($N$6*0.7),1,0)</f>
        <v/>
      </c>
      <c r="P166" s="49">
        <f>IF(N166&gt;=($N$6*0.8),1,0)</f>
        <v/>
      </c>
      <c r="Q166" s="49">
        <f>IF(N166&gt;=($N$6*0.9),1,0)</f>
        <v/>
      </c>
      <c r="R166" s="80" t="n">
        <v>62</v>
      </c>
      <c r="S166" s="48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</row>
    <row r="167" ht="15.75" customHeight="1" s="98">
      <c r="A167" s="47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49" t="n"/>
      <c r="E167" s="49" t="n"/>
      <c r="F167" s="80" t="n">
        <v>13</v>
      </c>
      <c r="G167" s="49">
        <f>IF(F167&gt;=($F$6*0.5),1,0)</f>
        <v/>
      </c>
      <c r="H167" s="49">
        <f>IF(F167&gt;=($F$6*0.6),1,0)</f>
        <v/>
      </c>
      <c r="I167" s="49">
        <f>IF(F167&gt;=($F$6*0.7),1,0)</f>
        <v/>
      </c>
      <c r="J167" s="80" t="n">
        <v>24</v>
      </c>
      <c r="K167" s="49">
        <f>IF(J167&gt;=($J$6*0.7),1,0)</f>
        <v/>
      </c>
      <c r="L167" s="49">
        <f>IF(J167&gt;=($J$6*0.8),1,0)</f>
        <v/>
      </c>
      <c r="M167" s="49">
        <f>IF(J167&gt;=($J$6*0.9),1,0)</f>
        <v/>
      </c>
      <c r="N167" s="80" t="n">
        <v>21</v>
      </c>
      <c r="O167" s="49">
        <f>IF(N167&gt;=($N$6*0.7),1,0)</f>
        <v/>
      </c>
      <c r="P167" s="49">
        <f>IF(N167&gt;=($N$6*0.8),1,0)</f>
        <v/>
      </c>
      <c r="Q167" s="49">
        <f>IF(N167&gt;=($N$6*0.9),1,0)</f>
        <v/>
      </c>
      <c r="R167" t="n">
        <v>58</v>
      </c>
      <c r="S167" s="48" t="n"/>
      <c r="T167" s="44" t="n"/>
      <c r="U167" s="44" t="n"/>
      <c r="V167" s="44" t="n"/>
      <c r="W167" s="44" t="n"/>
      <c r="X167" s="44" t="n"/>
      <c r="Y167" s="44" t="n"/>
      <c r="Z167" s="44" t="n"/>
      <c r="AA167" s="44" t="n"/>
      <c r="AB167" s="44" t="n"/>
      <c r="AC167" s="44" t="n"/>
      <c r="AD167" s="44" t="n"/>
    </row>
    <row r="168" ht="15.75" customHeight="1" s="98">
      <c r="A168" s="47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49" t="n"/>
      <c r="E168" s="49" t="n"/>
      <c r="F168" s="80" t="n">
        <v>13</v>
      </c>
      <c r="G168" s="49">
        <f>IF(F168&gt;=($F$6*0.5),1,0)</f>
        <v/>
      </c>
      <c r="H168" s="49">
        <f>IF(F168&gt;=($F$6*0.6),1,0)</f>
        <v/>
      </c>
      <c r="I168" s="49">
        <f>IF(F168&gt;=($F$6*0.7),1,0)</f>
        <v/>
      </c>
      <c r="J168" s="80" t="n">
        <v>25</v>
      </c>
      <c r="K168" s="49">
        <f>IF(J168&gt;=($J$6*0.7),1,0)</f>
        <v/>
      </c>
      <c r="L168" s="49">
        <f>IF(J168&gt;=($J$6*0.8),1,0)</f>
        <v/>
      </c>
      <c r="M168" s="49">
        <f>IF(J168&gt;=($J$6*0.9),1,0)</f>
        <v/>
      </c>
      <c r="N168" s="80" t="n">
        <v>25</v>
      </c>
      <c r="O168" s="49">
        <f>IF(N168&gt;=($N$6*0.7),1,0)</f>
        <v/>
      </c>
      <c r="P168" s="49">
        <f>IF(N168&gt;=($N$6*0.8),1,0)</f>
        <v/>
      </c>
      <c r="Q168" s="49">
        <f>IF(N168&gt;=($N$6*0.9),1,0)</f>
        <v/>
      </c>
      <c r="R168" s="80" t="n">
        <v>63</v>
      </c>
      <c r="S168" s="48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</row>
    <row r="169" ht="15.75" customHeight="1" s="98">
      <c r="A169" s="47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49" t="n"/>
      <c r="E169" s="49" t="n"/>
      <c r="F169" s="80" t="n">
        <v>13</v>
      </c>
      <c r="G169" s="49">
        <f>IF(F169&gt;=($F$6*0.5),1,0)</f>
        <v/>
      </c>
      <c r="H169" s="49">
        <f>IF(F169&gt;=($F$6*0.6),1,0)</f>
        <v/>
      </c>
      <c r="I169" s="49">
        <f>IF(F169&gt;=($F$6*0.7),1,0)</f>
        <v/>
      </c>
      <c r="J169" s="80" t="n">
        <v>20</v>
      </c>
      <c r="K169" s="49">
        <f>IF(J169&gt;=($J$6*0.7),1,0)</f>
        <v/>
      </c>
      <c r="L169" s="49">
        <f>IF(J169&gt;=($J$6*0.8),1,0)</f>
        <v/>
      </c>
      <c r="M169" s="49">
        <f>IF(J169&gt;=($J$6*0.9),1,0)</f>
        <v/>
      </c>
      <c r="N169" s="80" t="n">
        <v>23</v>
      </c>
      <c r="O169" s="49">
        <f>IF(N169&gt;=($N$6*0.7),1,0)</f>
        <v/>
      </c>
      <c r="P169" s="49">
        <f>IF(N169&gt;=($N$6*0.8),1,0)</f>
        <v/>
      </c>
      <c r="Q169" s="49">
        <f>IF(N169&gt;=($N$6*0.9),1,0)</f>
        <v/>
      </c>
      <c r="R169" s="80" t="n">
        <v>56</v>
      </c>
      <c r="S169" s="48" t="n"/>
      <c r="T169" s="44" t="n"/>
      <c r="U169" s="44" t="n"/>
      <c r="V169" s="44" t="n"/>
      <c r="W169" s="44" t="n"/>
      <c r="X169" s="44" t="n"/>
      <c r="Y169" s="44" t="n"/>
      <c r="Z169" s="44" t="n"/>
      <c r="AA169" s="44" t="n"/>
      <c r="AB169" s="44" t="n"/>
      <c r="AC169" s="44" t="n"/>
      <c r="AD169" s="44" t="n"/>
    </row>
    <row r="170" ht="15.75" customHeight="1" s="98">
      <c r="A170" s="47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49" t="n"/>
      <c r="E170" s="49" t="n"/>
      <c r="F170" s="80" t="n">
        <v>14</v>
      </c>
      <c r="G170" s="49">
        <f>IF(F170&gt;=($F$6*0.5),1,0)</f>
        <v/>
      </c>
      <c r="H170" s="49">
        <f>IF(F170&gt;=($F$6*0.6),1,0)</f>
        <v/>
      </c>
      <c r="I170" s="49">
        <f>IF(F170&gt;=($F$6*0.7),1,0)</f>
        <v/>
      </c>
      <c r="J170" s="80" t="n">
        <v>28</v>
      </c>
      <c r="K170" s="49">
        <f>IF(J170&gt;=($J$6*0.7),1,0)</f>
        <v/>
      </c>
      <c r="L170" s="49">
        <f>IF(J170&gt;=($J$6*0.8),1,0)</f>
        <v/>
      </c>
      <c r="M170" s="49">
        <f>IF(J170&gt;=($J$6*0.9),1,0)</f>
        <v/>
      </c>
      <c r="N170" s="80" t="n">
        <v>28</v>
      </c>
      <c r="O170" s="49">
        <f>IF(N170&gt;=($N$6*0.7),1,0)</f>
        <v/>
      </c>
      <c r="P170" s="49">
        <f>IF(N170&gt;=($N$6*0.8),1,0)</f>
        <v/>
      </c>
      <c r="Q170" s="49">
        <f>IF(N170&gt;=($N$6*0.9),1,0)</f>
        <v/>
      </c>
      <c r="R170" t="n">
        <v>70</v>
      </c>
      <c r="S170" s="48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</row>
    <row r="171" ht="15.75" customHeight="1" s="98">
      <c r="A171" s="47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49" t="n"/>
      <c r="E171" s="49" t="n"/>
      <c r="F171" s="80" t="n">
        <v>13</v>
      </c>
      <c r="G171" s="49">
        <f>IF(F171&gt;=($F$6*0.5),1,0)</f>
        <v/>
      </c>
      <c r="H171" s="49">
        <f>IF(F171&gt;=($F$6*0.6),1,0)</f>
        <v/>
      </c>
      <c r="I171" s="49">
        <f>IF(F171&gt;=($F$6*0.7),1,0)</f>
        <v/>
      </c>
      <c r="J171" s="80" t="n">
        <v>22</v>
      </c>
      <c r="K171" s="49">
        <f>IF(J171&gt;=($J$6*0.7),1,0)</f>
        <v/>
      </c>
      <c r="L171" s="49">
        <f>IF(J171&gt;=($J$6*0.8),1,0)</f>
        <v/>
      </c>
      <c r="M171" s="49">
        <f>IF(J171&gt;=($J$6*0.9),1,0)</f>
        <v/>
      </c>
      <c r="N171" s="80" t="n">
        <v>22</v>
      </c>
      <c r="O171" s="49">
        <f>IF(N171&gt;=($N$6*0.7),1,0)</f>
        <v/>
      </c>
      <c r="P171" s="49">
        <f>IF(N171&gt;=($N$6*0.8),1,0)</f>
        <v/>
      </c>
      <c r="Q171" s="49">
        <f>IF(N171&gt;=($N$6*0.9),1,0)</f>
        <v/>
      </c>
      <c r="R171" s="80" t="n">
        <v>57</v>
      </c>
      <c r="S171" s="48" t="n"/>
      <c r="T171" s="44" t="n"/>
      <c r="U171" s="44" t="n"/>
      <c r="V171" s="44" t="n"/>
      <c r="W171" s="44" t="n"/>
      <c r="X171" s="44" t="n"/>
      <c r="Y171" s="44" t="n"/>
      <c r="Z171" s="44" t="n"/>
      <c r="AA171" s="44" t="n"/>
      <c r="AB171" s="44" t="n"/>
      <c r="AC171" s="44" t="n"/>
      <c r="AD171" s="44" t="n"/>
    </row>
    <row r="172" ht="15.75" customHeight="1" s="98">
      <c r="A172" s="47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49" t="n"/>
      <c r="E172" s="49" t="n"/>
      <c r="F172" s="80" t="n">
        <v>11</v>
      </c>
      <c r="G172" s="49">
        <f>IF(F172&gt;=($F$6*0.5),1,0)</f>
        <v/>
      </c>
      <c r="H172" s="49">
        <f>IF(F172&gt;=($F$6*0.6),1,0)</f>
        <v/>
      </c>
      <c r="I172" s="49">
        <f>IF(F172&gt;=($F$6*0.7),1,0)</f>
        <v/>
      </c>
      <c r="J172" s="80" t="n">
        <v>21</v>
      </c>
      <c r="K172" s="49">
        <f>IF(J172&gt;=($J$6*0.7),1,0)</f>
        <v/>
      </c>
      <c r="L172" s="49">
        <f>IF(J172&gt;=($J$6*0.8),1,0)</f>
        <v/>
      </c>
      <c r="M172" s="49">
        <f>IF(J172&gt;=($J$6*0.9),1,0)</f>
        <v/>
      </c>
      <c r="N172" s="80" t="n">
        <v>18</v>
      </c>
      <c r="O172" s="49">
        <f>IF(N172&gt;=($N$6*0.7),1,0)</f>
        <v/>
      </c>
      <c r="P172" s="49">
        <f>IF(N172&gt;=($N$6*0.8),1,0)</f>
        <v/>
      </c>
      <c r="Q172" s="49">
        <f>IF(N172&gt;=($N$6*0.9),1,0)</f>
        <v/>
      </c>
      <c r="R172" t="n">
        <v>50</v>
      </c>
      <c r="S172" s="48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</row>
    <row r="173" ht="15.75" customHeight="1" s="98">
      <c r="A173" s="47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49" t="n"/>
      <c r="E173" s="49" t="n"/>
      <c r="F173" s="80" t="n">
        <v>14</v>
      </c>
      <c r="G173" s="49">
        <f>IF(F173&gt;=($F$6*0.5),1,0)</f>
        <v/>
      </c>
      <c r="H173" s="49">
        <f>IF(F173&gt;=($F$6*0.6),1,0)</f>
        <v/>
      </c>
      <c r="I173" s="49">
        <f>IF(F173&gt;=($F$6*0.7),1,0)</f>
        <v/>
      </c>
      <c r="J173" s="80" t="n">
        <v>26</v>
      </c>
      <c r="K173" s="49">
        <f>IF(J173&gt;=($J$6*0.7),1,0)</f>
        <v/>
      </c>
      <c r="L173" s="49">
        <f>IF(J173&gt;=($J$6*0.8),1,0)</f>
        <v/>
      </c>
      <c r="M173" s="49">
        <f>IF(J173&gt;=($J$6*0.9),1,0)</f>
        <v/>
      </c>
      <c r="N173" s="80" t="n">
        <v>27</v>
      </c>
      <c r="O173" s="49">
        <f>IF(N173&gt;=($N$6*0.7),1,0)</f>
        <v/>
      </c>
      <c r="P173" s="49">
        <f>IF(N173&gt;=($N$6*0.8),1,0)</f>
        <v/>
      </c>
      <c r="Q173" s="49">
        <f>IF(N173&gt;=($N$6*0.9),1,0)</f>
        <v/>
      </c>
      <c r="R173" t="n">
        <v>67</v>
      </c>
      <c r="S173" s="48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B173" s="44" t="n"/>
      <c r="AC173" s="44" t="n"/>
      <c r="AD173" s="44" t="n"/>
    </row>
    <row r="174" ht="15.75" customHeight="1" s="98">
      <c r="A174" s="47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49" t="n"/>
      <c r="E174" s="49" t="n"/>
      <c r="F174" s="80" t="n">
        <v>14</v>
      </c>
      <c r="G174" s="49">
        <f>IF(F174&gt;=($F$6*0.5),1,0)</f>
        <v/>
      </c>
      <c r="H174" s="49">
        <f>IF(F174&gt;=($F$6*0.6),1,0)</f>
        <v/>
      </c>
      <c r="I174" s="49">
        <f>IF(F174&gt;=($F$6*0.7),1,0)</f>
        <v/>
      </c>
      <c r="J174" s="80" t="n">
        <v>25</v>
      </c>
      <c r="K174" s="49">
        <f>IF(J174&gt;=($J$6*0.7),1,0)</f>
        <v/>
      </c>
      <c r="L174" s="49">
        <f>IF(J174&gt;=($J$6*0.8),1,0)</f>
        <v/>
      </c>
      <c r="M174" s="49">
        <f>IF(J174&gt;=($J$6*0.9),1,0)</f>
        <v/>
      </c>
      <c r="N174" s="80" t="n">
        <v>27</v>
      </c>
      <c r="O174" s="49">
        <f>IF(N174&gt;=($N$6*0.7),1,0)</f>
        <v/>
      </c>
      <c r="P174" s="49">
        <f>IF(N174&gt;=($N$6*0.8),1,0)</f>
        <v/>
      </c>
      <c r="Q174" s="49">
        <f>IF(N174&gt;=($N$6*0.9),1,0)</f>
        <v/>
      </c>
      <c r="R174" s="80" t="n">
        <v>66</v>
      </c>
      <c r="S174" s="48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</row>
    <row r="175" ht="15.75" customHeight="1" s="98">
      <c r="A175" s="47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49" t="n"/>
      <c r="E175" s="49" t="n"/>
      <c r="F175" s="80" t="n">
        <v>13</v>
      </c>
      <c r="G175" s="49">
        <f>IF(F175&gt;=($F$6*0.5),1,0)</f>
        <v/>
      </c>
      <c r="H175" s="49">
        <f>IF(F175&gt;=($F$6*0.6),1,0)</f>
        <v/>
      </c>
      <c r="I175" s="49">
        <f>IF(F175&gt;=($F$6*0.7),1,0)</f>
        <v/>
      </c>
      <c r="J175" s="80" t="n">
        <v>23</v>
      </c>
      <c r="K175" s="49">
        <f>IF(J175&gt;=($J$6*0.7),1,0)</f>
        <v/>
      </c>
      <c r="L175" s="49">
        <f>IF(J175&gt;=($J$6*0.8),1,0)</f>
        <v/>
      </c>
      <c r="M175" s="49">
        <f>IF(J175&gt;=($J$6*0.9),1,0)</f>
        <v/>
      </c>
      <c r="N175" s="80" t="n">
        <v>22</v>
      </c>
      <c r="O175" s="49">
        <f>IF(N175&gt;=($N$6*0.7),1,0)</f>
        <v/>
      </c>
      <c r="P175" s="49">
        <f>IF(N175&gt;=($N$6*0.8),1,0)</f>
        <v/>
      </c>
      <c r="Q175" s="49">
        <f>IF(N175&gt;=($N$6*0.9),1,0)</f>
        <v/>
      </c>
      <c r="R175" s="80" t="n">
        <v>58</v>
      </c>
      <c r="S175" s="48" t="n"/>
      <c r="T175" s="44" t="n"/>
      <c r="U175" s="44" t="n"/>
      <c r="V175" s="44" t="n"/>
      <c r="W175" s="44" t="n"/>
      <c r="X175" s="44" t="n"/>
      <c r="Y175" s="44" t="n"/>
      <c r="Z175" s="44" t="n"/>
      <c r="AA175" s="44" t="n"/>
      <c r="AB175" s="44" t="n"/>
      <c r="AC175" s="44" t="n"/>
      <c r="AD175" s="44" t="n"/>
    </row>
    <row r="176" ht="15.75" customHeight="1" s="98">
      <c r="A176" s="47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49" t="n"/>
      <c r="E176" s="49" t="n"/>
      <c r="F176" s="80" t="n">
        <v>14</v>
      </c>
      <c r="G176" s="49">
        <f>IF(F176&gt;=($F$6*0.5),1,0)</f>
        <v/>
      </c>
      <c r="H176" s="49">
        <f>IF(F176&gt;=($F$6*0.6),1,0)</f>
        <v/>
      </c>
      <c r="I176" s="49">
        <f>IF(F176&gt;=($F$6*0.7),1,0)</f>
        <v/>
      </c>
      <c r="J176" s="80" t="n">
        <v>27</v>
      </c>
      <c r="K176" s="49">
        <f>IF(J176&gt;=($J$6*0.7),1,0)</f>
        <v/>
      </c>
      <c r="L176" s="49">
        <f>IF(J176&gt;=($J$6*0.8),1,0)</f>
        <v/>
      </c>
      <c r="M176" s="49">
        <f>IF(J176&gt;=($J$6*0.9),1,0)</f>
        <v/>
      </c>
      <c r="N176" s="80" t="n">
        <v>24</v>
      </c>
      <c r="O176" s="49">
        <f>IF(N176&gt;=($N$6*0.7),1,0)</f>
        <v/>
      </c>
      <c r="P176" s="49">
        <f>IF(N176&gt;=($N$6*0.8),1,0)</f>
        <v/>
      </c>
      <c r="Q176" s="49">
        <f>IF(N176&gt;=($N$6*0.9),1,0)</f>
        <v/>
      </c>
      <c r="R176" t="n">
        <v>65</v>
      </c>
      <c r="S176" s="48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</row>
    <row r="177" ht="15.75" customHeight="1" s="98">
      <c r="A177" s="47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49" t="n"/>
      <c r="E177" s="49" t="n"/>
      <c r="F177" s="80" t="n">
        <v>13</v>
      </c>
      <c r="G177" s="49">
        <f>IF(F177&gt;=($F$6*0.5),1,0)</f>
        <v/>
      </c>
      <c r="H177" s="49">
        <f>IF(F177&gt;=($F$6*0.6),1,0)</f>
        <v/>
      </c>
      <c r="I177" s="49">
        <f>IF(F177&gt;=($F$6*0.7),1,0)</f>
        <v/>
      </c>
      <c r="J177" s="80" t="n">
        <v>22</v>
      </c>
      <c r="K177" s="49">
        <f>IF(J177&gt;=($J$6*0.7),1,0)</f>
        <v/>
      </c>
      <c r="L177" s="49">
        <f>IF(J177&gt;=($J$6*0.8),1,0)</f>
        <v/>
      </c>
      <c r="M177" s="49">
        <f>IF(J177&gt;=($J$6*0.9),1,0)</f>
        <v/>
      </c>
      <c r="N177" s="80" t="n">
        <v>22</v>
      </c>
      <c r="O177" s="49">
        <f>IF(N177&gt;=($N$6*0.7),1,0)</f>
        <v/>
      </c>
      <c r="P177" s="49">
        <f>IF(N177&gt;=($N$6*0.8),1,0)</f>
        <v/>
      </c>
      <c r="Q177" s="49">
        <f>IF(N177&gt;=($N$6*0.9),1,0)</f>
        <v/>
      </c>
      <c r="R177" t="n">
        <v>57</v>
      </c>
      <c r="S177" s="48" t="n"/>
      <c r="T177" s="44" t="n"/>
      <c r="U177" s="44" t="n"/>
      <c r="V177" s="44" t="n"/>
      <c r="W177" s="44" t="n"/>
      <c r="X177" s="44" t="n"/>
      <c r="Y177" s="44" t="n"/>
      <c r="Z177" s="44" t="n"/>
      <c r="AA177" s="44" t="n"/>
      <c r="AB177" s="44" t="n"/>
      <c r="AC177" s="44" t="n"/>
      <c r="AD177" s="44" t="n"/>
    </row>
    <row r="178" ht="15.75" customHeight="1" s="98">
      <c r="A178" s="47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49" t="n"/>
      <c r="E178" s="49" t="n"/>
      <c r="F178" s="80" t="n">
        <v>13</v>
      </c>
      <c r="G178" s="49">
        <f>IF(F178&gt;=($F$6*0.5),1,0)</f>
        <v/>
      </c>
      <c r="H178" s="49">
        <f>IF(F178&gt;=($F$6*0.6),1,0)</f>
        <v/>
      </c>
      <c r="I178" s="49">
        <f>IF(F178&gt;=($F$6*0.7),1,0)</f>
        <v/>
      </c>
      <c r="J178" s="80" t="n">
        <v>21</v>
      </c>
      <c r="K178" s="49">
        <f>IF(J178&gt;=($J$6*0.7),1,0)</f>
        <v/>
      </c>
      <c r="L178" s="49">
        <f>IF(J178&gt;=($J$6*0.8),1,0)</f>
        <v/>
      </c>
      <c r="M178" s="49">
        <f>IF(J178&gt;=($J$6*0.9),1,0)</f>
        <v/>
      </c>
      <c r="N178" s="80" t="n">
        <v>21</v>
      </c>
      <c r="O178" s="49">
        <f>IF(N178&gt;=($N$6*0.7),1,0)</f>
        <v/>
      </c>
      <c r="P178" s="49">
        <f>IF(N178&gt;=($N$6*0.8),1,0)</f>
        <v/>
      </c>
      <c r="Q178" s="49">
        <f>IF(N178&gt;=($N$6*0.9),1,0)</f>
        <v/>
      </c>
      <c r="R178" s="80" t="n">
        <v>55</v>
      </c>
      <c r="S178" s="48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</row>
    <row r="179" ht="15.75" customHeight="1" s="98">
      <c r="A179" s="47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49" t="n"/>
      <c r="E179" s="49" t="n"/>
      <c r="F179" s="80" t="n">
        <v>14</v>
      </c>
      <c r="G179" s="49">
        <f>IF(F179&gt;=($F$6*0.5),1,0)</f>
        <v/>
      </c>
      <c r="H179" s="49">
        <f>IF(F179&gt;=($F$6*0.6),1,0)</f>
        <v/>
      </c>
      <c r="I179" s="49">
        <f>IF(F179&gt;=($F$6*0.7),1,0)</f>
        <v/>
      </c>
      <c r="J179" s="80" t="n">
        <v>25</v>
      </c>
      <c r="K179" s="49">
        <f>IF(J179&gt;=($J$6*0.7),1,0)</f>
        <v/>
      </c>
      <c r="L179" s="49">
        <f>IF(J179&gt;=($J$6*0.8),1,0)</f>
        <v/>
      </c>
      <c r="M179" s="49">
        <f>IF(J179&gt;=($J$6*0.9),1,0)</f>
        <v/>
      </c>
      <c r="N179" s="80" t="n">
        <v>28</v>
      </c>
      <c r="O179" s="49">
        <f>IF(N179&gt;=($N$6*0.7),1,0)</f>
        <v/>
      </c>
      <c r="P179" s="49">
        <f>IF(N179&gt;=($N$6*0.8),1,0)</f>
        <v/>
      </c>
      <c r="Q179" s="49">
        <f>IF(N179&gt;=($N$6*0.9),1,0)</f>
        <v/>
      </c>
      <c r="R179" t="n">
        <v>67</v>
      </c>
      <c r="S179" s="48" t="n"/>
      <c r="T179" s="44" t="n"/>
      <c r="U179" s="44" t="n"/>
      <c r="V179" s="44" t="n"/>
      <c r="W179" s="44" t="n"/>
      <c r="X179" s="44" t="n"/>
      <c r="Y179" s="44" t="n"/>
      <c r="Z179" s="44" t="n"/>
      <c r="AA179" s="44" t="n"/>
      <c r="AB179" s="44" t="n"/>
      <c r="AC179" s="44" t="n"/>
      <c r="AD179" s="44" t="n"/>
    </row>
    <row r="180" ht="15.75" customHeight="1" s="98">
      <c r="A180" s="47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49" t="n"/>
      <c r="E180" s="49" t="n"/>
      <c r="F180" s="80" t="n">
        <v>13</v>
      </c>
      <c r="G180" s="49">
        <f>IF(F180&gt;=($F$6*0.5),1,0)</f>
        <v/>
      </c>
      <c r="H180" s="49">
        <f>IF(F180&gt;=($F$6*0.6),1,0)</f>
        <v/>
      </c>
      <c r="I180" s="49">
        <f>IF(F180&gt;=($F$6*0.7),1,0)</f>
        <v/>
      </c>
      <c r="J180" s="80" t="n">
        <v>26</v>
      </c>
      <c r="K180" s="49">
        <f>IF(J180&gt;=($J$6*0.7),1,0)</f>
        <v/>
      </c>
      <c r="L180" s="49">
        <f>IF(J180&gt;=($J$6*0.8),1,0)</f>
        <v/>
      </c>
      <c r="M180" s="49">
        <f>IF(J180&gt;=($J$6*0.9),1,0)</f>
        <v/>
      </c>
      <c r="N180" s="80" t="n">
        <v>24</v>
      </c>
      <c r="O180" s="49">
        <f>IF(N180&gt;=($N$6*0.7),1,0)</f>
        <v/>
      </c>
      <c r="P180" s="49">
        <f>IF(N180&gt;=($N$6*0.8),1,0)</f>
        <v/>
      </c>
      <c r="Q180" s="49">
        <f>IF(N180&gt;=($N$6*0.9),1,0)</f>
        <v/>
      </c>
      <c r="R180" s="80" t="n">
        <v>63</v>
      </c>
      <c r="S180" s="48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</row>
    <row r="181" ht="15.75" customHeight="1" s="98">
      <c r="A181" s="47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49" t="n"/>
      <c r="E181" s="49" t="n"/>
      <c r="F181" s="80" t="n">
        <v>9</v>
      </c>
      <c r="G181" s="49">
        <f>IF(F181&gt;=($F$6*0.5),1,0)</f>
        <v/>
      </c>
      <c r="H181" s="49">
        <f>IF(F181&gt;=($F$6*0.6),1,0)</f>
        <v/>
      </c>
      <c r="I181" s="49">
        <f>IF(F181&gt;=($F$6*0.7),1,0)</f>
        <v/>
      </c>
      <c r="J181" s="80" t="n">
        <v>14</v>
      </c>
      <c r="K181" s="49">
        <f>IF(J181&gt;=($J$6*0.7),1,0)</f>
        <v/>
      </c>
      <c r="L181" s="49">
        <f>IF(J181&gt;=($J$6*0.8),1,0)</f>
        <v/>
      </c>
      <c r="M181" s="49">
        <f>IF(J181&gt;=($J$6*0.9),1,0)</f>
        <v/>
      </c>
      <c r="N181" s="80" t="n">
        <v>14</v>
      </c>
      <c r="O181" s="49">
        <f>IF(N181&gt;=($N$6*0.7),1,0)</f>
        <v/>
      </c>
      <c r="P181" s="49">
        <f>IF(N181&gt;=($N$6*0.8),1,0)</f>
        <v/>
      </c>
      <c r="Q181" s="49">
        <f>IF(N181&gt;=($N$6*0.9),1,0)</f>
        <v/>
      </c>
      <c r="R181" t="n">
        <v>37</v>
      </c>
      <c r="S181" s="48" t="n"/>
      <c r="T181" s="44" t="n"/>
      <c r="U181" s="44" t="n"/>
      <c r="V181" s="44" t="n"/>
      <c r="W181" s="44" t="n"/>
      <c r="X181" s="44" t="n"/>
      <c r="Y181" s="44" t="n"/>
      <c r="Z181" s="44" t="n"/>
      <c r="AA181" s="44" t="n"/>
      <c r="AB181" s="44" t="n"/>
      <c r="AC181" s="44" t="n"/>
      <c r="AD181" s="44" t="n"/>
    </row>
    <row r="182" ht="15.75" customHeight="1" s="98">
      <c r="A182" s="47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49" t="n"/>
      <c r="E182" s="49" t="n"/>
      <c r="F182" s="80" t="n">
        <v>13</v>
      </c>
      <c r="G182" s="49">
        <f>IF(F182&gt;=($F$6*0.5),1,0)</f>
        <v/>
      </c>
      <c r="H182" s="49">
        <f>IF(F182&gt;=($F$6*0.6),1,0)</f>
        <v/>
      </c>
      <c r="I182" s="49">
        <f>IF(F182&gt;=($F$6*0.7),1,0)</f>
        <v/>
      </c>
      <c r="J182" s="80" t="n">
        <v>25</v>
      </c>
      <c r="K182" s="49">
        <f>IF(J182&gt;=($J$6*0.7),1,0)</f>
        <v/>
      </c>
      <c r="L182" s="49">
        <f>IF(J182&gt;=($J$6*0.8),1,0)</f>
        <v/>
      </c>
      <c r="M182" s="49">
        <f>IF(J182&gt;=($J$6*0.9),1,0)</f>
        <v/>
      </c>
      <c r="N182" s="80" t="n">
        <v>25</v>
      </c>
      <c r="O182" s="49">
        <f>IF(N182&gt;=($N$6*0.7),1,0)</f>
        <v/>
      </c>
      <c r="P182" s="49">
        <f>IF(N182&gt;=($N$6*0.8),1,0)</f>
        <v/>
      </c>
      <c r="Q182" s="49">
        <f>IF(N182&gt;=($N$6*0.9),1,0)</f>
        <v/>
      </c>
      <c r="R182" s="80" t="n">
        <v>63</v>
      </c>
      <c r="S182" s="48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</row>
    <row r="183" ht="15.75" customHeight="1" s="98">
      <c r="A183" s="47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44" t="n"/>
      <c r="E183" s="44" t="n"/>
      <c r="F183" s="80" t="n"/>
      <c r="G183" s="49">
        <f>IF(F183&gt;=($F$6*0.5),1,0)</f>
        <v/>
      </c>
      <c r="H183" s="49">
        <f>IF(F183&gt;=($F$6*0.6),1,0)</f>
        <v/>
      </c>
      <c r="I183" s="49">
        <f>IF(F183&gt;=($F$6*0.7),1,0)</f>
        <v/>
      </c>
      <c r="J183" s="80" t="n"/>
      <c r="K183" s="49">
        <f>IF(J183&gt;=($J$6*0.7),1,0)</f>
        <v/>
      </c>
      <c r="L183" s="49">
        <f>IF(J183&gt;=($J$6*0.8),1,0)</f>
        <v/>
      </c>
      <c r="M183" s="49">
        <f>IF(J183&gt;=($J$6*0.9),1,0)</f>
        <v/>
      </c>
      <c r="N183" s="80" t="n"/>
      <c r="O183" s="49">
        <f>IF(N183&gt;=($N$6*0.7),1,0)</f>
        <v/>
      </c>
      <c r="P183" s="49">
        <f>IF(N183&gt;=($N$6*0.8),1,0)</f>
        <v/>
      </c>
      <c r="Q183" s="49">
        <f>IF(N183&gt;=($N$6*0.9),1,0)</f>
        <v/>
      </c>
      <c r="R183" s="80" t="n"/>
      <c r="S183" s="44" t="n"/>
      <c r="T183" s="44" t="n"/>
      <c r="U183" s="44" t="n"/>
      <c r="V183" s="44" t="n"/>
      <c r="W183" s="44" t="n"/>
      <c r="X183" s="44" t="n"/>
      <c r="Y183" s="44" t="n"/>
      <c r="Z183" s="44" t="n"/>
      <c r="AA183" s="44" t="n"/>
      <c r="AB183" s="44" t="n"/>
      <c r="AC183" s="44" t="n"/>
      <c r="AD183" s="44" t="n"/>
    </row>
    <row r="184" ht="15.75" customHeight="1" s="98">
      <c r="A184" s="47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44" t="n"/>
      <c r="E184" s="44" t="n"/>
      <c r="F184" s="80" t="n"/>
      <c r="G184" s="49">
        <f>IF(F184&gt;=($F$6*0.5),1,0)</f>
        <v/>
      </c>
      <c r="H184" s="49">
        <f>IF(F184&gt;=($F$6*0.6),1,0)</f>
        <v/>
      </c>
      <c r="I184" s="49">
        <f>IF(F184&gt;=($F$6*0.7),1,0)</f>
        <v/>
      </c>
      <c r="J184" s="80" t="n"/>
      <c r="K184" s="49">
        <f>IF(J184&gt;=($J$6*0.7),1,0)</f>
        <v/>
      </c>
      <c r="L184" s="49">
        <f>IF(J184&gt;=($J$6*0.8),1,0)</f>
        <v/>
      </c>
      <c r="M184" s="49">
        <f>IF(J184&gt;=($J$6*0.9),1,0)</f>
        <v/>
      </c>
      <c r="N184" s="80" t="n"/>
      <c r="O184" s="49">
        <f>IF(N184&gt;=($N$6*0.7),1,0)</f>
        <v/>
      </c>
      <c r="P184" s="49">
        <f>IF(N184&gt;=($N$6*0.8),1,0)</f>
        <v/>
      </c>
      <c r="Q184" s="49">
        <f>IF(N184&gt;=($N$6*0.9),1,0)</f>
        <v/>
      </c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</row>
    <row r="185" ht="15.75" customHeight="1" s="98">
      <c r="A185" s="47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44" t="n"/>
      <c r="E185" s="44" t="n"/>
      <c r="F185" s="80" t="n"/>
      <c r="G185" s="49">
        <f>IF(F185&gt;=($F$6*0.5),1,0)</f>
        <v/>
      </c>
      <c r="H185" s="49">
        <f>IF(F185&gt;=($F$6*0.6),1,0)</f>
        <v/>
      </c>
      <c r="I185" s="49">
        <f>IF(F185&gt;=($F$6*0.7),1,0)</f>
        <v/>
      </c>
      <c r="J185" s="80" t="n"/>
      <c r="K185" s="49">
        <f>IF(J185&gt;=($J$6*0.7),1,0)</f>
        <v/>
      </c>
      <c r="L185" s="49">
        <f>IF(J185&gt;=($J$6*0.8),1,0)</f>
        <v/>
      </c>
      <c r="M185" s="49">
        <f>IF(J185&gt;=($J$6*0.9),1,0)</f>
        <v/>
      </c>
      <c r="N185" s="80" t="n"/>
      <c r="O185" s="49">
        <f>IF(N185&gt;=($N$6*0.7),1,0)</f>
        <v/>
      </c>
      <c r="P185" s="49">
        <f>IF(N185&gt;=($N$6*0.8),1,0)</f>
        <v/>
      </c>
      <c r="Q185" s="49">
        <f>IF(N185&gt;=($N$6*0.9),1,0)</f>
        <v/>
      </c>
      <c r="R185" s="80" t="n"/>
      <c r="S185" s="44" t="n"/>
      <c r="T185" s="44" t="n"/>
      <c r="U185" s="44" t="n"/>
      <c r="V185" s="44" t="n"/>
      <c r="W185" s="44" t="n"/>
      <c r="X185" s="44" t="n"/>
      <c r="Y185" s="44" t="n"/>
      <c r="Z185" s="44" t="n"/>
      <c r="AA185" s="44" t="n"/>
      <c r="AB185" s="44" t="n"/>
      <c r="AC185" s="44" t="n"/>
      <c r="AD185" s="44" t="n"/>
    </row>
    <row r="186" ht="15.75" customHeight="1" s="98">
      <c r="A186" s="47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44" t="n"/>
      <c r="E186" s="44" t="n"/>
      <c r="F186" s="80" t="n"/>
      <c r="G186" s="49">
        <f>IF(F186&gt;=($F$6*0.5),1,0)</f>
        <v/>
      </c>
      <c r="H186" s="49">
        <f>IF(F186&gt;=($F$6*0.6),1,0)</f>
        <v/>
      </c>
      <c r="I186" s="49">
        <f>IF(F186&gt;=($F$6*0.7),1,0)</f>
        <v/>
      </c>
      <c r="J186" s="80" t="n"/>
      <c r="K186" s="49">
        <f>IF(J186&gt;=($J$6*0.7),1,0)</f>
        <v/>
      </c>
      <c r="L186" s="49">
        <f>IF(J186&gt;=($J$6*0.8),1,0)</f>
        <v/>
      </c>
      <c r="M186" s="49">
        <f>IF(J186&gt;=($J$6*0.9),1,0)</f>
        <v/>
      </c>
      <c r="N186" s="80" t="n"/>
      <c r="O186" s="49">
        <f>IF(N186&gt;=($N$6*0.7),1,0)</f>
        <v/>
      </c>
      <c r="P186" s="49">
        <f>IF(N186&gt;=($N$6*0.8),1,0)</f>
        <v/>
      </c>
      <c r="Q186" s="49">
        <f>IF(N186&gt;=($N$6*0.9),1,0)</f>
        <v/>
      </c>
      <c r="R186" s="80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</row>
    <row r="187" ht="15.75" customHeight="1" s="98">
      <c r="A187" s="47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44" t="n"/>
      <c r="E187" s="44" t="n"/>
      <c r="F187" s="80" t="n"/>
      <c r="G187" s="49">
        <f>IF(F187&gt;=($F$6*0.5),1,0)</f>
        <v/>
      </c>
      <c r="H187" s="49">
        <f>IF(F187&gt;=($F$6*0.6),1,0)</f>
        <v/>
      </c>
      <c r="I187" s="49">
        <f>IF(F187&gt;=($F$6*0.7),1,0)</f>
        <v/>
      </c>
      <c r="J187" s="80" t="n"/>
      <c r="K187" s="49">
        <f>IF(J187&gt;=($J$6*0.7),1,0)</f>
        <v/>
      </c>
      <c r="L187" s="49">
        <f>IF(J187&gt;=($J$6*0.8),1,0)</f>
        <v/>
      </c>
      <c r="M187" s="49">
        <f>IF(J187&gt;=($J$6*0.9),1,0)</f>
        <v/>
      </c>
      <c r="N187" s="80" t="n"/>
      <c r="O187" s="49">
        <f>IF(N187&gt;=($N$6*0.7),1,0)</f>
        <v/>
      </c>
      <c r="P187" s="49">
        <f>IF(N187&gt;=($N$6*0.8),1,0)</f>
        <v/>
      </c>
      <c r="Q187" s="49">
        <f>IF(N187&gt;=($N$6*0.9),1,0)</f>
        <v/>
      </c>
      <c r="S187" s="44" t="n"/>
      <c r="T187" s="44" t="n"/>
      <c r="U187" s="44" t="n"/>
      <c r="V187" s="44" t="n"/>
      <c r="W187" s="44" t="n"/>
      <c r="X187" s="44" t="n"/>
      <c r="Y187" s="44" t="n"/>
      <c r="Z187" s="44" t="n"/>
      <c r="AA187" s="44" t="n"/>
      <c r="AB187" s="44" t="n"/>
      <c r="AC187" s="44" t="n"/>
      <c r="AD187" s="44" t="n"/>
    </row>
    <row r="188" ht="15.75" customHeight="1" s="98">
      <c r="A188" s="47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44" t="n"/>
      <c r="E188" s="44" t="n"/>
      <c r="F188" s="80" t="n"/>
      <c r="G188" s="49">
        <f>IF(F188&gt;=($F$6*0.5),1,0)</f>
        <v/>
      </c>
      <c r="H188" s="49">
        <f>IF(F188&gt;=($F$6*0.6),1,0)</f>
        <v/>
      </c>
      <c r="I188" s="49">
        <f>IF(F188&gt;=($F$6*0.7),1,0)</f>
        <v/>
      </c>
      <c r="J188" s="80" t="n"/>
      <c r="K188" s="49">
        <f>IF(J188&gt;=($J$6*0.7),1,0)</f>
        <v/>
      </c>
      <c r="L188" s="49">
        <f>IF(J188&gt;=($J$6*0.8),1,0)</f>
        <v/>
      </c>
      <c r="M188" s="49">
        <f>IF(J188&gt;=($J$6*0.9),1,0)</f>
        <v/>
      </c>
      <c r="N188" s="80" t="n"/>
      <c r="O188" s="49">
        <f>IF(N188&gt;=($N$6*0.7),1,0)</f>
        <v/>
      </c>
      <c r="P188" s="49">
        <f>IF(N188&gt;=($N$6*0.8),1,0)</f>
        <v/>
      </c>
      <c r="Q188" s="49">
        <f>IF(N188&gt;=($N$6*0.9),1,0)</f>
        <v/>
      </c>
      <c r="R188" s="80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</row>
    <row r="189" ht="15.75" customHeight="1" s="98">
      <c r="A189" s="47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44" t="n"/>
      <c r="E189" s="44" t="n"/>
      <c r="F189" s="80" t="n"/>
      <c r="G189" s="49">
        <f>IF(F189&gt;=($F$6*0.5),1,0)</f>
        <v/>
      </c>
      <c r="H189" s="49">
        <f>IF(F189&gt;=($F$6*0.6),1,0)</f>
        <v/>
      </c>
      <c r="I189" s="49">
        <f>IF(F189&gt;=($F$6*0.7),1,0)</f>
        <v/>
      </c>
      <c r="J189" s="80" t="n"/>
      <c r="K189" s="49">
        <f>IF(J189&gt;=($J$6*0.7),1,0)</f>
        <v/>
      </c>
      <c r="L189" s="49">
        <f>IF(J189&gt;=($J$6*0.8),1,0)</f>
        <v/>
      </c>
      <c r="M189" s="49">
        <f>IF(J189&gt;=($J$6*0.9),1,0)</f>
        <v/>
      </c>
      <c r="N189" s="80" t="n"/>
      <c r="O189" s="49">
        <f>IF(N189&gt;=($N$6*0.7),1,0)</f>
        <v/>
      </c>
      <c r="P189" s="49">
        <f>IF(N189&gt;=($N$6*0.8),1,0)</f>
        <v/>
      </c>
      <c r="Q189" s="49">
        <f>IF(N189&gt;=($N$6*0.9),1,0)</f>
        <v/>
      </c>
      <c r="S189" s="44" t="n"/>
      <c r="T189" s="44" t="n"/>
      <c r="U189" s="44" t="n"/>
      <c r="V189" s="44" t="n"/>
      <c r="W189" s="44" t="n"/>
      <c r="X189" s="44" t="n"/>
      <c r="Y189" s="44" t="n"/>
      <c r="Z189" s="44" t="n"/>
      <c r="AA189" s="44" t="n"/>
      <c r="AB189" s="44" t="n"/>
      <c r="AC189" s="44" t="n"/>
      <c r="AD189" s="44" t="n"/>
    </row>
    <row r="190" ht="15.75" customHeight="1" s="98">
      <c r="A190" s="47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44" t="n"/>
      <c r="E190" s="44" t="n"/>
      <c r="F190" s="80" t="n"/>
      <c r="G190" s="49">
        <f>IF(F190&gt;=($F$6*0.5),1,0)</f>
        <v/>
      </c>
      <c r="H190" s="49">
        <f>IF(F190&gt;=($F$6*0.6),1,0)</f>
        <v/>
      </c>
      <c r="I190" s="49">
        <f>IF(F190&gt;=($F$6*0.7),1,0)</f>
        <v/>
      </c>
      <c r="J190" s="80" t="n"/>
      <c r="K190" s="49">
        <f>IF(J190&gt;=($J$6*0.7),1,0)</f>
        <v/>
      </c>
      <c r="L190" s="49">
        <f>IF(J190&gt;=($J$6*0.8),1,0)</f>
        <v/>
      </c>
      <c r="M190" s="49">
        <f>IF(J190&gt;=($J$6*0.9),1,0)</f>
        <v/>
      </c>
      <c r="N190" s="80" t="n"/>
      <c r="O190" s="49">
        <f>IF(N190&gt;=($N$6*0.7),1,0)</f>
        <v/>
      </c>
      <c r="P190" s="49">
        <f>IF(N190&gt;=($N$6*0.8),1,0)</f>
        <v/>
      </c>
      <c r="Q190" s="49">
        <f>IF(N190&gt;=($N$6*0.9),1,0)</f>
        <v/>
      </c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</row>
    <row r="191" ht="15.75" customHeight="1" s="98">
      <c r="A191" s="47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44" t="n"/>
      <c r="E191" s="44" t="n"/>
      <c r="F191" s="80" t="n"/>
      <c r="G191" s="49">
        <f>IF(F191&gt;=($F$6*0.5),1,0)</f>
        <v/>
      </c>
      <c r="H191" s="49">
        <f>IF(F191&gt;=($F$6*0.6),1,0)</f>
        <v/>
      </c>
      <c r="I191" s="49">
        <f>IF(F191&gt;=($F$6*0.7),1,0)</f>
        <v/>
      </c>
      <c r="J191" s="80" t="n"/>
      <c r="K191" s="49">
        <f>IF(J191&gt;=($J$6*0.7),1,0)</f>
        <v/>
      </c>
      <c r="L191" s="49">
        <f>IF(J191&gt;=($J$6*0.8),1,0)</f>
        <v/>
      </c>
      <c r="M191" s="49">
        <f>IF(J191&gt;=($J$6*0.9),1,0)</f>
        <v/>
      </c>
      <c r="N191" s="80" t="n"/>
      <c r="O191" s="49">
        <f>IF(N191&gt;=($N$6*0.7),1,0)</f>
        <v/>
      </c>
      <c r="P191" s="49">
        <f>IF(N191&gt;=($N$6*0.8),1,0)</f>
        <v/>
      </c>
      <c r="Q191" s="49">
        <f>IF(N191&gt;=($N$6*0.9),1,0)</f>
        <v/>
      </c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B191" s="44" t="n"/>
      <c r="AC191" s="44" t="n"/>
      <c r="AD191" s="44" t="n"/>
    </row>
    <row r="192" ht="15.75" customHeight="1" s="98">
      <c r="A192" s="47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44" t="n"/>
      <c r="E192" s="44" t="n"/>
      <c r="F192" s="80" t="n"/>
      <c r="G192" s="49">
        <f>IF(F192&gt;=($F$6*0.5),1,0)</f>
        <v/>
      </c>
      <c r="H192" s="49">
        <f>IF(F192&gt;=($F$6*0.6),1,0)</f>
        <v/>
      </c>
      <c r="I192" s="49">
        <f>IF(F192&gt;=($F$6*0.7),1,0)</f>
        <v/>
      </c>
      <c r="J192" s="80" t="n"/>
      <c r="K192" s="49">
        <f>IF(J192&gt;=($J$6*0.7),1,0)</f>
        <v/>
      </c>
      <c r="L192" s="49">
        <f>IF(J192&gt;=($J$6*0.8),1,0)</f>
        <v/>
      </c>
      <c r="M192" s="49">
        <f>IF(J192&gt;=($J$6*0.9),1,0)</f>
        <v/>
      </c>
      <c r="N192" s="80" t="n"/>
      <c r="O192" s="49">
        <f>IF(N192&gt;=($N$6*0.7),1,0)</f>
        <v/>
      </c>
      <c r="P192" s="49">
        <f>IF(N192&gt;=($N$6*0.8),1,0)</f>
        <v/>
      </c>
      <c r="Q192" s="49">
        <f>IF(N192&gt;=($N$6*0.9),1,0)</f>
        <v/>
      </c>
      <c r="R192" s="80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</row>
    <row r="193" ht="15.75" customHeight="1" s="98">
      <c r="A193" s="47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44" t="n"/>
      <c r="E193" s="44" t="n"/>
      <c r="F193" s="80" t="n"/>
      <c r="G193" s="49">
        <f>IF(F193&gt;=($F$6*0.5),1,0)</f>
        <v/>
      </c>
      <c r="H193" s="49">
        <f>IF(F193&gt;=($F$6*0.6),1,0)</f>
        <v/>
      </c>
      <c r="I193" s="49">
        <f>IF(F193&gt;=($F$6*0.7),1,0)</f>
        <v/>
      </c>
      <c r="J193" s="80" t="n"/>
      <c r="K193" s="49">
        <f>IF(J193&gt;=($J$6*0.7),1,0)</f>
        <v/>
      </c>
      <c r="L193" s="49">
        <f>IF(J193&gt;=($J$6*0.8),1,0)</f>
        <v/>
      </c>
      <c r="M193" s="49">
        <f>IF(J193&gt;=($J$6*0.9),1,0)</f>
        <v/>
      </c>
      <c r="N193" s="80" t="n"/>
      <c r="O193" s="49">
        <f>IF(N193&gt;=($N$6*0.7),1,0)</f>
        <v/>
      </c>
      <c r="P193" s="49">
        <f>IF(N193&gt;=($N$6*0.8),1,0)</f>
        <v/>
      </c>
      <c r="Q193" s="49">
        <f>IF(N193&gt;=($N$6*0.9),1,0)</f>
        <v/>
      </c>
      <c r="S193" s="44" t="n"/>
      <c r="T193" s="44" t="n"/>
      <c r="U193" s="44" t="n"/>
      <c r="V193" s="44" t="n"/>
      <c r="W193" s="44" t="n"/>
      <c r="X193" s="44" t="n"/>
      <c r="Y193" s="44" t="n"/>
      <c r="Z193" s="44" t="n"/>
      <c r="AA193" s="44" t="n"/>
      <c r="AB193" s="44" t="n"/>
      <c r="AC193" s="44" t="n"/>
      <c r="AD193" s="44" t="n"/>
    </row>
    <row r="194" ht="15.75" customHeight="1" s="98">
      <c r="A194" s="47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44" t="n"/>
      <c r="E194" s="44" t="n"/>
      <c r="F194" s="80" t="n"/>
      <c r="G194" s="49">
        <f>IF(F194&gt;=($F$6*0.5),1,0)</f>
        <v/>
      </c>
      <c r="H194" s="49">
        <f>IF(F194&gt;=($F$6*0.6),1,0)</f>
        <v/>
      </c>
      <c r="I194" s="49">
        <f>IF(F194&gt;=($F$6*0.7),1,0)</f>
        <v/>
      </c>
      <c r="J194" s="80" t="n"/>
      <c r="K194" s="49">
        <f>IF(J194&gt;=($J$6*0.7),1,0)</f>
        <v/>
      </c>
      <c r="L194" s="49">
        <f>IF(J194&gt;=($J$6*0.8),1,0)</f>
        <v/>
      </c>
      <c r="M194" s="49">
        <f>IF(J194&gt;=($J$6*0.9),1,0)</f>
        <v/>
      </c>
      <c r="N194" s="80" t="n"/>
      <c r="O194" s="49">
        <f>IF(N194&gt;=($N$6*0.7),1,0)</f>
        <v/>
      </c>
      <c r="P194" s="49">
        <f>IF(N194&gt;=($N$6*0.8),1,0)</f>
        <v/>
      </c>
      <c r="Q194" s="49">
        <f>IF(N194&gt;=($N$6*0.9),1,0)</f>
        <v/>
      </c>
      <c r="R194" s="80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</row>
    <row r="195" ht="15.75" customHeight="1" s="98">
      <c r="A195" s="47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44" t="n"/>
      <c r="E195" s="44" t="n"/>
      <c r="F195" s="80" t="n"/>
      <c r="G195" s="49">
        <f>IF(F195&gt;=($F$6*0.5),1,0)</f>
        <v/>
      </c>
      <c r="H195" s="49">
        <f>IF(F195&gt;=($F$6*0.6),1,0)</f>
        <v/>
      </c>
      <c r="I195" s="49">
        <f>IF(F195&gt;=($F$6*0.7),1,0)</f>
        <v/>
      </c>
      <c r="J195" s="80" t="n"/>
      <c r="K195" s="49">
        <f>IF(J195&gt;=($J$6*0.7),1,0)</f>
        <v/>
      </c>
      <c r="L195" s="49">
        <f>IF(J195&gt;=($J$6*0.8),1,0)</f>
        <v/>
      </c>
      <c r="M195" s="49">
        <f>IF(J195&gt;=($J$6*0.9),1,0)</f>
        <v/>
      </c>
      <c r="N195" s="80" t="n"/>
      <c r="O195" s="49">
        <f>IF(N195&gt;=($N$6*0.7),1,0)</f>
        <v/>
      </c>
      <c r="P195" s="49">
        <f>IF(N195&gt;=($N$6*0.8),1,0)</f>
        <v/>
      </c>
      <c r="Q195" s="49">
        <f>IF(N195&gt;=($N$6*0.9),1,0)</f>
        <v/>
      </c>
      <c r="R195" s="80" t="n"/>
      <c r="S195" s="44" t="n"/>
      <c r="T195" s="44" t="n"/>
      <c r="U195" s="44" t="n"/>
      <c r="V195" s="44" t="n"/>
      <c r="W195" s="44" t="n"/>
      <c r="X195" s="44" t="n"/>
      <c r="Y195" s="44" t="n"/>
      <c r="Z195" s="44" t="n"/>
      <c r="AA195" s="44" t="n"/>
      <c r="AB195" s="44" t="n"/>
      <c r="AC195" s="44" t="n"/>
      <c r="AD195" s="44" t="n"/>
    </row>
    <row r="196" ht="15.75" customHeight="1" s="98">
      <c r="A196" s="47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44" t="n"/>
      <c r="E196" s="44" t="n"/>
      <c r="F196" s="80" t="n"/>
      <c r="G196" s="49">
        <f>IF(F196&gt;=($F$6*0.5),1,0)</f>
        <v/>
      </c>
      <c r="H196" s="49">
        <f>IF(F196&gt;=($F$6*0.6),1,0)</f>
        <v/>
      </c>
      <c r="I196" s="49">
        <f>IF(F196&gt;=($F$6*0.7),1,0)</f>
        <v/>
      </c>
      <c r="J196" s="80" t="n"/>
      <c r="K196" s="49">
        <f>IF(J196&gt;=($J$6*0.7),1,0)</f>
        <v/>
      </c>
      <c r="L196" s="49">
        <f>IF(J196&gt;=($J$6*0.8),1,0)</f>
        <v/>
      </c>
      <c r="M196" s="49">
        <f>IF(J196&gt;=($J$6*0.9),1,0)</f>
        <v/>
      </c>
      <c r="N196" s="80" t="n"/>
      <c r="O196" s="49">
        <f>IF(N196&gt;=($N$6*0.7),1,0)</f>
        <v/>
      </c>
      <c r="P196" s="49">
        <f>IF(N196&gt;=($N$6*0.8),1,0)</f>
        <v/>
      </c>
      <c r="Q196" s="49">
        <f>IF(N196&gt;=($N$6*0.9),1,0)</f>
        <v/>
      </c>
      <c r="R196" s="80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</row>
    <row r="197" ht="15.75" customHeight="1" s="98">
      <c r="A197" s="47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44" t="n"/>
      <c r="E197" s="44" t="n"/>
      <c r="F197" s="80" t="n"/>
      <c r="G197" s="49">
        <f>IF(F197&gt;=($F$6*0.5),1,0)</f>
        <v/>
      </c>
      <c r="H197" s="49">
        <f>IF(F197&gt;=($F$6*0.6),1,0)</f>
        <v/>
      </c>
      <c r="I197" s="49">
        <f>IF(F197&gt;=($F$6*0.7),1,0)</f>
        <v/>
      </c>
      <c r="J197" s="80" t="n"/>
      <c r="K197" s="49">
        <f>IF(J197&gt;=($J$6*0.7),1,0)</f>
        <v/>
      </c>
      <c r="L197" s="49">
        <f>IF(J197&gt;=($J$6*0.8),1,0)</f>
        <v/>
      </c>
      <c r="M197" s="49">
        <f>IF(J197&gt;=($J$6*0.9),1,0)</f>
        <v/>
      </c>
      <c r="N197" s="80" t="n"/>
      <c r="O197" s="49">
        <f>IF(N197&gt;=($N$6*0.7),1,0)</f>
        <v/>
      </c>
      <c r="P197" s="49">
        <f>IF(N197&gt;=($N$6*0.8),1,0)</f>
        <v/>
      </c>
      <c r="Q197" s="49">
        <f>IF(N197&gt;=($N$6*0.9),1,0)</f>
        <v/>
      </c>
      <c r="R197" s="80" t="n"/>
      <c r="S197" s="44" t="n"/>
      <c r="T197" s="44" t="n"/>
      <c r="U197" s="44" t="n"/>
      <c r="V197" s="44" t="n"/>
      <c r="W197" s="44" t="n"/>
      <c r="X197" s="44" t="n"/>
      <c r="Y197" s="44" t="n"/>
      <c r="Z197" s="44" t="n"/>
      <c r="AA197" s="44" t="n"/>
      <c r="AB197" s="44" t="n"/>
      <c r="AC197" s="44" t="n"/>
      <c r="AD197" s="44" t="n"/>
    </row>
    <row r="198" ht="15.75" customHeight="1" s="98">
      <c r="A198" s="47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44" t="n"/>
      <c r="E198" s="44" t="n"/>
      <c r="F198" s="80" t="n"/>
      <c r="G198" s="49">
        <f>IF(F198&gt;=($F$6*0.5),1,0)</f>
        <v/>
      </c>
      <c r="H198" s="49">
        <f>IF(F198&gt;=($F$6*0.6),1,0)</f>
        <v/>
      </c>
      <c r="I198" s="49">
        <f>IF(F198&gt;=($F$6*0.7),1,0)</f>
        <v/>
      </c>
      <c r="J198" s="80" t="n"/>
      <c r="K198" s="49">
        <f>IF(J198&gt;=($J$6*0.7),1,0)</f>
        <v/>
      </c>
      <c r="L198" s="49">
        <f>IF(J198&gt;=($J$6*0.8),1,0)</f>
        <v/>
      </c>
      <c r="M198" s="49">
        <f>IF(J198&gt;=($J$6*0.9),1,0)</f>
        <v/>
      </c>
      <c r="N198" s="80" t="n"/>
      <c r="O198" s="49">
        <f>IF(N198&gt;=($N$6*0.7),1,0)</f>
        <v/>
      </c>
      <c r="P198" s="49">
        <f>IF(N198&gt;=($N$6*0.8),1,0)</f>
        <v/>
      </c>
      <c r="Q198" s="49">
        <f>IF(N198&gt;=($N$6*0.9),1,0)</f>
        <v/>
      </c>
      <c r="R198" s="80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</row>
    <row r="199" ht="15.75" customHeight="1" s="98">
      <c r="A199" s="47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44" t="n"/>
      <c r="E199" s="44" t="n"/>
      <c r="F199" s="80" t="n"/>
      <c r="G199" s="49">
        <f>IF(F199&gt;=($F$6*0.5),1,0)</f>
        <v/>
      </c>
      <c r="H199" s="49">
        <f>IF(F199&gt;=($F$6*0.6),1,0)</f>
        <v/>
      </c>
      <c r="I199" s="49">
        <f>IF(F199&gt;=($F$6*0.7),1,0)</f>
        <v/>
      </c>
      <c r="J199" s="80" t="n"/>
      <c r="K199" s="49">
        <f>IF(J199&gt;=($J$6*0.7),1,0)</f>
        <v/>
      </c>
      <c r="L199" s="49">
        <f>IF(J199&gt;=($J$6*0.8),1,0)</f>
        <v/>
      </c>
      <c r="M199" s="49">
        <f>IF(J199&gt;=($J$6*0.9),1,0)</f>
        <v/>
      </c>
      <c r="N199" s="80" t="n"/>
      <c r="O199" s="49">
        <f>IF(N199&gt;=($N$6*0.7),1,0)</f>
        <v/>
      </c>
      <c r="P199" s="49">
        <f>IF(N199&gt;=($N$6*0.8),1,0)</f>
        <v/>
      </c>
      <c r="Q199" s="49">
        <f>IF(N199&gt;=($N$6*0.9),1,0)</f>
        <v/>
      </c>
      <c r="R199" s="80" t="n"/>
      <c r="S199" s="44" t="n"/>
      <c r="T199" s="44" t="n"/>
      <c r="U199" s="44" t="n"/>
      <c r="V199" s="44" t="n"/>
      <c r="W199" s="44" t="n"/>
      <c r="X199" s="44" t="n"/>
      <c r="Y199" s="44" t="n"/>
      <c r="Z199" s="44" t="n"/>
      <c r="AA199" s="44" t="n"/>
      <c r="AB199" s="44" t="n"/>
      <c r="AC199" s="44" t="n"/>
      <c r="AD199" s="44" t="n"/>
    </row>
    <row r="200" ht="15.75" customHeight="1" s="98">
      <c r="A200" s="47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44" t="n"/>
      <c r="E200" s="44" t="n"/>
      <c r="F200" s="80" t="n"/>
      <c r="G200" s="49">
        <f>IF(F200&gt;=($F$6*0.5),1,0)</f>
        <v/>
      </c>
      <c r="H200" s="49">
        <f>IF(F200&gt;=($F$6*0.6),1,0)</f>
        <v/>
      </c>
      <c r="I200" s="49">
        <f>IF(F200&gt;=($F$6*0.7),1,0)</f>
        <v/>
      </c>
      <c r="J200" s="80" t="n"/>
      <c r="K200" s="49">
        <f>IF(J200&gt;=($J$6*0.7),1,0)</f>
        <v/>
      </c>
      <c r="L200" s="49">
        <f>IF(J200&gt;=($J$6*0.8),1,0)</f>
        <v/>
      </c>
      <c r="M200" s="49">
        <f>IF(J200&gt;=($J$6*0.9),1,0)</f>
        <v/>
      </c>
      <c r="N200" s="80" t="n"/>
      <c r="O200" s="49">
        <f>IF(N200&gt;=($N$6*0.7),1,0)</f>
        <v/>
      </c>
      <c r="P200" s="49">
        <f>IF(N200&gt;=($N$6*0.8),1,0)</f>
        <v/>
      </c>
      <c r="Q200" s="49">
        <f>IF(N200&gt;=($N$6*0.9),1,0)</f>
        <v/>
      </c>
      <c r="R200" s="80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  <c r="AC200" s="44" t="n"/>
      <c r="AD200" s="44" t="n"/>
    </row>
    <row r="201" ht="15.75" customHeight="1" s="98">
      <c r="A201" s="47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44" t="n"/>
      <c r="E201" s="44" t="n"/>
      <c r="F201" s="80" t="n"/>
      <c r="G201" s="49">
        <f>IF(F201&gt;=($F$6*0.5),1,0)</f>
        <v/>
      </c>
      <c r="H201" s="49">
        <f>IF(F201&gt;=($F$6*0.6),1,0)</f>
        <v/>
      </c>
      <c r="I201" s="49">
        <f>IF(F201&gt;=($F$6*0.7),1,0)</f>
        <v/>
      </c>
      <c r="J201" s="80" t="n"/>
      <c r="K201" s="49">
        <f>IF(J201&gt;=($J$6*0.7),1,0)</f>
        <v/>
      </c>
      <c r="L201" s="49">
        <f>IF(J201&gt;=($J$6*0.8),1,0)</f>
        <v/>
      </c>
      <c r="M201" s="49">
        <f>IF(J201&gt;=($J$6*0.9),1,0)</f>
        <v/>
      </c>
      <c r="N201" s="80" t="n"/>
      <c r="O201" s="49">
        <f>IF(N201&gt;=($N$6*0.7),1,0)</f>
        <v/>
      </c>
      <c r="P201" s="49">
        <f>IF(N201&gt;=($N$6*0.8),1,0)</f>
        <v/>
      </c>
      <c r="Q201" s="49">
        <f>IF(N201&gt;=($N$6*0.9),1,0)</f>
        <v/>
      </c>
      <c r="S201" s="44" t="n"/>
      <c r="T201" s="44" t="n"/>
      <c r="U201" s="44" t="n"/>
      <c r="V201" s="44" t="n"/>
      <c r="W201" s="44" t="n"/>
      <c r="X201" s="44" t="n"/>
      <c r="Y201" s="44" t="n"/>
      <c r="Z201" s="44" t="n"/>
      <c r="AA201" s="44" t="n"/>
      <c r="AB201" s="44" t="n"/>
      <c r="AC201" s="44" t="n"/>
      <c r="AD201" s="44" t="n"/>
    </row>
    <row r="202" ht="15.75" customHeight="1" s="98">
      <c r="A202" s="47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44" t="n"/>
      <c r="E202" s="44" t="n"/>
      <c r="F202" s="80" t="n"/>
      <c r="G202" s="49">
        <f>IF(F202&gt;=($F$6*0.5),1,0)</f>
        <v/>
      </c>
      <c r="H202" s="49">
        <f>IF(F202&gt;=($F$6*0.6),1,0)</f>
        <v/>
      </c>
      <c r="I202" s="49">
        <f>IF(F202&gt;=($F$6*0.7),1,0)</f>
        <v/>
      </c>
      <c r="J202" s="80" t="n"/>
      <c r="K202" s="49">
        <f>IF(J202&gt;=($J$6*0.7),1,0)</f>
        <v/>
      </c>
      <c r="L202" s="49">
        <f>IF(J202&gt;=($J$6*0.8),1,0)</f>
        <v/>
      </c>
      <c r="M202" s="49">
        <f>IF(J202&gt;=($J$6*0.9),1,0)</f>
        <v/>
      </c>
      <c r="N202" s="80" t="n"/>
      <c r="O202" s="49">
        <f>IF(N202&gt;=($N$6*0.7),1,0)</f>
        <v/>
      </c>
      <c r="P202" s="49">
        <f>IF(N202&gt;=($N$6*0.8),1,0)</f>
        <v/>
      </c>
      <c r="Q202" s="49">
        <f>IF(N202&gt;=($N$6*0.9),1,0)</f>
        <v/>
      </c>
      <c r="R202" s="80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  <c r="AC202" s="44" t="n"/>
      <c r="AD202" s="44" t="n"/>
    </row>
    <row r="203" ht="15.75" customHeight="1" s="98">
      <c r="A203" s="47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44" t="n"/>
      <c r="E203" s="44" t="n"/>
      <c r="F203" s="80" t="n"/>
      <c r="G203" s="49">
        <f>IF(F203&gt;=($F$6*0.5),1,0)</f>
        <v/>
      </c>
      <c r="H203" s="49">
        <f>IF(F203&gt;=($F$6*0.6),1,0)</f>
        <v/>
      </c>
      <c r="I203" s="49">
        <f>IF(F203&gt;=($F$6*0.7),1,0)</f>
        <v/>
      </c>
      <c r="J203" s="80" t="n"/>
      <c r="K203" s="49">
        <f>IF(J203&gt;=($J$6*0.7),1,0)</f>
        <v/>
      </c>
      <c r="L203" s="49">
        <f>IF(J203&gt;=($J$6*0.8),1,0)</f>
        <v/>
      </c>
      <c r="M203" s="49">
        <f>IF(J203&gt;=($J$6*0.9),1,0)</f>
        <v/>
      </c>
      <c r="N203" s="80" t="n"/>
      <c r="O203" s="49">
        <f>IF(N203&gt;=($N$6*0.7),1,0)</f>
        <v/>
      </c>
      <c r="P203" s="49">
        <f>IF(N203&gt;=($N$6*0.8),1,0)</f>
        <v/>
      </c>
      <c r="Q203" s="49">
        <f>IF(N203&gt;=($N$6*0.9),1,0)</f>
        <v/>
      </c>
      <c r="R203" s="80" t="n"/>
      <c r="S203" s="44" t="n"/>
      <c r="T203" s="44" t="n"/>
      <c r="U203" s="44" t="n"/>
      <c r="V203" s="44" t="n"/>
      <c r="W203" s="44" t="n"/>
      <c r="X203" s="44" t="n"/>
      <c r="Y203" s="44" t="n"/>
      <c r="Z203" s="44" t="n"/>
      <c r="AA203" s="44" t="n"/>
      <c r="AB203" s="44" t="n"/>
      <c r="AC203" s="44" t="n"/>
      <c r="AD203" s="44" t="n"/>
    </row>
    <row r="204" ht="15.75" customHeight="1" s="98">
      <c r="A204" s="47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D204" s="44" t="n"/>
      <c r="E204" s="44" t="n"/>
      <c r="G204" s="49">
        <f>IF(F204&gt;=($F$6*0.5),1,0)</f>
        <v/>
      </c>
      <c r="H204" s="49">
        <f>IF(F204&gt;=($F$6*0.6),1,0)</f>
        <v/>
      </c>
      <c r="I204" s="49">
        <f>IF(F204&gt;=($F$6*0.7),1,0)</f>
        <v/>
      </c>
      <c r="K204" s="49">
        <f>IF(J204&gt;=($J$6*0.7),1,0)</f>
        <v/>
      </c>
      <c r="L204" s="49">
        <f>IF(J204&gt;=($J$6*0.8),1,0)</f>
        <v/>
      </c>
      <c r="M204" s="49">
        <f>IF(J204&gt;=($J$6*0.9),1,0)</f>
        <v/>
      </c>
      <c r="O204" s="49">
        <f>IF(N204&gt;=($N$6*0.7),1,0)</f>
        <v/>
      </c>
      <c r="P204" s="49">
        <f>IF(N204&gt;=($N$6*0.8),1,0)</f>
        <v/>
      </c>
      <c r="Q204" s="49">
        <f>IF(N204&gt;=($N$6*0.9),1,0)</f>
        <v/>
      </c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  <c r="AC204" s="44" t="n"/>
      <c r="AD204" s="44" t="n"/>
    </row>
    <row r="205" ht="15.75" customHeight="1" s="98">
      <c r="A205" s="47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44" t="n"/>
      <c r="E205" s="44" t="n"/>
      <c r="F205" s="80" t="n"/>
      <c r="G205" s="49">
        <f>IF(F205&gt;=($F$6*0.5),1,0)</f>
        <v/>
      </c>
      <c r="H205" s="49">
        <f>IF(F205&gt;=($F$6*0.6),1,0)</f>
        <v/>
      </c>
      <c r="I205" s="49">
        <f>IF(F205&gt;=($F$6*0.7),1,0)</f>
        <v/>
      </c>
      <c r="J205" s="80" t="n"/>
      <c r="K205" s="49">
        <f>IF(J205&gt;=($J$6*0.7),1,0)</f>
        <v/>
      </c>
      <c r="L205" s="49">
        <f>IF(J205&gt;=($J$6*0.8),1,0)</f>
        <v/>
      </c>
      <c r="M205" s="49">
        <f>IF(J205&gt;=($J$6*0.9),1,0)</f>
        <v/>
      </c>
      <c r="N205" s="80" t="n"/>
      <c r="O205" s="49">
        <f>IF(N205&gt;=($N$6*0.7),1,0)</f>
        <v/>
      </c>
      <c r="P205" s="49">
        <f>IF(N205&gt;=($N$6*0.8),1,0)</f>
        <v/>
      </c>
      <c r="Q205" s="49">
        <f>IF(N205&gt;=($N$6*0.9),1,0)</f>
        <v/>
      </c>
      <c r="R205" s="80" t="n"/>
      <c r="S205" s="44" t="n"/>
      <c r="T205" s="44" t="n"/>
      <c r="U205" s="44" t="n"/>
      <c r="V205" s="44" t="n"/>
      <c r="W205" s="44" t="n"/>
      <c r="X205" s="44" t="n"/>
      <c r="Y205" s="44" t="n"/>
      <c r="Z205" s="44" t="n"/>
      <c r="AA205" s="44" t="n"/>
      <c r="AB205" s="44" t="n"/>
      <c r="AC205" s="44" t="n"/>
      <c r="AD205" s="44" t="n"/>
    </row>
    <row r="206" ht="15.75" customHeight="1" s="98">
      <c r="A206" s="47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44" t="n"/>
      <c r="E206" s="44" t="n"/>
      <c r="F206" s="80" t="n"/>
      <c r="G206" s="49">
        <f>IF(F206&gt;=($F$6*0.5),1,0)</f>
        <v/>
      </c>
      <c r="H206" s="49">
        <f>IF(F206&gt;=($F$6*0.6),1,0)</f>
        <v/>
      </c>
      <c r="I206" s="49">
        <f>IF(F206&gt;=($F$6*0.7),1,0)</f>
        <v/>
      </c>
      <c r="J206" s="80" t="n"/>
      <c r="K206" s="49">
        <f>IF(J206&gt;=($J$6*0.7),1,0)</f>
        <v/>
      </c>
      <c r="L206" s="49">
        <f>IF(J206&gt;=($J$6*0.8),1,0)</f>
        <v/>
      </c>
      <c r="M206" s="49">
        <f>IF(J206&gt;=($J$6*0.9),1,0)</f>
        <v/>
      </c>
      <c r="N206" s="80" t="n"/>
      <c r="O206" s="49">
        <f>IF(N206&gt;=($N$6*0.7),1,0)</f>
        <v/>
      </c>
      <c r="P206" s="49">
        <f>IF(N206&gt;=($N$6*0.8),1,0)</f>
        <v/>
      </c>
      <c r="Q206" s="49">
        <f>IF(N206&gt;=($N$6*0.9),1,0)</f>
        <v/>
      </c>
      <c r="R206" s="80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  <c r="AC206" s="44" t="n"/>
      <c r="AD206" s="44" t="n"/>
    </row>
    <row r="207" ht="15.75" customHeight="1" s="98">
      <c r="A207" s="47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D207" s="44" t="n"/>
      <c r="E207" s="44" t="n"/>
      <c r="G207" s="49">
        <f>IF(F207&gt;=($F$6*0.5),1,0)</f>
        <v/>
      </c>
      <c r="H207" s="49">
        <f>IF(F207&gt;=($F$6*0.6),1,0)</f>
        <v/>
      </c>
      <c r="I207" s="49">
        <f>IF(F207&gt;=($F$6*0.7),1,0)</f>
        <v/>
      </c>
      <c r="K207" s="49">
        <f>IF(J207&gt;=($J$6*0.7),1,0)</f>
        <v/>
      </c>
      <c r="L207" s="49">
        <f>IF(J207&gt;=($J$6*0.8),1,0)</f>
        <v/>
      </c>
      <c r="M207" s="49">
        <f>IF(J207&gt;=($J$6*0.9),1,0)</f>
        <v/>
      </c>
      <c r="O207" s="49">
        <f>IF(N207&gt;=($N$6*0.7),1,0)</f>
        <v/>
      </c>
      <c r="P207" s="49">
        <f>IF(N207&gt;=($N$6*0.8),1,0)</f>
        <v/>
      </c>
      <c r="Q207" s="49">
        <f>IF(N207&gt;=($N$6*0.9),1,0)</f>
        <v/>
      </c>
      <c r="R207" s="80" t="n"/>
      <c r="S207" s="44" t="n"/>
      <c r="T207" s="44" t="n"/>
      <c r="U207" s="44" t="n"/>
      <c r="V207" s="44" t="n"/>
      <c r="W207" s="44" t="n"/>
      <c r="X207" s="44" t="n"/>
      <c r="Y207" s="44" t="n"/>
      <c r="Z207" s="44" t="n"/>
      <c r="AA207" s="44" t="n"/>
      <c r="AB207" s="44" t="n"/>
      <c r="AC207" s="44" t="n"/>
      <c r="AD207" s="44" t="n"/>
    </row>
    <row r="208" ht="15.75" customHeight="1" s="98">
      <c r="A208" s="47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44" t="n"/>
      <c r="E208" s="44" t="n"/>
      <c r="F208" s="80" t="n"/>
      <c r="G208" s="49">
        <f>IF(F208&gt;=($F$6*0.5),1,0)</f>
        <v/>
      </c>
      <c r="H208" s="49">
        <f>IF(F208&gt;=($F$6*0.6),1,0)</f>
        <v/>
      </c>
      <c r="I208" s="49">
        <f>IF(F208&gt;=($F$6*0.7),1,0)</f>
        <v/>
      </c>
      <c r="J208" s="80" t="n"/>
      <c r="K208" s="49">
        <f>IF(J208&gt;=($J$6*0.7),1,0)</f>
        <v/>
      </c>
      <c r="L208" s="49">
        <f>IF(J208&gt;=($J$6*0.8),1,0)</f>
        <v/>
      </c>
      <c r="M208" s="49">
        <f>IF(J208&gt;=($J$6*0.9),1,0)</f>
        <v/>
      </c>
      <c r="N208" s="80" t="n"/>
      <c r="O208" s="49">
        <f>IF(N208&gt;=($N$6*0.7),1,0)</f>
        <v/>
      </c>
      <c r="P208" s="49">
        <f>IF(N208&gt;=($N$6*0.8),1,0)</f>
        <v/>
      </c>
      <c r="Q208" s="49">
        <f>IF(N208&gt;=($N$6*0.9),1,0)</f>
        <v/>
      </c>
      <c r="R208" s="80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  <c r="AC208" s="44" t="n"/>
      <c r="AD208" s="44" t="n"/>
    </row>
    <row r="209" ht="15.75" customHeight="1" s="98">
      <c r="A209" s="47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44" t="n"/>
      <c r="E209" s="44" t="n"/>
      <c r="F209" s="80" t="n"/>
      <c r="G209" s="49">
        <f>IF(F209&gt;=($F$6*0.5),1,0)</f>
        <v/>
      </c>
      <c r="H209" s="49">
        <f>IF(F209&gt;=($F$6*0.6),1,0)</f>
        <v/>
      </c>
      <c r="I209" s="49">
        <f>IF(F209&gt;=($F$6*0.7),1,0)</f>
        <v/>
      </c>
      <c r="J209" s="80" t="n"/>
      <c r="K209" s="49">
        <f>IF(J209&gt;=($J$6*0.7),1,0)</f>
        <v/>
      </c>
      <c r="L209" s="49">
        <f>IF(J209&gt;=($J$6*0.8),1,0)</f>
        <v/>
      </c>
      <c r="M209" s="49">
        <f>IF(J209&gt;=($J$6*0.9),1,0)</f>
        <v/>
      </c>
      <c r="N209" s="80" t="n"/>
      <c r="O209" s="49">
        <f>IF(N209&gt;=($N$6*0.7),1,0)</f>
        <v/>
      </c>
      <c r="P209" s="49">
        <f>IF(N209&gt;=($N$6*0.8),1,0)</f>
        <v/>
      </c>
      <c r="Q209" s="49">
        <f>IF(N209&gt;=($N$6*0.9),1,0)</f>
        <v/>
      </c>
      <c r="S209" s="44" t="n"/>
      <c r="T209" s="44" t="n"/>
      <c r="U209" s="44" t="n"/>
      <c r="V209" s="44" t="n"/>
      <c r="W209" s="44" t="n"/>
      <c r="X209" s="44" t="n"/>
      <c r="Y209" s="44" t="n"/>
      <c r="Z209" s="44" t="n"/>
      <c r="AA209" s="44" t="n"/>
      <c r="AB209" s="44" t="n"/>
      <c r="AC209" s="44" t="n"/>
      <c r="AD209" s="44" t="n"/>
    </row>
    <row r="210" ht="15.75" customHeight="1" s="98">
      <c r="A210" s="47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44" t="n"/>
      <c r="E210" s="44" t="n"/>
      <c r="F210" s="80" t="n"/>
      <c r="G210" s="49">
        <f>IF(F210&gt;=($F$6*0.5),1,0)</f>
        <v/>
      </c>
      <c r="H210" s="49">
        <f>IF(F210&gt;=($F$6*0.6),1,0)</f>
        <v/>
      </c>
      <c r="I210" s="49">
        <f>IF(F210&gt;=($F$6*0.7),1,0)</f>
        <v/>
      </c>
      <c r="J210" s="80" t="n"/>
      <c r="K210" s="49">
        <f>IF(J210&gt;=($J$6*0.7),1,0)</f>
        <v/>
      </c>
      <c r="L210" s="49">
        <f>IF(J210&gt;=($J$6*0.8),1,0)</f>
        <v/>
      </c>
      <c r="M210" s="49">
        <f>IF(J210&gt;=($J$6*0.9),1,0)</f>
        <v/>
      </c>
      <c r="N210" s="80" t="n"/>
      <c r="O210" s="49">
        <f>IF(N210&gt;=($N$6*0.7),1,0)</f>
        <v/>
      </c>
      <c r="P210" s="49">
        <f>IF(N210&gt;=($N$6*0.8),1,0)</f>
        <v/>
      </c>
      <c r="Q210" s="49">
        <f>IF(N210&gt;=($N$6*0.9),1,0)</f>
        <v/>
      </c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  <c r="AC210" s="44" t="n"/>
      <c r="AD210" s="44" t="n"/>
    </row>
    <row r="211" ht="15.75" customHeight="1" s="98">
      <c r="A211" s="47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44" t="n"/>
      <c r="E211" s="44" t="n"/>
      <c r="F211" s="80" t="n"/>
      <c r="G211" s="49">
        <f>IF(F211&gt;=($F$6*0.5),1,0)</f>
        <v/>
      </c>
      <c r="H211" s="49">
        <f>IF(F211&gt;=($F$6*0.6),1,0)</f>
        <v/>
      </c>
      <c r="I211" s="49">
        <f>IF(F211&gt;=($F$6*0.7),1,0)</f>
        <v/>
      </c>
      <c r="J211" s="80" t="n"/>
      <c r="K211" s="49">
        <f>IF(J211&gt;=($J$6*0.7),1,0)</f>
        <v/>
      </c>
      <c r="L211" s="49">
        <f>IF(J211&gt;=($J$6*0.8),1,0)</f>
        <v/>
      </c>
      <c r="M211" s="49">
        <f>IF(J211&gt;=($J$6*0.9),1,0)</f>
        <v/>
      </c>
      <c r="N211" s="80" t="n"/>
      <c r="O211" s="49">
        <f>IF(N211&gt;=($N$6*0.7),1,0)</f>
        <v/>
      </c>
      <c r="P211" s="49">
        <f>IF(N211&gt;=($N$6*0.8),1,0)</f>
        <v/>
      </c>
      <c r="Q211" s="49">
        <f>IF(N211&gt;=($N$6*0.9),1,0)</f>
        <v/>
      </c>
      <c r="R211" s="80" t="n"/>
      <c r="S211" s="44" t="n"/>
      <c r="T211" s="44" t="n"/>
      <c r="U211" s="44" t="n"/>
      <c r="V211" s="44" t="n"/>
      <c r="W211" s="44" t="n"/>
      <c r="X211" s="44" t="n"/>
      <c r="Y211" s="44" t="n"/>
      <c r="Z211" s="44" t="n"/>
      <c r="AA211" s="44" t="n"/>
      <c r="AB211" s="44" t="n"/>
      <c r="AC211" s="44" t="n"/>
      <c r="AD211" s="44" t="n"/>
    </row>
    <row r="212" ht="15.75" customHeight="1" s="98">
      <c r="A212" s="47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44" t="n"/>
      <c r="E212" s="44" t="n"/>
      <c r="F212" s="80" t="n"/>
      <c r="G212" s="49">
        <f>IF(F212&gt;=($F$6*0.5),1,0)</f>
        <v/>
      </c>
      <c r="H212" s="49">
        <f>IF(F212&gt;=($F$6*0.6),1,0)</f>
        <v/>
      </c>
      <c r="I212" s="49">
        <f>IF(F212&gt;=($F$6*0.7),1,0)</f>
        <v/>
      </c>
      <c r="J212" s="80" t="n"/>
      <c r="K212" s="49">
        <f>IF(J212&gt;=($J$6*0.7),1,0)</f>
        <v/>
      </c>
      <c r="L212" s="49">
        <f>IF(J212&gt;=($J$6*0.8),1,0)</f>
        <v/>
      </c>
      <c r="M212" s="49">
        <f>IF(J212&gt;=($J$6*0.9),1,0)</f>
        <v/>
      </c>
      <c r="N212" s="80" t="n"/>
      <c r="O212" s="49">
        <f>IF(N212&gt;=($N$6*0.7),1,0)</f>
        <v/>
      </c>
      <c r="P212" s="49">
        <f>IF(N212&gt;=($N$6*0.8),1,0)</f>
        <v/>
      </c>
      <c r="Q212" s="49">
        <f>IF(N212&gt;=($N$6*0.9),1,0)</f>
        <v/>
      </c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  <c r="AC212" s="44" t="n"/>
      <c r="AD212" s="44" t="n"/>
    </row>
    <row r="213" ht="15.75" customHeight="1" s="98">
      <c r="A213" s="47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44" t="n"/>
      <c r="E213" s="44" t="n"/>
      <c r="F213" s="80" t="n"/>
      <c r="G213" s="49">
        <f>IF(F213&gt;=($F$6*0.5),1,0)</f>
        <v/>
      </c>
      <c r="H213" s="49">
        <f>IF(F213&gt;=($F$6*0.6),1,0)</f>
        <v/>
      </c>
      <c r="I213" s="49">
        <f>IF(F213&gt;=($F$6*0.7),1,0)</f>
        <v/>
      </c>
      <c r="J213" s="80" t="n"/>
      <c r="K213" s="49">
        <f>IF(J213&gt;=($J$6*0.7),1,0)</f>
        <v/>
      </c>
      <c r="L213" s="49">
        <f>IF(J213&gt;=($J$6*0.8),1,0)</f>
        <v/>
      </c>
      <c r="M213" s="49">
        <f>IF(J213&gt;=($J$6*0.9),1,0)</f>
        <v/>
      </c>
      <c r="N213" s="80" t="n"/>
      <c r="O213" s="49">
        <f>IF(N213&gt;=($N$6*0.7),1,0)</f>
        <v/>
      </c>
      <c r="P213" s="49">
        <f>IF(N213&gt;=($N$6*0.8),1,0)</f>
        <v/>
      </c>
      <c r="Q213" s="49">
        <f>IF(N213&gt;=($N$6*0.9),1,0)</f>
        <v/>
      </c>
      <c r="S213" s="44" t="n"/>
      <c r="T213" s="44" t="n"/>
      <c r="U213" s="44" t="n"/>
      <c r="V213" s="44" t="n"/>
      <c r="W213" s="44" t="n"/>
      <c r="X213" s="44" t="n"/>
      <c r="Y213" s="44" t="n"/>
      <c r="Z213" s="44" t="n"/>
      <c r="AA213" s="44" t="n"/>
      <c r="AB213" s="44" t="n"/>
      <c r="AC213" s="44" t="n"/>
      <c r="AD213" s="44" t="n"/>
    </row>
    <row r="214" ht="15.75" customHeight="1" s="98">
      <c r="A214" s="47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D214" s="44" t="n"/>
      <c r="E214" s="44" t="n"/>
      <c r="G214" s="49">
        <f>IF(F214&gt;=($F$6*0.5),1,0)</f>
        <v/>
      </c>
      <c r="H214" s="49">
        <f>IF(F214&gt;=($F$6*0.6),1,0)</f>
        <v/>
      </c>
      <c r="I214" s="49">
        <f>IF(F214&gt;=($F$6*0.7),1,0)</f>
        <v/>
      </c>
      <c r="K214" s="49">
        <f>IF(J214&gt;=($J$6*0.7),1,0)</f>
        <v/>
      </c>
      <c r="L214" s="49">
        <f>IF(J214&gt;=($J$6*0.8),1,0)</f>
        <v/>
      </c>
      <c r="M214" s="49">
        <f>IF(J214&gt;=($J$6*0.9),1,0)</f>
        <v/>
      </c>
      <c r="O214" s="49">
        <f>IF(N214&gt;=($N$6*0.7),1,0)</f>
        <v/>
      </c>
      <c r="P214" s="49">
        <f>IF(N214&gt;=($N$6*0.8),1,0)</f>
        <v/>
      </c>
      <c r="Q214" s="49">
        <f>IF(N214&gt;=($N$6*0.9),1,0)</f>
        <v/>
      </c>
      <c r="R214" s="80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  <c r="AC214" s="44" t="n"/>
      <c r="AD214" s="44" t="n"/>
    </row>
    <row r="215" ht="15.75" customHeight="1" s="98">
      <c r="A215" s="47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44" t="n"/>
      <c r="E215" s="44" t="n"/>
      <c r="F215" s="80" t="n"/>
      <c r="G215" s="49">
        <f>IF(F215&gt;=($F$6*0.5),1,0)</f>
        <v/>
      </c>
      <c r="H215" s="49">
        <f>IF(F215&gt;=($F$6*0.6),1,0)</f>
        <v/>
      </c>
      <c r="I215" s="49">
        <f>IF(F215&gt;=($F$6*0.7),1,0)</f>
        <v/>
      </c>
      <c r="J215" s="80" t="n"/>
      <c r="K215" s="49">
        <f>IF(J215&gt;=($J$6*0.7),1,0)</f>
        <v/>
      </c>
      <c r="L215" s="49">
        <f>IF(J215&gt;=($J$6*0.8),1,0)</f>
        <v/>
      </c>
      <c r="M215" s="49">
        <f>IF(J215&gt;=($J$6*0.9),1,0)</f>
        <v/>
      </c>
      <c r="N215" s="80" t="n"/>
      <c r="O215" s="49">
        <f>IF(N215&gt;=($N$6*0.7),1,0)</f>
        <v/>
      </c>
      <c r="P215" s="49">
        <f>IF(N215&gt;=($N$6*0.8),1,0)</f>
        <v/>
      </c>
      <c r="Q215" s="49">
        <f>IF(N215&gt;=($N$6*0.9),1,0)</f>
        <v/>
      </c>
      <c r="S215" s="44" t="n"/>
      <c r="T215" s="44" t="n"/>
      <c r="U215" s="44" t="n"/>
      <c r="V215" s="44" t="n"/>
      <c r="W215" s="44" t="n"/>
      <c r="X215" s="44" t="n"/>
      <c r="Y215" s="44" t="n"/>
      <c r="Z215" s="44" t="n"/>
      <c r="AA215" s="44" t="n"/>
      <c r="AB215" s="44" t="n"/>
      <c r="AC215" s="44" t="n"/>
      <c r="AD215" s="44" t="n"/>
    </row>
    <row r="216" ht="15.75" customHeight="1" s="98">
      <c r="A216" s="47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44" t="n"/>
      <c r="E216" s="44" t="n"/>
      <c r="F216" s="80" t="n"/>
      <c r="G216" s="49">
        <f>IF(F216&gt;=($F$6*0.5),1,0)</f>
        <v/>
      </c>
      <c r="H216" s="49">
        <f>IF(F216&gt;=($F$6*0.6),1,0)</f>
        <v/>
      </c>
      <c r="I216" s="49">
        <f>IF(F216&gt;=($F$6*0.7),1,0)</f>
        <v/>
      </c>
      <c r="J216" s="80" t="n"/>
      <c r="K216" s="49">
        <f>IF(J216&gt;=($J$6*0.7),1,0)</f>
        <v/>
      </c>
      <c r="L216" s="49">
        <f>IF(J216&gt;=($J$6*0.8),1,0)</f>
        <v/>
      </c>
      <c r="M216" s="49">
        <f>IF(J216&gt;=($J$6*0.9),1,0)</f>
        <v/>
      </c>
      <c r="N216" s="80" t="n"/>
      <c r="O216" s="49">
        <f>IF(N216&gt;=($N$6*0.7),1,0)</f>
        <v/>
      </c>
      <c r="P216" s="49">
        <f>IF(N216&gt;=($N$6*0.8),1,0)</f>
        <v/>
      </c>
      <c r="Q216" s="49">
        <f>IF(N216&gt;=($N$6*0.9),1,0)</f>
        <v/>
      </c>
      <c r="R216" s="80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  <c r="AC216" s="44" t="n"/>
      <c r="AD216" s="44" t="n"/>
    </row>
    <row r="217" ht="15.75" customHeight="1" s="98">
      <c r="A217" s="47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44" t="n"/>
      <c r="E217" s="44" t="n"/>
      <c r="F217" s="80" t="n"/>
      <c r="G217" s="49">
        <f>IF(F217&gt;=($F$6*0.5),1,0)</f>
        <v/>
      </c>
      <c r="H217" s="49">
        <f>IF(F217&gt;=($F$6*0.6),1,0)</f>
        <v/>
      </c>
      <c r="I217" s="49">
        <f>IF(F217&gt;=($F$6*0.7),1,0)</f>
        <v/>
      </c>
      <c r="J217" s="80" t="n"/>
      <c r="K217" s="49">
        <f>IF(J217&gt;=($J$6*0.7),1,0)</f>
        <v/>
      </c>
      <c r="L217" s="49">
        <f>IF(J217&gt;=($J$6*0.8),1,0)</f>
        <v/>
      </c>
      <c r="M217" s="49">
        <f>IF(J217&gt;=($J$6*0.9),1,0)</f>
        <v/>
      </c>
      <c r="N217" s="80" t="n"/>
      <c r="O217" s="49">
        <f>IF(N217&gt;=($N$6*0.7),1,0)</f>
        <v/>
      </c>
      <c r="P217" s="49">
        <f>IF(N217&gt;=($N$6*0.8),1,0)</f>
        <v/>
      </c>
      <c r="Q217" s="49">
        <f>IF(N217&gt;=($N$6*0.9),1,0)</f>
        <v/>
      </c>
      <c r="S217" s="44" t="n"/>
      <c r="T217" s="44" t="n"/>
      <c r="U217" s="44" t="n"/>
      <c r="V217" s="44" t="n"/>
      <c r="W217" s="44" t="n"/>
      <c r="X217" s="44" t="n"/>
      <c r="Y217" s="44" t="n"/>
      <c r="Z217" s="44" t="n"/>
      <c r="AA217" s="44" t="n"/>
      <c r="AB217" s="44" t="n"/>
      <c r="AC217" s="44" t="n"/>
      <c r="AD217" s="44" t="n"/>
    </row>
    <row r="218" ht="15.75" customHeight="1" s="98">
      <c r="A218" s="47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44" t="n"/>
      <c r="E218" s="44" t="n"/>
      <c r="F218" s="80" t="n"/>
      <c r="G218" s="49">
        <f>IF(F218&gt;=($F$6*0.5),1,0)</f>
        <v/>
      </c>
      <c r="H218" s="49">
        <f>IF(F218&gt;=($F$6*0.6),1,0)</f>
        <v/>
      </c>
      <c r="I218" s="49">
        <f>IF(F218&gt;=($F$6*0.7),1,0)</f>
        <v/>
      </c>
      <c r="J218" s="80" t="n"/>
      <c r="K218" s="49">
        <f>IF(J218&gt;=($J$6*0.7),1,0)</f>
        <v/>
      </c>
      <c r="L218" s="49">
        <f>IF(J218&gt;=($J$6*0.8),1,0)</f>
        <v/>
      </c>
      <c r="M218" s="49">
        <f>IF(J218&gt;=($J$6*0.9),1,0)</f>
        <v/>
      </c>
      <c r="N218" s="80" t="n"/>
      <c r="O218" s="49">
        <f>IF(N218&gt;=($N$6*0.7),1,0)</f>
        <v/>
      </c>
      <c r="P218" s="49">
        <f>IF(N218&gt;=($N$6*0.8),1,0)</f>
        <v/>
      </c>
      <c r="Q218" s="49">
        <f>IF(N218&gt;=($N$6*0.9),1,0)</f>
        <v/>
      </c>
      <c r="R218" s="80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  <c r="AC218" s="44" t="n"/>
      <c r="AD218" s="44" t="n"/>
    </row>
    <row r="219" ht="15.75" customHeight="1" s="98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  <c r="AA219" s="44" t="n"/>
      <c r="AB219" s="44" t="n"/>
      <c r="AC219" s="44" t="n"/>
      <c r="AD219" s="44" t="n"/>
    </row>
    <row r="220" ht="15.75" customHeight="1" s="98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  <c r="AC220" s="44" t="n"/>
      <c r="AD220" s="44" t="n"/>
    </row>
    <row r="221" ht="15.75" customHeight="1" s="98">
      <c r="A221" s="44" t="n"/>
      <c r="B221" s="44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  <c r="Z221" s="44" t="n"/>
      <c r="AA221" s="44" t="n"/>
      <c r="AB221" s="44" t="n"/>
      <c r="AC221" s="44" t="n"/>
      <c r="AD221" s="44" t="n"/>
    </row>
    <row r="222" ht="15.75" customHeight="1" s="98">
      <c r="A222" s="44" t="n"/>
      <c r="B222" s="44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  <c r="AC222" s="44" t="n"/>
      <c r="AD222" s="44" t="n"/>
    </row>
    <row r="223" ht="15.75" customHeight="1" s="98">
      <c r="A223" s="44" t="n"/>
      <c r="B223" s="44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  <c r="Z223" s="44" t="n"/>
      <c r="AA223" s="44" t="n"/>
      <c r="AB223" s="44" t="n"/>
      <c r="AC223" s="44" t="n"/>
      <c r="AD223" s="44" t="n"/>
    </row>
    <row r="224" ht="15.75" customHeight="1" s="98">
      <c r="A224" s="44" t="n"/>
      <c r="B224" s="44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  <c r="AC224" s="44" t="n"/>
      <c r="AD224" s="44" t="n"/>
    </row>
    <row r="225" ht="15.75" customHeight="1" s="98">
      <c r="A225" s="44" t="n"/>
      <c r="B225" s="44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  <c r="Z225" s="44" t="n"/>
      <c r="AA225" s="44" t="n"/>
      <c r="AB225" s="44" t="n"/>
      <c r="AC225" s="44" t="n"/>
      <c r="AD225" s="44" t="n"/>
    </row>
    <row r="226" ht="15.75" customHeight="1" s="98">
      <c r="A226" s="44" t="n"/>
      <c r="B226" s="44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  <c r="AC226" s="44" t="n"/>
      <c r="AD226" s="44" t="n"/>
    </row>
    <row r="227" ht="15.75" customHeight="1" s="98">
      <c r="A227" s="44" t="n"/>
      <c r="B227" s="44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  <c r="Z227" s="44" t="n"/>
      <c r="AA227" s="44" t="n"/>
      <c r="AB227" s="44" t="n"/>
      <c r="AC227" s="44" t="n"/>
      <c r="AD227" s="44" t="n"/>
    </row>
    <row r="228" ht="15.75" customHeight="1" s="98">
      <c r="A228" s="44" t="n"/>
      <c r="B228" s="44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  <c r="AC228" s="44" t="n"/>
      <c r="AD228" s="44" t="n"/>
    </row>
    <row r="229" ht="15.75" customHeight="1" s="98">
      <c r="A229" s="44" t="n"/>
      <c r="B229" s="44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  <c r="Z229" s="44" t="n"/>
      <c r="AA229" s="44" t="n"/>
      <c r="AB229" s="44" t="n"/>
      <c r="AC229" s="44" t="n"/>
      <c r="AD229" s="44" t="n"/>
    </row>
    <row r="230" ht="15.75" customHeight="1" s="98">
      <c r="A230" s="44" t="n"/>
      <c r="B230" s="44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  <c r="AC230" s="44" t="n"/>
      <c r="AD230" s="44" t="n"/>
    </row>
    <row r="231" ht="15.75" customHeight="1" s="98">
      <c r="A231" s="44" t="n"/>
      <c r="B231" s="44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  <c r="Z231" s="44" t="n"/>
      <c r="AA231" s="44" t="n"/>
      <c r="AB231" s="44" t="n"/>
      <c r="AC231" s="44" t="n"/>
      <c r="AD231" s="44" t="n"/>
    </row>
    <row r="232" ht="15.75" customHeight="1" s="98">
      <c r="A232" s="44" t="n"/>
      <c r="B232" s="44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  <c r="AC232" s="44" t="n"/>
      <c r="AD232" s="44" t="n"/>
    </row>
    <row r="233" ht="15.75" customHeight="1" s="98">
      <c r="A233" s="44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  <c r="Z233" s="44" t="n"/>
      <c r="AA233" s="44" t="n"/>
      <c r="AB233" s="44" t="n"/>
      <c r="AC233" s="44" t="n"/>
      <c r="AD233" s="44" t="n"/>
    </row>
    <row r="234" ht="15.75" customHeight="1" s="98">
      <c r="A234" s="44" t="n"/>
      <c r="B234" s="44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  <c r="AC234" s="44" t="n"/>
      <c r="AD234" s="44" t="n"/>
    </row>
    <row r="235" ht="15.75" customHeight="1" s="98">
      <c r="A235" s="44" t="n"/>
      <c r="B235" s="44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  <c r="Z235" s="44" t="n"/>
      <c r="AA235" s="44" t="n"/>
      <c r="AB235" s="44" t="n"/>
      <c r="AC235" s="44" t="n"/>
      <c r="AD235" s="44" t="n"/>
    </row>
    <row r="236" ht="15.75" customHeight="1" s="98">
      <c r="A236" s="44" t="n"/>
      <c r="B236" s="44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  <c r="AC236" s="44" t="n"/>
      <c r="AD236" s="44" t="n"/>
    </row>
    <row r="237" ht="15.75" customHeight="1" s="98">
      <c r="A237" s="44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  <c r="Z237" s="44" t="n"/>
      <c r="AA237" s="44" t="n"/>
      <c r="AB237" s="44" t="n"/>
      <c r="AC237" s="44" t="n"/>
      <c r="AD237" s="44" t="n"/>
    </row>
    <row r="238" ht="15.75" customHeight="1" s="98">
      <c r="A238" s="44" t="n"/>
      <c r="B238" s="44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  <c r="AC238" s="44" t="n"/>
      <c r="AD238" s="44" t="n"/>
    </row>
    <row r="239" ht="15.75" customHeight="1" s="98">
      <c r="A239" s="44" t="n"/>
      <c r="B239" s="44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  <c r="Z239" s="44" t="n"/>
      <c r="AA239" s="44" t="n"/>
      <c r="AB239" s="44" t="n"/>
      <c r="AC239" s="44" t="n"/>
      <c r="AD239" s="44" t="n"/>
    </row>
    <row r="240" ht="15.75" customHeight="1" s="98">
      <c r="A240" s="44" t="n"/>
      <c r="B240" s="44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  <c r="AC240" s="44" t="n"/>
      <c r="AD240" s="44" t="n"/>
    </row>
    <row r="241" ht="15.75" customHeight="1" s="98">
      <c r="A241" s="44" t="n"/>
      <c r="B241" s="44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  <c r="Z241" s="44" t="n"/>
      <c r="AA241" s="44" t="n"/>
      <c r="AB241" s="44" t="n"/>
      <c r="AC241" s="44" t="n"/>
      <c r="AD241" s="44" t="n"/>
    </row>
    <row r="242" ht="15.75" customHeight="1" s="98">
      <c r="A242" s="44" t="n"/>
      <c r="B242" s="44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  <c r="AC242" s="44" t="n"/>
      <c r="AD242" s="44" t="n"/>
    </row>
    <row r="243" ht="15.75" customHeight="1" s="98">
      <c r="A243" s="44" t="n"/>
      <c r="B243" s="44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  <c r="Z243" s="44" t="n"/>
      <c r="AA243" s="44" t="n"/>
      <c r="AB243" s="44" t="n"/>
      <c r="AC243" s="44" t="n"/>
      <c r="AD243" s="44" t="n"/>
    </row>
    <row r="244" ht="15.75" customHeight="1" s="98">
      <c r="A244" s="44" t="n"/>
      <c r="B244" s="44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  <c r="AC244" s="44" t="n"/>
      <c r="AD244" s="44" t="n"/>
    </row>
    <row r="245" ht="15.75" customHeight="1" s="98">
      <c r="A245" s="44" t="n"/>
      <c r="B245" s="44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  <c r="Z245" s="44" t="n"/>
      <c r="AA245" s="44" t="n"/>
      <c r="AB245" s="44" t="n"/>
      <c r="AC245" s="44" t="n"/>
      <c r="AD245" s="44" t="n"/>
    </row>
    <row r="246" ht="15.75" customHeight="1" s="98">
      <c r="A246" s="44" t="n"/>
      <c r="B246" s="44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  <c r="AC246" s="44" t="n"/>
      <c r="AD246" s="44" t="n"/>
    </row>
    <row r="247" ht="15.75" customHeight="1" s="98">
      <c r="A247" s="44" t="n"/>
      <c r="B247" s="44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  <c r="Z247" s="44" t="n"/>
      <c r="AA247" s="44" t="n"/>
      <c r="AB247" s="44" t="n"/>
      <c r="AC247" s="44" t="n"/>
      <c r="AD247" s="44" t="n"/>
    </row>
    <row r="248" ht="15.75" customHeight="1" s="98">
      <c r="A248" s="44" t="n"/>
      <c r="B248" s="44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  <c r="AC248" s="44" t="n"/>
      <c r="AD248" s="44" t="n"/>
    </row>
    <row r="249" ht="15.75" customHeight="1" s="98">
      <c r="A249" s="44" t="n"/>
      <c r="B249" s="44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  <c r="Z249" s="44" t="n"/>
      <c r="AA249" s="44" t="n"/>
      <c r="AB249" s="44" t="n"/>
      <c r="AC249" s="44" t="n"/>
      <c r="AD249" s="44" t="n"/>
    </row>
    <row r="250" ht="15.75" customHeight="1" s="98">
      <c r="A250" s="44" t="n"/>
      <c r="B250" s="44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  <c r="AC250" s="44" t="n"/>
      <c r="AD250" s="44" t="n"/>
    </row>
    <row r="251" ht="15.75" customHeight="1" s="98">
      <c r="A251" s="44" t="n"/>
      <c r="B251" s="44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  <c r="Z251" s="44" t="n"/>
      <c r="AA251" s="44" t="n"/>
      <c r="AB251" s="44" t="n"/>
      <c r="AC251" s="44" t="n"/>
      <c r="AD251" s="44" t="n"/>
    </row>
    <row r="252" ht="15.75" customHeight="1" s="98">
      <c r="A252" s="44" t="n"/>
      <c r="B252" s="44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  <c r="AC252" s="44" t="n"/>
      <c r="AD252" s="44" t="n"/>
    </row>
    <row r="253" ht="15.75" customHeight="1" s="98">
      <c r="A253" s="44" t="n"/>
      <c r="B253" s="44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  <c r="Z253" s="44" t="n"/>
      <c r="AA253" s="44" t="n"/>
      <c r="AB253" s="44" t="n"/>
      <c r="AC253" s="44" t="n"/>
      <c r="AD253" s="44" t="n"/>
    </row>
    <row r="254" ht="15.75" customHeight="1" s="98">
      <c r="A254" s="44" t="n"/>
      <c r="B254" s="44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  <c r="AC254" s="44" t="n"/>
      <c r="AD254" s="44" t="n"/>
    </row>
    <row r="255" ht="15.75" customHeight="1" s="98">
      <c r="A255" s="44" t="n"/>
      <c r="B255" s="44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  <c r="Z255" s="44" t="n"/>
      <c r="AA255" s="44" t="n"/>
      <c r="AB255" s="44" t="n"/>
      <c r="AC255" s="44" t="n"/>
      <c r="AD255" s="44" t="n"/>
    </row>
    <row r="256" ht="15.75" customHeight="1" s="98">
      <c r="A256" s="44" t="n"/>
      <c r="B256" s="44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  <c r="AC256" s="44" t="n"/>
      <c r="AD256" s="44" t="n"/>
    </row>
    <row r="257" ht="15.75" customHeight="1" s="98">
      <c r="A257" s="44" t="n"/>
      <c r="B257" s="44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  <c r="Z257" s="44" t="n"/>
      <c r="AA257" s="44" t="n"/>
      <c r="AB257" s="44" t="n"/>
      <c r="AC257" s="44" t="n"/>
      <c r="AD257" s="44" t="n"/>
    </row>
    <row r="258" ht="15.75" customHeight="1" s="98">
      <c r="A258" s="44" t="n"/>
      <c r="B258" s="44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  <c r="AC258" s="44" t="n"/>
      <c r="AD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  <c r="Z259" s="44" t="n"/>
      <c r="AA259" s="44" t="n"/>
      <c r="AB259" s="44" t="n"/>
      <c r="AC259" s="44" t="n"/>
      <c r="AD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  <c r="AC260" s="44" t="n"/>
      <c r="AD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  <c r="Z261" s="44" t="n"/>
      <c r="AA261" s="44" t="n"/>
      <c r="AB261" s="44" t="n"/>
      <c r="AC261" s="44" t="n"/>
      <c r="AD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  <c r="AC262" s="44" t="n"/>
      <c r="AD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  <c r="Z263" s="44" t="n"/>
      <c r="AA263" s="44" t="n"/>
      <c r="AB263" s="44" t="n"/>
      <c r="AC263" s="44" t="n"/>
      <c r="AD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  <c r="AC264" s="44" t="n"/>
      <c r="AD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  <c r="Z265" s="44" t="n"/>
      <c r="AA265" s="44" t="n"/>
      <c r="AB265" s="44" t="n"/>
      <c r="AC265" s="44" t="n"/>
      <c r="AD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  <c r="AC266" s="44" t="n"/>
      <c r="AD266" s="44" t="n"/>
    </row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mergeCells count="17">
    <mergeCell ref="G5:G6"/>
    <mergeCell ref="O5:O6"/>
    <mergeCell ref="A3:R3"/>
    <mergeCell ref="H5:H6"/>
    <mergeCell ref="A4:A6"/>
    <mergeCell ref="R4:R5"/>
    <mergeCell ref="P5:P6"/>
    <mergeCell ref="B4:B6"/>
    <mergeCell ref="Q5:Q6"/>
    <mergeCell ref="A2:R2"/>
    <mergeCell ref="O4:Q4"/>
    <mergeCell ref="L5:L6"/>
    <mergeCell ref="A1:R1"/>
    <mergeCell ref="D4:N4"/>
    <mergeCell ref="K5:K6"/>
    <mergeCell ref="I5:I6"/>
    <mergeCell ref="M5:M6"/>
  </mergeCells>
  <conditionalFormatting sqref="G7:I218 K7:M218 O7:Q218">
    <cfRule type="cellIs" priority="1" operator="equal" dxfId="2">
      <formula>0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H7" sqref="H7"/>
    </sheetView>
  </sheetViews>
  <sheetFormatPr baseColWidth="8" defaultColWidth="12.59765625" defaultRowHeight="15" customHeight="1"/>
  <cols>
    <col width="8.69921875" customWidth="1" style="98" min="1" max="1"/>
    <col width="14" customWidth="1" style="98" min="2" max="2"/>
    <col width="26.19921875" customWidth="1" style="98" min="3" max="3"/>
    <col width="10.8984375" customWidth="1" style="98" min="4" max="4"/>
    <col width="11.5" customWidth="1" style="98" min="5" max="5"/>
    <col width="8.69921875" customWidth="1" style="98" min="6" max="25"/>
    <col width="12.69921875" customWidth="1" style="98" min="26" max="26"/>
  </cols>
  <sheetData>
    <row r="1" ht="13.5" customHeight="1" s="98">
      <c r="A1" s="111" t="inlineStr">
        <is>
          <t>Marks and Gap Analysis of Mid-Term 2</t>
        </is>
      </c>
      <c r="B1" s="133" t="n"/>
      <c r="C1" s="133" t="n"/>
      <c r="D1" s="133" t="n"/>
      <c r="E1" s="133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75.75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M-2 Marks (70)</t>
        </is>
      </c>
      <c r="E2" s="60" t="inlineStr">
        <is>
          <t>Remark
( Remedial Class need or not – Y/N )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6.5" customHeight="1" s="98" thickBot="1">
      <c r="A3" s="61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2'!R7</f>
        <v/>
      </c>
      <c r="E3" s="63">
        <f>IF(D3&lt;=35,"Y","N")</f>
        <v/>
      </c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6.5" customHeight="1" s="98" thickBot="1">
      <c r="A4" s="61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2'!R8</f>
        <v/>
      </c>
      <c r="E4" s="63">
        <f>IF(D4&lt;=35,"Y","N")</f>
        <v/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6.5" customHeight="1" s="98" thickBot="1">
      <c r="A5" s="61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2'!R9</f>
        <v/>
      </c>
      <c r="E5" s="63">
        <f>IF(D5&lt;=35,"Y","N")</f>
        <v/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6.5" customHeight="1" s="98" thickBot="1">
      <c r="A6" s="61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2'!R10</f>
        <v/>
      </c>
      <c r="E6" s="63">
        <f>IF(D6&lt;=35,"Y","N")</f>
        <v/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6.5" customHeight="1" s="98" thickBot="1">
      <c r="A7" s="61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2'!R11</f>
        <v/>
      </c>
      <c r="E7" s="63">
        <f>IF(D7&lt;=35,"Y","N")</f>
        <v/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6.5" customHeight="1" s="98" thickBot="1">
      <c r="A8" s="61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2'!R12</f>
        <v/>
      </c>
      <c r="E8" s="63">
        <f>IF(D8&lt;=35,"Y","N")</f>
        <v/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6.5" customHeight="1" s="98" thickBot="1">
      <c r="A9" s="61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2'!R13</f>
        <v/>
      </c>
      <c r="E9" s="63">
        <f>IF(D9&lt;=35,"Y","N")</f>
        <v/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6.5" customHeight="1" s="98" thickBot="1">
      <c r="A10" s="61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2'!R14</f>
        <v/>
      </c>
      <c r="E10" s="63">
        <f>IF(D10&lt;=35,"Y","N")</f>
        <v/>
      </c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6.5" customHeight="1" s="98" thickBot="1">
      <c r="A11" s="61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2'!R15</f>
        <v/>
      </c>
      <c r="E11" s="63">
        <f>IF(D11&lt;=35,"Y","N")</f>
        <v/>
      </c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6.5" customHeight="1" s="98" thickBot="1">
      <c r="A12" s="61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2'!R16</f>
        <v/>
      </c>
      <c r="E12" s="63">
        <f>IF(D12&lt;=35,"Y","N")</f>
        <v/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6.5" customHeight="1" s="98" thickBot="1">
      <c r="A13" s="61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2'!R17</f>
        <v/>
      </c>
      <c r="E13" s="63">
        <f>IF(D13&lt;=35,"Y","N")</f>
        <v/>
      </c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6.5" customHeight="1" s="98" thickBot="1">
      <c r="A14" s="61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2'!R18</f>
        <v/>
      </c>
      <c r="E14" s="63">
        <f>IF(D14&lt;=35,"Y","N")</f>
        <v/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6.5" customHeight="1" s="98" thickBot="1">
      <c r="A15" s="61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2'!R19</f>
        <v/>
      </c>
      <c r="E15" s="63">
        <f>IF(D15&lt;=35,"Y","N")</f>
        <v/>
      </c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6.5" customHeight="1" s="98" thickBot="1">
      <c r="A16" s="61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2'!R20</f>
        <v/>
      </c>
      <c r="E16" s="63">
        <f>IF(D16&lt;=35,"Y","N")</f>
        <v/>
      </c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6.5" customHeight="1" s="98" thickBot="1">
      <c r="A17" s="61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2'!R21</f>
        <v/>
      </c>
      <c r="E17" s="63">
        <f>IF(D17&lt;=35,"Y","N")</f>
        <v/>
      </c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6.5" customHeight="1" s="98" thickBot="1">
      <c r="A18" s="61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2'!R22</f>
        <v/>
      </c>
      <c r="E18" s="63">
        <f>IF(D18&lt;=35,"Y","N")</f>
        <v/>
      </c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6.5" customHeight="1" s="98" thickBot="1">
      <c r="A19" s="61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2'!R23</f>
        <v/>
      </c>
      <c r="E19" s="63">
        <f>IF(D19&lt;=35,"Y","N")</f>
        <v/>
      </c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6.5" customHeight="1" s="98" thickBot="1">
      <c r="A20" s="61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2'!R24</f>
        <v/>
      </c>
      <c r="E20" s="63">
        <f>IF(D20&lt;=35,"Y","N")</f>
        <v/>
      </c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6.5" customHeight="1" s="98" thickBot="1">
      <c r="A21" s="61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2'!R25</f>
        <v/>
      </c>
      <c r="E21" s="63">
        <f>IF(D21&lt;=35,"Y","N")</f>
        <v/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6.5" customHeight="1" s="98" thickBot="1">
      <c r="A22" s="61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2'!R26</f>
        <v/>
      </c>
      <c r="E22" s="63">
        <f>IF(D22&lt;=35,"Y","N")</f>
        <v/>
      </c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6.5" customHeight="1" s="98" thickBot="1">
      <c r="A23" s="61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2'!R27</f>
        <v/>
      </c>
      <c r="E23" s="63">
        <f>IF(D23&lt;=35,"Y","N")</f>
        <v/>
      </c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6.5" customHeight="1" s="98" thickBot="1">
      <c r="A24" s="61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2'!R28</f>
        <v/>
      </c>
      <c r="E24" s="63">
        <f>IF(D24&lt;=35,"Y","N")</f>
        <v/>
      </c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6.5" customHeight="1" s="98" thickBot="1">
      <c r="A25" s="61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2'!R29</f>
        <v/>
      </c>
      <c r="E25" s="63">
        <f>IF(D25&lt;=35,"Y","N")</f>
        <v/>
      </c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6.5" customHeight="1" s="98" thickBot="1">
      <c r="A26" s="61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2'!R30</f>
        <v/>
      </c>
      <c r="E26" s="63">
        <f>IF(D26&lt;=35,"Y","N")</f>
        <v/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6.5" customHeight="1" s="98" thickBot="1">
      <c r="A27" s="61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2'!R31</f>
        <v/>
      </c>
      <c r="E27" s="63">
        <f>IF(D27&lt;=35,"Y","N")</f>
        <v/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6.5" customHeight="1" s="98" thickBot="1">
      <c r="A28" s="61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2'!R32</f>
        <v/>
      </c>
      <c r="E28" s="63">
        <f>IF(D28&lt;=35,"Y","N")</f>
        <v/>
      </c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6.5" customHeight="1" s="98" thickBot="1">
      <c r="A29" s="61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2'!R33</f>
        <v/>
      </c>
      <c r="E29" s="63">
        <f>IF(D29&lt;=35,"Y","N")</f>
        <v/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6.5" customHeight="1" s="98" thickBot="1">
      <c r="A30" s="61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2'!R34</f>
        <v/>
      </c>
      <c r="E30" s="63">
        <f>IF(D30&lt;=35,"Y","N")</f>
        <v/>
      </c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6.5" customHeight="1" s="98" thickBot="1">
      <c r="A31" s="61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2'!R35</f>
        <v/>
      </c>
      <c r="E31" s="63">
        <f>IF(D31&lt;=35,"Y","N")</f>
        <v/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6.5" customHeight="1" s="98" thickBot="1">
      <c r="A32" s="61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2'!R36</f>
        <v/>
      </c>
      <c r="E32" s="63">
        <f>IF(D32&lt;=35,"Y","N")</f>
        <v/>
      </c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6.5" customHeight="1" s="98" thickBot="1">
      <c r="A33" s="61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2'!R37</f>
        <v/>
      </c>
      <c r="E33" s="63">
        <f>IF(D33&lt;=35,"Y","N")</f>
        <v/>
      </c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6.5" customHeight="1" s="98" thickBot="1">
      <c r="A34" s="61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2'!R38</f>
        <v/>
      </c>
      <c r="E34" s="63">
        <f>IF(D34&lt;=35,"Y","N")</f>
        <v/>
      </c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6.5" customHeight="1" s="98" thickBot="1">
      <c r="A35" s="61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2'!R39</f>
        <v/>
      </c>
      <c r="E35" s="63">
        <f>IF(D35&lt;=35,"Y","N")</f>
        <v/>
      </c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6.5" customHeight="1" s="98" thickBot="1">
      <c r="A36" s="61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2'!R40</f>
        <v/>
      </c>
      <c r="E36" s="63">
        <f>IF(D36&lt;=35,"Y","N")</f>
        <v/>
      </c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6.5" customHeight="1" s="98" thickBot="1">
      <c r="A37" s="61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2'!R41</f>
        <v/>
      </c>
      <c r="E37" s="63">
        <f>IF(D37&lt;=35,"Y","N")</f>
        <v/>
      </c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6.5" customHeight="1" s="98" thickBot="1">
      <c r="A38" s="61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2'!R42</f>
        <v/>
      </c>
      <c r="E38" s="63">
        <f>IF(D38&lt;=35,"Y","N")</f>
        <v/>
      </c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6.5" customHeight="1" s="98" thickBot="1">
      <c r="A39" s="61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2'!R43</f>
        <v/>
      </c>
      <c r="E39" s="63">
        <f>IF(D39&lt;=35,"Y","N")</f>
        <v/>
      </c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6.5" customHeight="1" s="98" thickBot="1">
      <c r="A40" s="61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2'!R44</f>
        <v/>
      </c>
      <c r="E40" s="63">
        <f>IF(D40&lt;=35,"Y","N")</f>
        <v/>
      </c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6.5" customHeight="1" s="98" thickBot="1">
      <c r="A41" s="61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2'!R45</f>
        <v/>
      </c>
      <c r="E41" s="63">
        <f>IF(D41&lt;=35,"Y","N")</f>
        <v/>
      </c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6.5" customHeight="1" s="98" thickBot="1">
      <c r="A42" s="61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2'!R46</f>
        <v/>
      </c>
      <c r="E42" s="63">
        <f>IF(D42&lt;=35,"Y","N")</f>
        <v/>
      </c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6.5" customHeight="1" s="98" thickBot="1">
      <c r="A43" s="61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2'!R47</f>
        <v/>
      </c>
      <c r="E43" s="63">
        <f>IF(D43&lt;=35,"Y","N")</f>
        <v/>
      </c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6.5" customHeight="1" s="98" thickBot="1">
      <c r="A44" s="61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2'!R48</f>
        <v/>
      </c>
      <c r="E44" s="63">
        <f>IF(D44&lt;=35,"Y","N")</f>
        <v/>
      </c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6.5" customHeight="1" s="98" thickBot="1">
      <c r="A45" s="61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2'!R49</f>
        <v/>
      </c>
      <c r="E45" s="63">
        <f>IF(D45&lt;=35,"Y","N")</f>
        <v/>
      </c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6.5" customHeight="1" s="98" thickBot="1">
      <c r="A46" s="61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2'!R50</f>
        <v/>
      </c>
      <c r="E46" s="63">
        <f>IF(D46&lt;=35,"Y","N")</f>
        <v/>
      </c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6.5" customHeight="1" s="98" thickBot="1">
      <c r="A47" s="61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2'!R51</f>
        <v/>
      </c>
      <c r="E47" s="63">
        <f>IF(D47&lt;=35,"Y","N")</f>
        <v/>
      </c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6.5" customHeight="1" s="98" thickBot="1">
      <c r="A48" s="61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2'!R52</f>
        <v/>
      </c>
      <c r="E48" s="63">
        <f>IF(D48&lt;=35,"Y","N")</f>
        <v/>
      </c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6.5" customHeight="1" s="98" thickBot="1">
      <c r="A49" s="61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2'!R53</f>
        <v/>
      </c>
      <c r="E49" s="63">
        <f>IF(D49&lt;=35,"Y","N")</f>
        <v/>
      </c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6.5" customHeight="1" s="98" thickBot="1">
      <c r="A50" s="61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2'!R54</f>
        <v/>
      </c>
      <c r="E50" s="63">
        <f>IF(D50&lt;=35,"Y","N")</f>
        <v/>
      </c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6.5" customHeight="1" s="98" thickBot="1">
      <c r="A51" s="61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2'!R55</f>
        <v/>
      </c>
      <c r="E51" s="63">
        <f>IF(D51&lt;=35,"Y","N")</f>
        <v/>
      </c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6.5" customHeight="1" s="98" thickBot="1">
      <c r="A52" s="61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2'!R56</f>
        <v/>
      </c>
      <c r="E52" s="63">
        <f>IF(D52&lt;=35,"Y","N")</f>
        <v/>
      </c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6.5" customHeight="1" s="98" thickBot="1">
      <c r="A53" s="61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2'!R57</f>
        <v/>
      </c>
      <c r="E53" s="63">
        <f>IF(D53&lt;=35,"Y","N")</f>
        <v/>
      </c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6.5" customHeight="1" s="98" thickBot="1">
      <c r="A54" s="61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2'!R58</f>
        <v/>
      </c>
      <c r="E54" s="63">
        <f>IF(D54&lt;=35,"Y","N")</f>
        <v/>
      </c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6.5" customHeight="1" s="98" thickBot="1">
      <c r="A55" s="61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2'!R59</f>
        <v/>
      </c>
      <c r="E55" s="63">
        <f>IF(D55&lt;=35,"Y","N")</f>
        <v/>
      </c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6.5" customHeight="1" s="98" thickBot="1">
      <c r="A56" s="61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2'!R60</f>
        <v/>
      </c>
      <c r="E56" s="63">
        <f>IF(D56&lt;=35,"Y","N")</f>
        <v/>
      </c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6.5" customHeight="1" s="98" thickBot="1">
      <c r="A57" s="61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2'!R61</f>
        <v/>
      </c>
      <c r="E57" s="63">
        <f>IF(D57&lt;=35,"Y","N")</f>
        <v/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6.5" customHeight="1" s="98" thickBot="1">
      <c r="A58" s="61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2'!R62</f>
        <v/>
      </c>
      <c r="E58" s="63">
        <f>IF(D58&lt;=35,"Y","N")</f>
        <v/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6.5" customHeight="1" s="98" thickBot="1">
      <c r="A59" s="61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2'!R63</f>
        <v/>
      </c>
      <c r="E59" s="63">
        <f>IF(D59&lt;=35,"Y","N")</f>
        <v/>
      </c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6.5" customHeight="1" s="98" thickBot="1">
      <c r="A60" s="61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2'!R64</f>
        <v/>
      </c>
      <c r="E60" s="63">
        <f>IF(D60&lt;=35,"Y","N")</f>
        <v/>
      </c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6.5" customHeight="1" s="98" thickBot="1">
      <c r="A61" s="61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2'!R65</f>
        <v/>
      </c>
      <c r="E61" s="63">
        <f>IF(D61&lt;=35,"Y","N")</f>
        <v/>
      </c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6.5" customHeight="1" s="98" thickBot="1">
      <c r="A62" s="61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2'!R66</f>
        <v/>
      </c>
      <c r="E62" s="63">
        <f>IF(D62&lt;=35,"Y","N")</f>
        <v/>
      </c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6.5" customHeight="1" s="98" thickBot="1">
      <c r="A63" s="61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2'!R67</f>
        <v/>
      </c>
      <c r="E63" s="63">
        <f>IF(D63&lt;=35,"Y","N")</f>
        <v/>
      </c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6.5" customHeight="1" s="98" thickBot="1">
      <c r="A64" s="61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2'!R68</f>
        <v/>
      </c>
      <c r="E64" s="63">
        <f>IF(D64&lt;=35,"Y","N")</f>
        <v/>
      </c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6.5" customHeight="1" s="98" thickBot="1">
      <c r="A65" s="61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2'!R69</f>
        <v/>
      </c>
      <c r="E65" s="63">
        <f>IF(D65&lt;=35,"Y","N")</f>
        <v/>
      </c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6.5" customHeight="1" s="98" thickBot="1">
      <c r="A66" s="61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2'!R70</f>
        <v/>
      </c>
      <c r="E66" s="63">
        <f>IF(D66&lt;=35,"Y","N")</f>
        <v/>
      </c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6.5" customHeight="1" s="98" thickBot="1">
      <c r="A67" s="61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2'!R71</f>
        <v/>
      </c>
      <c r="E67" s="63">
        <f>IF(D67&lt;=35,"Y","N")</f>
        <v/>
      </c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6.5" customHeight="1" s="98" thickBot="1">
      <c r="A68" s="61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2'!R72</f>
        <v/>
      </c>
      <c r="E68" s="63">
        <f>IF(D68&lt;=35,"Y","N")</f>
        <v/>
      </c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6.5" customHeight="1" s="98" thickBot="1">
      <c r="A69" s="61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2'!R73</f>
        <v/>
      </c>
      <c r="E69" s="63">
        <f>IF(D69&lt;=35,"Y","N")</f>
        <v/>
      </c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6.5" customHeight="1" s="98" thickBot="1">
      <c r="A70" s="61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2'!R74</f>
        <v/>
      </c>
      <c r="E70" s="63">
        <f>IF(D70&lt;=35,"Y","N")</f>
        <v/>
      </c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6.5" customHeight="1" s="98" thickBot="1">
      <c r="A71" s="61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2'!R75</f>
        <v/>
      </c>
      <c r="E71" s="63">
        <f>IF(D71&lt;=35,"Y","N")</f>
        <v/>
      </c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6.5" customHeight="1" s="98" thickBot="1">
      <c r="A72" s="61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2'!R76</f>
        <v/>
      </c>
      <c r="E72" s="63">
        <f>IF(D72&lt;=35,"Y","N")</f>
        <v/>
      </c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6.5" customHeight="1" s="98" thickBot="1">
      <c r="A73" s="61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2'!R77</f>
        <v/>
      </c>
      <c r="E73" s="63">
        <f>IF(D73&lt;=35,"Y","N")</f>
        <v/>
      </c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6.5" customHeight="1" s="98" thickBot="1">
      <c r="A74" s="61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2'!R78</f>
        <v/>
      </c>
      <c r="E74" s="63">
        <f>IF(D74&lt;=35,"Y","N")</f>
        <v/>
      </c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6.5" customHeight="1" s="98" thickBot="1">
      <c r="A75" s="61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2'!R79</f>
        <v/>
      </c>
      <c r="E75" s="63">
        <f>IF(D75&lt;=35,"Y","N")</f>
        <v/>
      </c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6.5" customHeight="1" s="98" thickBot="1">
      <c r="A76" s="61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2'!R80</f>
        <v/>
      </c>
      <c r="E76" s="63">
        <f>IF(D76&lt;=35,"Y","N")</f>
        <v/>
      </c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6.5" customHeight="1" s="98" thickBot="1">
      <c r="A77" s="61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2'!R81</f>
        <v/>
      </c>
      <c r="E77" s="63">
        <f>IF(D77&lt;=35,"Y","N")</f>
        <v/>
      </c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6.5" customHeight="1" s="98" thickBot="1">
      <c r="A78" s="61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2'!R82</f>
        <v/>
      </c>
      <c r="E78" s="63">
        <f>IF(D78&lt;=35,"Y","N")</f>
        <v/>
      </c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6.5" customHeight="1" s="98" thickBot="1">
      <c r="A79" s="61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2'!R83</f>
        <v/>
      </c>
      <c r="E79" s="63">
        <f>IF(D79&lt;=35,"Y","N")</f>
        <v/>
      </c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6.5" customHeight="1" s="98" thickBot="1">
      <c r="A80" s="61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2'!R84</f>
        <v/>
      </c>
      <c r="E80" s="63">
        <f>IF(D80&lt;=35,"Y","N")</f>
        <v/>
      </c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6.5" customHeight="1" s="98" thickBot="1">
      <c r="A81" s="61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2'!R85</f>
        <v/>
      </c>
      <c r="E81" s="63">
        <f>IF(D81&lt;=35,"Y","N")</f>
        <v/>
      </c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6.5" customHeight="1" s="98" thickBot="1">
      <c r="A82" s="61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2'!R86</f>
        <v/>
      </c>
      <c r="E82" s="63">
        <f>IF(D82&lt;=35,"Y","N")</f>
        <v/>
      </c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6.5" customHeight="1" s="98" thickBot="1">
      <c r="A83" s="61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2'!R87</f>
        <v/>
      </c>
      <c r="E83" s="63">
        <f>IF(D83&lt;=35,"Y","N")</f>
        <v/>
      </c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6.5" customHeight="1" s="98" thickBot="1">
      <c r="A84" s="61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2'!R88</f>
        <v/>
      </c>
      <c r="E84" s="63">
        <f>IF(D84&lt;=35,"Y","N")</f>
        <v/>
      </c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6.5" customHeight="1" s="98" thickBot="1">
      <c r="A85" s="61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2'!R89</f>
        <v/>
      </c>
      <c r="E85" s="63">
        <f>IF(D85&lt;=35,"Y","N")</f>
        <v/>
      </c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6.5" customHeight="1" s="98" thickBot="1">
      <c r="A86" s="61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2'!R90</f>
        <v/>
      </c>
      <c r="E86" s="63">
        <f>IF(D86&lt;=35,"Y","N")</f>
        <v/>
      </c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6.5" customHeight="1" s="98" thickBot="1">
      <c r="A87" s="61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2'!R91</f>
        <v/>
      </c>
      <c r="E87" s="63">
        <f>IF(D87&lt;=35,"Y","N")</f>
        <v/>
      </c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6.5" customHeight="1" s="98" thickBot="1">
      <c r="A88" s="61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2'!R92</f>
        <v/>
      </c>
      <c r="E88" s="63">
        <f>IF(D88&lt;=35,"Y","N")</f>
        <v/>
      </c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6.5" customHeight="1" s="98" thickBot="1">
      <c r="A89" s="61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2'!R93</f>
        <v/>
      </c>
      <c r="E89" s="63">
        <f>IF(D89&lt;=35,"Y","N")</f>
        <v/>
      </c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6.5" customHeight="1" s="98" thickBot="1">
      <c r="A90" s="61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2'!R94</f>
        <v/>
      </c>
      <c r="E90" s="63">
        <f>IF(D90&lt;=35,"Y","N")</f>
        <v/>
      </c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6.5" customHeight="1" s="98" thickBot="1">
      <c r="A91" s="61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2'!R95</f>
        <v/>
      </c>
      <c r="E91" s="63">
        <f>IF(D91&lt;=35,"Y","N")</f>
        <v/>
      </c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6.5" customHeight="1" s="98" thickBot="1">
      <c r="A92" s="61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2'!R96</f>
        <v/>
      </c>
      <c r="E92" s="63">
        <f>IF(D92&lt;=35,"Y","N")</f>
        <v/>
      </c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6.5" customHeight="1" s="98" thickBot="1">
      <c r="A93" s="61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2'!R97</f>
        <v/>
      </c>
      <c r="E93" s="63">
        <f>IF(D93&lt;=35,"Y","N")</f>
        <v/>
      </c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6.5" customHeight="1" s="98" thickBot="1">
      <c r="A94" s="61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2'!R98</f>
        <v/>
      </c>
      <c r="E94" s="63">
        <f>IF(D94&lt;=35,"Y","N")</f>
        <v/>
      </c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6.5" customHeight="1" s="98" thickBot="1">
      <c r="A95" s="61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2'!R99</f>
        <v/>
      </c>
      <c r="E95" s="63">
        <f>IF(D95&lt;=35,"Y","N")</f>
        <v/>
      </c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6.5" customHeight="1" s="98" thickBot="1">
      <c r="A96" s="61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2'!R100</f>
        <v/>
      </c>
      <c r="E96" s="63">
        <f>IF(D96&lt;=35,"Y","N")</f>
        <v/>
      </c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6.5" customHeight="1" s="98" thickBot="1">
      <c r="A97" s="61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2'!R101</f>
        <v/>
      </c>
      <c r="E97" s="63">
        <f>IF(D97&lt;=35,"Y","N")</f>
        <v/>
      </c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6.5" customHeight="1" s="98" thickBot="1">
      <c r="A98" s="61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2'!R102</f>
        <v/>
      </c>
      <c r="E98" s="63">
        <f>IF(D98&lt;=35,"Y","N")</f>
        <v/>
      </c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6.5" customHeight="1" s="98" thickBot="1">
      <c r="A99" s="61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2'!R103</f>
        <v/>
      </c>
      <c r="E99" s="63">
        <f>IF(D99&lt;=35,"Y","N")</f>
        <v/>
      </c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6.5" customHeight="1" s="98" thickBot="1">
      <c r="A100" s="61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2'!R104</f>
        <v/>
      </c>
      <c r="E100" s="63">
        <f>IF(D100&lt;=35,"Y","N")</f>
        <v/>
      </c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6.5" customHeight="1" s="98" thickBot="1">
      <c r="A101" s="61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2'!R105</f>
        <v/>
      </c>
      <c r="E101" s="63">
        <f>IF(D101&lt;=35,"Y","N")</f>
        <v/>
      </c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6.5" customHeight="1" s="98" thickBot="1">
      <c r="A102" s="61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2'!R106</f>
        <v/>
      </c>
      <c r="E102" s="63">
        <f>IF(D102&lt;=35,"Y","N")</f>
        <v/>
      </c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6.5" customHeight="1" s="98" thickBot="1">
      <c r="A103" s="61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2'!R107</f>
        <v/>
      </c>
      <c r="E103" s="63">
        <f>IF(D103&lt;=35,"Y","N")</f>
        <v/>
      </c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6.5" customHeight="1" s="98" thickBot="1">
      <c r="A104" s="61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2'!R108</f>
        <v/>
      </c>
      <c r="E104" s="63">
        <f>IF(D104&lt;=35,"Y","N")</f>
        <v/>
      </c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6.5" customHeight="1" s="98" thickBot="1">
      <c r="A105" s="61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2'!R109</f>
        <v/>
      </c>
      <c r="E105" s="63">
        <f>IF(D105&lt;=35,"Y","N")</f>
        <v/>
      </c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6.5" customHeight="1" s="98" thickBot="1">
      <c r="A106" s="61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2'!R110</f>
        <v/>
      </c>
      <c r="E106" s="63">
        <f>IF(D106&lt;=35,"Y","N")</f>
        <v/>
      </c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6.5" customHeight="1" s="98" thickBot="1">
      <c r="A107" s="61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2'!R111</f>
        <v/>
      </c>
      <c r="E107" s="63">
        <f>IF(D107&lt;=35,"Y","N")</f>
        <v/>
      </c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6.5" customHeight="1" s="98" thickBot="1">
      <c r="A108" s="61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2'!R112</f>
        <v/>
      </c>
      <c r="E108" s="63">
        <f>IF(D108&lt;=35,"Y","N")</f>
        <v/>
      </c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6.5" customHeight="1" s="98" thickBot="1">
      <c r="A109" s="61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2'!R113</f>
        <v/>
      </c>
      <c r="E109" s="63">
        <f>IF(D109&lt;=35,"Y","N")</f>
        <v/>
      </c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6.5" customHeight="1" s="98" thickBot="1">
      <c r="A110" s="61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2'!R114</f>
        <v/>
      </c>
      <c r="E110" s="63">
        <f>IF(D110&lt;=35,"Y","N")</f>
        <v/>
      </c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6.5" customHeight="1" s="98" thickBot="1">
      <c r="A111" s="61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2'!R115</f>
        <v/>
      </c>
      <c r="E111" s="63">
        <f>IF(D111&lt;=35,"Y","N")</f>
        <v/>
      </c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6.5" customHeight="1" s="98" thickBot="1">
      <c r="A112" s="61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2'!R116</f>
        <v/>
      </c>
      <c r="E112" s="63">
        <f>IF(D112&lt;=35,"Y","N")</f>
        <v/>
      </c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6.5" customHeight="1" s="98" thickBot="1">
      <c r="A113" s="61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2'!R117</f>
        <v/>
      </c>
      <c r="E113" s="63">
        <f>IF(D113&lt;=35,"Y","N")</f>
        <v/>
      </c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6.5" customHeight="1" s="98" thickBot="1">
      <c r="A114" s="61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2'!R118</f>
        <v/>
      </c>
      <c r="E114" s="63">
        <f>IF(D114&lt;=35,"Y","N")</f>
        <v/>
      </c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6.5" customHeight="1" s="98" thickBot="1">
      <c r="A115" s="61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2'!R119</f>
        <v/>
      </c>
      <c r="E115" s="63">
        <f>IF(D115&lt;=35,"Y","N")</f>
        <v/>
      </c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6.5" customHeight="1" s="98" thickBot="1">
      <c r="A116" s="61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2'!R120</f>
        <v/>
      </c>
      <c r="E116" s="63">
        <f>IF(D116&lt;=35,"Y","N")</f>
        <v/>
      </c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6.5" customHeight="1" s="98" thickBot="1">
      <c r="A117" s="61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2'!R121</f>
        <v/>
      </c>
      <c r="E117" s="63">
        <f>IF(D117&lt;=35,"Y","N")</f>
        <v/>
      </c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6.5" customHeight="1" s="98" thickBot="1">
      <c r="A118" s="61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2'!R122</f>
        <v/>
      </c>
      <c r="E118" s="63">
        <f>IF(D118&lt;=35,"Y","N")</f>
        <v/>
      </c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6.5" customHeight="1" s="98" thickBot="1">
      <c r="A119" s="61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2'!R123</f>
        <v/>
      </c>
      <c r="E119" s="63">
        <f>IF(D119&lt;=35,"Y","N")</f>
        <v/>
      </c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6.5" customHeight="1" s="98" thickBot="1">
      <c r="A120" s="61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2'!R124</f>
        <v/>
      </c>
      <c r="E120" s="63">
        <f>IF(D120&lt;=35,"Y","N")</f>
        <v/>
      </c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6.5" customHeight="1" s="98" thickBot="1">
      <c r="A121" s="61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2'!R125</f>
        <v/>
      </c>
      <c r="E121" s="63">
        <f>IF(D121&lt;=35,"Y","N")</f>
        <v/>
      </c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98" thickBot="1">
      <c r="A122" s="61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2'!R126</f>
        <v/>
      </c>
      <c r="E122" s="63">
        <f>IF(D122&lt;=35,"Y","N")</f>
        <v/>
      </c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98" thickBot="1">
      <c r="A123" s="61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2'!R127</f>
        <v/>
      </c>
      <c r="E123" s="63">
        <f>IF(D123&lt;=35,"Y","N")</f>
        <v/>
      </c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98" thickBot="1">
      <c r="A124" s="61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2'!R128</f>
        <v/>
      </c>
      <c r="E124" s="63">
        <f>IF(D124&lt;=35,"Y","N")</f>
        <v/>
      </c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98" thickBot="1">
      <c r="A125" s="61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2'!R129</f>
        <v/>
      </c>
      <c r="E125" s="63">
        <f>IF(D125&lt;=35,"Y","N")</f>
        <v/>
      </c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98" thickBot="1">
      <c r="A126" s="61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2'!R130</f>
        <v/>
      </c>
      <c r="E126" s="63">
        <f>IF(D126&lt;=35,"Y","N")</f>
        <v/>
      </c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98" thickBot="1">
      <c r="A127" s="61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2'!R131</f>
        <v/>
      </c>
      <c r="E127" s="63">
        <f>IF(D127&lt;=35,"Y","N")</f>
        <v/>
      </c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98" thickBot="1">
      <c r="A128" s="61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2'!R132</f>
        <v/>
      </c>
      <c r="E128" s="63">
        <f>IF(D128&lt;=35,"Y","N")</f>
        <v/>
      </c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98" thickBot="1">
      <c r="A129" s="61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2'!R133</f>
        <v/>
      </c>
      <c r="E129" s="63">
        <f>IF(D129&lt;=35,"Y","N")</f>
        <v/>
      </c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98" thickBot="1">
      <c r="A130" s="61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2'!R134</f>
        <v/>
      </c>
      <c r="E130" s="63">
        <f>IF(D130&lt;=35,"Y","N")</f>
        <v/>
      </c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98" thickBot="1">
      <c r="A131" s="61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2'!R135</f>
        <v/>
      </c>
      <c r="E131" s="63">
        <f>IF(D131&lt;=35,"Y","N")</f>
        <v/>
      </c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98" thickBot="1">
      <c r="A132" s="61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2'!R136</f>
        <v/>
      </c>
      <c r="E132" s="63">
        <f>IF(D132&lt;=35,"Y","N")</f>
        <v/>
      </c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98" thickBot="1">
      <c r="A133" s="61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2'!R137</f>
        <v/>
      </c>
      <c r="E133" s="63">
        <f>IF(D133&lt;=35,"Y","N")</f>
        <v/>
      </c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98" thickBot="1">
      <c r="A134" s="61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2'!R138</f>
        <v/>
      </c>
      <c r="E134" s="63">
        <f>IF(D134&lt;=35,"Y","N")</f>
        <v/>
      </c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98" thickBot="1">
      <c r="A135" s="61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2'!R139</f>
        <v/>
      </c>
      <c r="E135" s="63">
        <f>IF(D135&lt;=35,"Y","N")</f>
        <v/>
      </c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98" thickBot="1">
      <c r="A136" s="61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2'!R140</f>
        <v/>
      </c>
      <c r="E136" s="63">
        <f>IF(D136&lt;=35,"Y","N")</f>
        <v/>
      </c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98" thickBot="1">
      <c r="A137" s="61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2'!R141</f>
        <v/>
      </c>
      <c r="E137" s="63">
        <f>IF(D137&lt;=35,"Y","N")</f>
        <v/>
      </c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98" thickBot="1">
      <c r="A138" s="61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2'!R142</f>
        <v/>
      </c>
      <c r="E138" s="63">
        <f>IF(D138&lt;=35,"Y","N")</f>
        <v/>
      </c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98" thickBot="1">
      <c r="A139" s="61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2'!R143</f>
        <v/>
      </c>
      <c r="E139" s="63">
        <f>IF(D139&lt;=35,"Y","N")</f>
        <v/>
      </c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98" thickBot="1">
      <c r="A140" s="61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2'!R144</f>
        <v/>
      </c>
      <c r="E140" s="63">
        <f>IF(D140&lt;=35,"Y","N")</f>
        <v/>
      </c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98" thickBot="1">
      <c r="A141" s="61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2'!R145</f>
        <v/>
      </c>
      <c r="E141" s="63">
        <f>IF(D141&lt;=35,"Y","N")</f>
        <v/>
      </c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98" thickBot="1">
      <c r="A142" s="61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2'!R146</f>
        <v/>
      </c>
      <c r="E142" s="63">
        <f>IF(D142&lt;=35,"Y","N")</f>
        <v/>
      </c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98" thickBot="1">
      <c r="A143" s="61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2'!R147</f>
        <v/>
      </c>
      <c r="E143" s="63">
        <f>IF(D143&lt;=35,"Y","N")</f>
        <v/>
      </c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98" thickBot="1">
      <c r="A144" s="61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2'!R148</f>
        <v/>
      </c>
      <c r="E144" s="63">
        <f>IF(D144&lt;=35,"Y","N")</f>
        <v/>
      </c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98" thickBot="1">
      <c r="A145" s="61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2'!R149</f>
        <v/>
      </c>
      <c r="E145" s="63">
        <f>IF(D145&lt;=35,"Y","N")</f>
        <v/>
      </c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98" thickBot="1">
      <c r="A146" s="61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2'!R150</f>
        <v/>
      </c>
      <c r="E146" s="63">
        <f>IF(D146&lt;=35,"Y","N")</f>
        <v/>
      </c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98" thickBot="1">
      <c r="A147" s="61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2'!R151</f>
        <v/>
      </c>
      <c r="E147" s="63">
        <f>IF(D147&lt;=35,"Y","N")</f>
        <v/>
      </c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98" thickBot="1">
      <c r="A148" s="61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2'!R152</f>
        <v/>
      </c>
      <c r="E148" s="63">
        <f>IF(D148&lt;=35,"Y","N")</f>
        <v/>
      </c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98" thickBot="1">
      <c r="A149" s="61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2'!R153</f>
        <v/>
      </c>
      <c r="E149" s="63">
        <f>IF(D149&lt;=35,"Y","N")</f>
        <v/>
      </c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98" thickBot="1">
      <c r="A150" s="61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2'!R154</f>
        <v/>
      </c>
      <c r="E150" s="63">
        <f>IF(D150&lt;=35,"Y","N")</f>
        <v/>
      </c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98" thickBot="1">
      <c r="A151" s="61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2'!R155</f>
        <v/>
      </c>
      <c r="E151" s="63">
        <f>IF(D151&lt;=35,"Y","N")</f>
        <v/>
      </c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98" thickBot="1">
      <c r="A152" s="61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2'!R156</f>
        <v/>
      </c>
      <c r="E152" s="63">
        <f>IF(D152&lt;=35,"Y","N")</f>
        <v/>
      </c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98" thickBot="1">
      <c r="A153" s="61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2'!R157</f>
        <v/>
      </c>
      <c r="E153" s="63">
        <f>IF(D153&lt;=35,"Y","N")</f>
        <v/>
      </c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98" thickBot="1">
      <c r="A154" s="61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2'!R158</f>
        <v/>
      </c>
      <c r="E154" s="63">
        <f>IF(D154&lt;=35,"Y","N")</f>
        <v/>
      </c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98" thickBot="1">
      <c r="A155" s="61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2'!R159</f>
        <v/>
      </c>
      <c r="E155" s="63">
        <f>IF(D155&lt;=35,"Y","N")</f>
        <v/>
      </c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98" thickBot="1">
      <c r="A156" s="61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2'!R160</f>
        <v/>
      </c>
      <c r="E156" s="63">
        <f>IF(D156&lt;=35,"Y","N")</f>
        <v/>
      </c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98" thickBot="1">
      <c r="A157" s="61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2'!R161</f>
        <v/>
      </c>
      <c r="E157" s="63">
        <f>IF(D157&lt;=35,"Y","N")</f>
        <v/>
      </c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98" thickBot="1">
      <c r="A158" s="61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2'!R162</f>
        <v/>
      </c>
      <c r="E158" s="63">
        <f>IF(D158&lt;=35,"Y","N")</f>
        <v/>
      </c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98" thickBot="1">
      <c r="A159" s="61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2'!R163</f>
        <v/>
      </c>
      <c r="E159" s="63">
        <f>IF(D159&lt;=35,"Y","N")</f>
        <v/>
      </c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98" thickBot="1">
      <c r="A160" s="61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2'!R164</f>
        <v/>
      </c>
      <c r="E160" s="63">
        <f>IF(D160&lt;=35,"Y","N")</f>
        <v/>
      </c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98" thickBot="1">
      <c r="A161" s="61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2'!R165</f>
        <v/>
      </c>
      <c r="E161" s="63">
        <f>IF(D161&lt;=35,"Y","N")</f>
        <v/>
      </c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98" thickBot="1">
      <c r="A162" s="61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2'!R166</f>
        <v/>
      </c>
      <c r="E162" s="63">
        <f>IF(D162&lt;=35,"Y","N")</f>
        <v/>
      </c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98" thickBot="1">
      <c r="A163" s="61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2'!R167</f>
        <v/>
      </c>
      <c r="E163" s="63">
        <f>IF(D163&lt;=35,"Y","N")</f>
        <v/>
      </c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98" thickBot="1">
      <c r="A164" s="61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2'!R168</f>
        <v/>
      </c>
      <c r="E164" s="63">
        <f>IF(D164&lt;=35,"Y","N")</f>
        <v/>
      </c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98" thickBot="1">
      <c r="A165" s="61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2'!R169</f>
        <v/>
      </c>
      <c r="E165" s="63">
        <f>IF(D165&lt;=35,"Y","N")</f>
        <v/>
      </c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98" thickBot="1">
      <c r="A166" s="61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2'!R170</f>
        <v/>
      </c>
      <c r="E166" s="63">
        <f>IF(D166&lt;=35,"Y","N")</f>
        <v/>
      </c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98" thickBot="1">
      <c r="A167" s="61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2'!R171</f>
        <v/>
      </c>
      <c r="E167" s="63">
        <f>IF(D167&lt;=35,"Y","N")</f>
        <v/>
      </c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98" thickBot="1">
      <c r="A168" s="61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2'!R172</f>
        <v/>
      </c>
      <c r="E168" s="63">
        <f>IF(D168&lt;=35,"Y","N")</f>
        <v/>
      </c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98" thickBot="1">
      <c r="A169" s="61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2'!R173</f>
        <v/>
      </c>
      <c r="E169" s="63">
        <f>IF(D169&lt;=35,"Y","N")</f>
        <v/>
      </c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98" thickBot="1">
      <c r="A170" s="61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2'!R174</f>
        <v/>
      </c>
      <c r="E170" s="63">
        <f>IF(D170&lt;=35,"Y","N")</f>
        <v/>
      </c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98" thickBot="1">
      <c r="A171" s="61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2'!R175</f>
        <v/>
      </c>
      <c r="E171" s="63">
        <f>IF(D171&lt;=35,"Y","N")</f>
        <v/>
      </c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98" thickBot="1">
      <c r="A172" s="61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2'!R176</f>
        <v/>
      </c>
      <c r="E172" s="63">
        <f>IF(D172&lt;=35,"Y","N")</f>
        <v/>
      </c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98" thickBot="1">
      <c r="A173" s="61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2'!R177</f>
        <v/>
      </c>
      <c r="E173" s="63">
        <f>IF(D173&lt;=35,"Y","N")</f>
        <v/>
      </c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98" thickBot="1">
      <c r="A174" s="61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2'!R178</f>
        <v/>
      </c>
      <c r="E174" s="63">
        <f>IF(D174&lt;=35,"Y","N")</f>
        <v/>
      </c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98" thickBot="1">
      <c r="A175" s="61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2'!R179</f>
        <v/>
      </c>
      <c r="E175" s="63">
        <f>IF(D175&lt;=35,"Y","N")</f>
        <v/>
      </c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98" thickBot="1">
      <c r="A176" s="61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2'!R180</f>
        <v/>
      </c>
      <c r="E176" s="63">
        <f>IF(D176&lt;=35,"Y","N")</f>
        <v/>
      </c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98" thickBot="1">
      <c r="A177" s="61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2'!R181</f>
        <v/>
      </c>
      <c r="E177" s="63">
        <f>IF(D177&lt;=35,"Y","N")</f>
        <v/>
      </c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98" thickBot="1">
      <c r="A178" s="61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2'!R182</f>
        <v/>
      </c>
      <c r="E178" s="63">
        <f>IF(D178&lt;=35,"Y","N")</f>
        <v/>
      </c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98" thickBot="1">
      <c r="A179" s="61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2'!R183</f>
        <v/>
      </c>
      <c r="E179" s="63">
        <f>IF(D179&lt;=35,"Y","N")</f>
        <v/>
      </c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98" thickBot="1">
      <c r="A180" s="61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2'!R184</f>
        <v/>
      </c>
      <c r="E180" s="63">
        <f>IF(D180&lt;=35,"Y","N")</f>
        <v/>
      </c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98" thickBot="1">
      <c r="A181" s="61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2'!R185</f>
        <v/>
      </c>
      <c r="E181" s="63">
        <f>IF(D181&lt;=35,"Y","N")</f>
        <v/>
      </c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98" thickBot="1">
      <c r="A182" s="61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2'!R186</f>
        <v/>
      </c>
      <c r="E182" s="63">
        <f>IF(D182&lt;=35,"Y","N")</f>
        <v/>
      </c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98" thickBot="1">
      <c r="A183" s="61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2'!R187</f>
        <v/>
      </c>
      <c r="E183" s="63">
        <f>IF(D183&lt;=35,"Y","N")</f>
        <v/>
      </c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98" thickBot="1">
      <c r="A184" s="61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2'!R188</f>
        <v/>
      </c>
      <c r="E184" s="63">
        <f>IF(D184&lt;=35,"Y","N")</f>
        <v/>
      </c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98" thickBot="1">
      <c r="A185" s="61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2'!R189</f>
        <v/>
      </c>
      <c r="E185" s="63">
        <f>IF(D185&lt;=35,"Y","N")</f>
        <v/>
      </c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98" thickBot="1">
      <c r="A186" s="61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2'!R190</f>
        <v/>
      </c>
      <c r="E186" s="63">
        <f>IF(D186&lt;=35,"Y","N")</f>
        <v/>
      </c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98" thickBot="1">
      <c r="A187" s="61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2'!R191</f>
        <v/>
      </c>
      <c r="E187" s="63">
        <f>IF(D187&lt;=35,"Y","N")</f>
        <v/>
      </c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98" thickBot="1">
      <c r="A188" s="61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2'!R192</f>
        <v/>
      </c>
      <c r="E188" s="63">
        <f>IF(D188&lt;=35,"Y","N")</f>
        <v/>
      </c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98" thickBot="1">
      <c r="A189" s="61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2'!R193</f>
        <v/>
      </c>
      <c r="E189" s="63">
        <f>IF(D189&lt;=35,"Y","N")</f>
        <v/>
      </c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98" thickBot="1">
      <c r="A190" s="61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2'!R194</f>
        <v/>
      </c>
      <c r="E190" s="63">
        <f>IF(D190&lt;=35,"Y","N")</f>
        <v/>
      </c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98" thickBot="1">
      <c r="A191" s="61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2'!R195</f>
        <v/>
      </c>
      <c r="E191" s="63">
        <f>IF(D191&lt;=35,"Y","N")</f>
        <v/>
      </c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98" thickBot="1">
      <c r="A192" s="61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2'!R196</f>
        <v/>
      </c>
      <c r="E192" s="63">
        <f>IF(D192&lt;=35,"Y","N")</f>
        <v/>
      </c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98" thickBot="1">
      <c r="A193" s="61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2'!R197</f>
        <v/>
      </c>
      <c r="E193" s="63">
        <f>IF(D193&lt;=35,"Y","N")</f>
        <v/>
      </c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98" thickBot="1">
      <c r="A194" s="61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2'!R198</f>
        <v/>
      </c>
      <c r="E194" s="63">
        <f>IF(D194&lt;=35,"Y","N")</f>
        <v/>
      </c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98" thickBot="1">
      <c r="A195" s="61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2'!R199</f>
        <v/>
      </c>
      <c r="E195" s="63">
        <f>IF(D195&lt;=35,"Y","N")</f>
        <v/>
      </c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98" thickBot="1">
      <c r="A196" s="61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2'!R200</f>
        <v/>
      </c>
      <c r="E196" s="63">
        <f>IF(D196&lt;=35,"Y","N")</f>
        <v/>
      </c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98" thickBot="1">
      <c r="A197" s="61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2'!R201</f>
        <v/>
      </c>
      <c r="E197" s="63">
        <f>IF(D197&lt;=35,"Y","N")</f>
        <v/>
      </c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98" thickBot="1">
      <c r="A198" s="61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2'!R202</f>
        <v/>
      </c>
      <c r="E198" s="63">
        <f>IF(D198&lt;=35,"Y","N")</f>
        <v/>
      </c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98" thickBot="1">
      <c r="A199" s="61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2'!R203</f>
        <v/>
      </c>
      <c r="E199" s="63">
        <f>IF(D199&lt;=35,"Y","N")</f>
        <v/>
      </c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98" thickBot="1">
      <c r="A200" s="61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2'!R204</f>
        <v/>
      </c>
      <c r="E200" s="63">
        <f>IF(D200&lt;=35,"Y","N")</f>
        <v/>
      </c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98" thickBot="1">
      <c r="A201" s="61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2'!R205</f>
        <v/>
      </c>
      <c r="E201" s="63">
        <f>IF(D201&lt;=35,"Y","N")</f>
        <v/>
      </c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98" thickBot="1">
      <c r="A202" s="61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2'!R206</f>
        <v/>
      </c>
      <c r="E202" s="63">
        <f>IF(D202&lt;=35,"Y","N")</f>
        <v/>
      </c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98" thickBot="1">
      <c r="A203" s="61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2'!R207</f>
        <v/>
      </c>
      <c r="E203" s="63">
        <f>IF(D203&lt;=35,"Y","N")</f>
        <v/>
      </c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98" thickBot="1">
      <c r="A204" s="61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2'!R208</f>
        <v/>
      </c>
      <c r="E204" s="63">
        <f>IF(D204&lt;=35,"Y","N")</f>
        <v/>
      </c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98" thickBot="1">
      <c r="A205" s="61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2'!R209</f>
        <v/>
      </c>
      <c r="E205" s="63">
        <f>IF(D205&lt;=35,"Y","N")</f>
        <v/>
      </c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98" thickBot="1">
      <c r="A206" s="61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2'!R210</f>
        <v/>
      </c>
      <c r="E206" s="63">
        <f>IF(D206&lt;=35,"Y","N")</f>
        <v/>
      </c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98" thickBot="1">
      <c r="A207" s="61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2'!R211</f>
        <v/>
      </c>
      <c r="E207" s="63">
        <f>IF(D207&lt;=35,"Y","N")</f>
        <v/>
      </c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98" thickBot="1">
      <c r="A208" s="61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2'!R212</f>
        <v/>
      </c>
      <c r="E208" s="63">
        <f>IF(D208&lt;=35,"Y","N")</f>
        <v/>
      </c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98" thickBot="1">
      <c r="A209" s="61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2'!R213</f>
        <v/>
      </c>
      <c r="E209" s="63">
        <f>IF(D209&lt;=35,"Y","N")</f>
        <v/>
      </c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98" thickBot="1">
      <c r="A210" s="61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2'!R214</f>
        <v/>
      </c>
      <c r="E210" s="63">
        <f>IF(D210&lt;=35,"Y","N")</f>
        <v/>
      </c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98" thickBot="1">
      <c r="A211" s="61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2'!R215</f>
        <v/>
      </c>
      <c r="E211" s="63">
        <f>IF(D211&lt;=35,"Y","N")</f>
        <v/>
      </c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98" thickBot="1">
      <c r="A212" s="61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2'!R216</f>
        <v/>
      </c>
      <c r="E212" s="63">
        <f>IF(D212&lt;=35,"Y","N")</f>
        <v/>
      </c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98" thickBot="1">
      <c r="A213" s="61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2'!R217</f>
        <v/>
      </c>
      <c r="E213" s="63">
        <f>IF(D213&lt;=35,"Y","N")</f>
        <v/>
      </c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98" thickBot="1">
      <c r="A214" s="61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2'!R218</f>
        <v/>
      </c>
      <c r="E214" s="63">
        <f>IF(D214&lt;=35,"Y","N")</f>
        <v/>
      </c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98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98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98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9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98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98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98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98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98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98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98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98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98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98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98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98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98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98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98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98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98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98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98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9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98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98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98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98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98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98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98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98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98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98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98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98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98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98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98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98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98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98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98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98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98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98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98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98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98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98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98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98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98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98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98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98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98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98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98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98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98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98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98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98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98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98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98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98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98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98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98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98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98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98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98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98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98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98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98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98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98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98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98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98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98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98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98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98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98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98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98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98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98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98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98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98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98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98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98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98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98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98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98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98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98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98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98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98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98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98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98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98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98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98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98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98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98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98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98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98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98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98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98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98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98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98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98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98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98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98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98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98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98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98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98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98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98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98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98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98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98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98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98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98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98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98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98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98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98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98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98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98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98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98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98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98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98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98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98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98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98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98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98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98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A2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Q12" sqref="Q12"/>
    </sheetView>
  </sheetViews>
  <sheetFormatPr baseColWidth="8" defaultColWidth="12.59765625" defaultRowHeight="15" customHeight="1"/>
  <cols>
    <col width="5.69921875" customWidth="1" style="98" min="1" max="1"/>
    <col width="13.5" customWidth="1" style="98" min="2" max="2"/>
    <col width="27.8984375" customWidth="1" style="98" min="3" max="3"/>
    <col width="14.3984375" customWidth="1" style="98" min="4" max="4"/>
    <col width="12.19921875" customWidth="1" style="98" min="5" max="13"/>
    <col width="8" customWidth="1" style="98" min="14" max="15"/>
    <col width="7.69921875" customWidth="1" style="98" min="16" max="25"/>
    <col width="12.69921875" customWidth="1" style="98" min="26" max="26"/>
  </cols>
  <sheetData>
    <row r="1" ht="19.5" customHeight="1" s="98">
      <c r="A1" s="83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</row>
    <row r="2" ht="19.5" customHeight="1" s="98">
      <c r="A2" s="83" t="inlineStr">
        <is>
          <t>Course Outcome Attainment Sheet (Sessional)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</row>
    <row r="3" ht="19.5" customHeight="1" s="98">
      <c r="A3" s="83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</row>
    <row r="4" ht="19.5" customHeight="1" s="98">
      <c r="A4" s="83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</row>
    <row r="5" ht="19.5" customHeight="1" s="98">
      <c r="A5" s="15" t="inlineStr">
        <is>
          <t>S.NO.</t>
        </is>
      </c>
      <c r="B5" s="12" t="inlineStr">
        <is>
          <t>RTU ROLL NUMBER</t>
        </is>
      </c>
      <c r="C5" s="15" t="inlineStr">
        <is>
          <t>NAME OF STUDENT</t>
        </is>
      </c>
      <c r="D5" s="15" t="inlineStr">
        <is>
          <t>CO23CS201.1</t>
        </is>
      </c>
      <c r="E5" s="15" t="inlineStr">
        <is>
          <t>CO23CS201.2</t>
        </is>
      </c>
      <c r="F5" s="15" t="inlineStr">
        <is>
          <t>CO23CS201.3</t>
        </is>
      </c>
      <c r="G5" s="15" t="inlineStr">
        <is>
          <t>CO23CS201.4</t>
        </is>
      </c>
      <c r="H5" s="15" t="inlineStr">
        <is>
          <t>CO23CS201.5</t>
        </is>
      </c>
      <c r="I5" s="15" t="inlineStr">
        <is>
          <t>Course Attainment with Target in %</t>
        </is>
      </c>
      <c r="J5" s="125" t="n"/>
      <c r="K5" s="125" t="n"/>
      <c r="L5" s="125" t="n"/>
      <c r="M5" s="126" t="n"/>
      <c r="N5" s="15" t="inlineStr">
        <is>
          <t>TOTAL</t>
        </is>
      </c>
      <c r="O5" s="15" t="inlineStr">
        <is>
          <t>TOTAL</t>
        </is>
      </c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9.5" customHeight="1" s="98">
      <c r="A6" s="136" t="n"/>
      <c r="B6" s="136" t="n"/>
      <c r="C6" s="15" t="inlineStr">
        <is>
          <t>CO MAPPED</t>
        </is>
      </c>
      <c r="D6" s="127" t="n"/>
      <c r="E6" s="127" t="n"/>
      <c r="F6" s="127" t="n"/>
      <c r="G6" s="127" t="n"/>
      <c r="H6" s="127" t="n"/>
      <c r="I6" s="15" t="inlineStr">
        <is>
          <t>CO23CS201.1</t>
        </is>
      </c>
      <c r="J6" s="15" t="inlineStr">
        <is>
          <t>CO23CS201.2</t>
        </is>
      </c>
      <c r="K6" s="15" t="inlineStr">
        <is>
          <t>CO23CS201.3</t>
        </is>
      </c>
      <c r="L6" s="15" t="inlineStr">
        <is>
          <t>CO23CS201.4</t>
        </is>
      </c>
      <c r="M6" s="15" t="inlineStr">
        <is>
          <t>CO23CS201.5</t>
        </is>
      </c>
      <c r="N6" s="136" t="n"/>
      <c r="O6" s="136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9.5" customHeight="1" s="98">
      <c r="A7" s="136" t="n"/>
      <c r="B7" s="136" t="n"/>
      <c r="C7" s="15" t="n"/>
      <c r="D7" s="15" t="inlineStr">
        <is>
          <t>TOTAL</t>
        </is>
      </c>
      <c r="E7" s="15" t="inlineStr">
        <is>
          <t>TOTAL</t>
        </is>
      </c>
      <c r="F7" s="15" t="inlineStr">
        <is>
          <t>TOTAL</t>
        </is>
      </c>
      <c r="G7" s="15" t="inlineStr">
        <is>
          <t>TOTAL</t>
        </is>
      </c>
      <c r="H7" s="15" t="inlineStr">
        <is>
          <t>TOTAL</t>
        </is>
      </c>
      <c r="I7" s="127" t="n"/>
      <c r="J7" s="127" t="n"/>
      <c r="K7" s="127" t="n"/>
      <c r="L7" s="127" t="n"/>
      <c r="M7" s="127" t="n"/>
      <c r="N7" s="127" t="n"/>
      <c r="O7" s="127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9.5" customHeight="1" s="98">
      <c r="A8" s="127" t="n"/>
      <c r="B8" s="127" t="n"/>
      <c r="C8" s="15" t="inlineStr">
        <is>
          <t>MAX MARKS</t>
        </is>
      </c>
      <c r="D8" s="15">
        <f>'MID Term 1'!D6+'MID Term 2'!D6</f>
        <v/>
      </c>
      <c r="E8" s="15">
        <f>'MID Term 1'!H6+'MID Term 2'!E6</f>
        <v/>
      </c>
      <c r="F8" s="15">
        <f>'MID Term 1'!L6+'MID Term 2'!F6</f>
        <v/>
      </c>
      <c r="G8" s="15">
        <f>'MID Term 1'!P6+'MID Term 2'!J6</f>
        <v/>
      </c>
      <c r="H8" s="15">
        <f>'MID Term 1'!Q6+'MID Term 2'!N6</f>
        <v/>
      </c>
      <c r="I8" s="19" t="n">
        <v>0.75</v>
      </c>
      <c r="J8" s="19" t="n">
        <v>0.75</v>
      </c>
      <c r="K8" s="19" t="n">
        <v>0.75</v>
      </c>
      <c r="L8" s="19" t="n">
        <v>0.75</v>
      </c>
      <c r="M8" s="19" t="n">
        <v>0.75</v>
      </c>
      <c r="N8" s="15">
        <f>SUM(D8:H8)</f>
        <v/>
      </c>
      <c r="O8" s="15">
        <f>ROUND(N8/2,0)</f>
        <v/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9.5" customHeight="1" s="98">
      <c r="A9" s="15" t="inlineStr">
        <is>
          <t>Set Target Level</t>
        </is>
      </c>
      <c r="B9" s="125" t="n"/>
      <c r="C9" s="126" t="n"/>
      <c r="D9" s="19" t="n">
        <v>0.75</v>
      </c>
      <c r="E9" s="19" t="n">
        <v>0.75</v>
      </c>
      <c r="F9" s="19" t="n">
        <v>0.75</v>
      </c>
      <c r="G9" s="19" t="n">
        <v>0.75</v>
      </c>
      <c r="H9" s="19" t="n">
        <v>0.75</v>
      </c>
      <c r="I9" s="127" t="n"/>
      <c r="J9" s="127" t="n"/>
      <c r="K9" s="127" t="n"/>
      <c r="L9" s="127" t="n"/>
      <c r="M9" s="127" t="n"/>
      <c r="N9" s="127" t="n"/>
      <c r="O9" s="127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9.5" customHeight="1" s="98">
      <c r="A10" s="47">
        <f>'Sessional + End Term Assessment'!A8</f>
        <v/>
      </c>
      <c r="B10" s="74">
        <f>'Sessional + End Term Assessment'!B8</f>
        <v/>
      </c>
      <c r="C10" s="74">
        <f>'Sessional + End Term Assessment'!C8</f>
        <v/>
      </c>
      <c r="D10" s="21">
        <f>'MID Term 1'!D7+'MID Term 2'!D7</f>
        <v/>
      </c>
      <c r="E10" s="21">
        <f>'MID Term 1'!H7+'MID Term 2'!E7</f>
        <v/>
      </c>
      <c r="F10" s="21">
        <f>'MID Term 1'!L7+'MID Term 2'!F7</f>
        <v/>
      </c>
      <c r="G10" s="21">
        <f>'MID Term 1'!P7+'MID Term 2'!J7</f>
        <v/>
      </c>
      <c r="H10" s="21">
        <f>'MID Term 1'!Q7+'MID Term 2'!N7</f>
        <v/>
      </c>
      <c r="I10" s="23">
        <f>IF((D10/$D$8)&gt;=$I$8,1,0)</f>
        <v/>
      </c>
      <c r="J10" s="23">
        <f>IF((E10/$E$8)&gt;=$J$8,1,0)</f>
        <v/>
      </c>
      <c r="K10" s="23">
        <f>IF((F10/$F$8)&gt;=$K$8,1,0)</f>
        <v/>
      </c>
      <c r="L10" s="23">
        <f>IF((G10/$G$8)&gt;=$L$8,1,0)</f>
        <v/>
      </c>
      <c r="M10" s="23">
        <f>IF((H10/$H$8)&gt;=$M$8,1,0)</f>
        <v/>
      </c>
      <c r="N10" s="21">
        <f>SUM(D10:H10)</f>
        <v/>
      </c>
      <c r="O10" s="23">
        <f>ROUND(N10/2,0)</f>
        <v/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9.5" customHeight="1" s="98">
      <c r="A11" s="47">
        <f>'Sessional + End Term Assessment'!A9</f>
        <v/>
      </c>
      <c r="B11" s="74">
        <f>'Sessional + End Term Assessment'!B9</f>
        <v/>
      </c>
      <c r="C11" s="74">
        <f>'Sessional + End Term Assessment'!C9</f>
        <v/>
      </c>
      <c r="D11" s="21">
        <f>'MID Term 1'!D8+'MID Term 2'!D8</f>
        <v/>
      </c>
      <c r="E11" s="21">
        <f>'MID Term 1'!H8+'MID Term 2'!E8</f>
        <v/>
      </c>
      <c r="F11" s="21">
        <f>'MID Term 1'!L8+'MID Term 2'!F8</f>
        <v/>
      </c>
      <c r="G11" s="21">
        <f>'MID Term 1'!P8+'MID Term 2'!J8</f>
        <v/>
      </c>
      <c r="H11" s="21">
        <f>'MID Term 1'!Q8+'MID Term 2'!N8</f>
        <v/>
      </c>
      <c r="I11" s="23">
        <f>IF((D11/$D$8)&gt;=$I$8,1,0)</f>
        <v/>
      </c>
      <c r="J11" s="23">
        <f>IF((E11/$E$8)&gt;=$J$8,1,0)</f>
        <v/>
      </c>
      <c r="K11" s="23">
        <f>IF((F11/$F$8)&gt;=$K$8,1,0)</f>
        <v/>
      </c>
      <c r="L11" s="23">
        <f>IF((G11/$G$8)&gt;=$L$8,1,0)</f>
        <v/>
      </c>
      <c r="M11" s="23">
        <f>IF((H11/$H$8)&gt;=$M$8,1,0)</f>
        <v/>
      </c>
      <c r="N11" s="21">
        <f>SUM(D11:H11)</f>
        <v/>
      </c>
      <c r="O11" s="23">
        <f>ROUND(N11/2,0)</f>
        <v/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9.5" customHeight="1" s="98">
      <c r="A12" s="47">
        <f>'Sessional + End Term Assessment'!A10</f>
        <v/>
      </c>
      <c r="B12" s="74">
        <f>'Sessional + End Term Assessment'!B10</f>
        <v/>
      </c>
      <c r="C12" s="74">
        <f>'Sessional + End Term Assessment'!C10</f>
        <v/>
      </c>
      <c r="D12" s="21">
        <f>'MID Term 1'!D9+'MID Term 2'!D9</f>
        <v/>
      </c>
      <c r="E12" s="21">
        <f>'MID Term 1'!H9+'MID Term 2'!E9</f>
        <v/>
      </c>
      <c r="F12" s="21">
        <f>'MID Term 1'!L9+'MID Term 2'!F9</f>
        <v/>
      </c>
      <c r="G12" s="21">
        <f>'MID Term 1'!P9+'MID Term 2'!J9</f>
        <v/>
      </c>
      <c r="H12" s="21">
        <f>'MID Term 1'!Q9+'MID Term 2'!N9</f>
        <v/>
      </c>
      <c r="I12" s="23">
        <f>IF((D12/$D$8)&gt;=$I$8,1,0)</f>
        <v/>
      </c>
      <c r="J12" s="23">
        <f>IF((E12/$E$8)&gt;=$J$8,1,0)</f>
        <v/>
      </c>
      <c r="K12" s="23">
        <f>IF((F12/$F$8)&gt;=$K$8,1,0)</f>
        <v/>
      </c>
      <c r="L12" s="23">
        <f>IF((G12/$G$8)&gt;=$L$8,1,0)</f>
        <v/>
      </c>
      <c r="M12" s="23">
        <f>IF((H12/$H$8)&gt;=$M$8,1,0)</f>
        <v/>
      </c>
      <c r="N12" s="21">
        <f>SUM(D12:H12)</f>
        <v/>
      </c>
      <c r="O12" s="23">
        <f>ROUND(N12/2,0)</f>
        <v/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9.5" customHeight="1" s="98">
      <c r="A13" s="47">
        <f>'Sessional + End Term Assessment'!A11</f>
        <v/>
      </c>
      <c r="B13" s="74">
        <f>'Sessional + End Term Assessment'!B11</f>
        <v/>
      </c>
      <c r="C13" s="74">
        <f>'Sessional + End Term Assessment'!C11</f>
        <v/>
      </c>
      <c r="D13" s="21">
        <f>'MID Term 1'!D10+'MID Term 2'!D10</f>
        <v/>
      </c>
      <c r="E13" s="21">
        <f>'MID Term 1'!H10+'MID Term 2'!E10</f>
        <v/>
      </c>
      <c r="F13" s="21">
        <f>'MID Term 1'!L10+'MID Term 2'!F10</f>
        <v/>
      </c>
      <c r="G13" s="21">
        <f>'MID Term 1'!P10+'MID Term 2'!J10</f>
        <v/>
      </c>
      <c r="H13" s="21">
        <f>'MID Term 1'!Q10+'MID Term 2'!N10</f>
        <v/>
      </c>
      <c r="I13" s="23">
        <f>IF((D13/$D$8)&gt;=$I$8,1,0)</f>
        <v/>
      </c>
      <c r="J13" s="23">
        <f>IF((E13/$E$8)&gt;=$J$8,1,0)</f>
        <v/>
      </c>
      <c r="K13" s="23">
        <f>IF((F13/$F$8)&gt;=$K$8,1,0)</f>
        <v/>
      </c>
      <c r="L13" s="23">
        <f>IF((G13/$G$8)&gt;=$L$8,1,0)</f>
        <v/>
      </c>
      <c r="M13" s="23">
        <f>IF((H13/$H$8)&gt;=$M$8,1,0)</f>
        <v/>
      </c>
      <c r="N13" s="21">
        <f>SUM(D13:H13)</f>
        <v/>
      </c>
      <c r="O13" s="23">
        <f>ROUND(N13/2,0)</f>
        <v/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9.5" customHeight="1" s="98">
      <c r="A14" s="47">
        <f>'Sessional + End Term Assessment'!A12</f>
        <v/>
      </c>
      <c r="B14" s="74">
        <f>'Sessional + End Term Assessment'!B12</f>
        <v/>
      </c>
      <c r="C14" s="74">
        <f>'Sessional + End Term Assessment'!C12</f>
        <v/>
      </c>
      <c r="D14" s="21">
        <f>'MID Term 1'!D11+'MID Term 2'!D11</f>
        <v/>
      </c>
      <c r="E14" s="21">
        <f>'MID Term 1'!H11+'MID Term 2'!E11</f>
        <v/>
      </c>
      <c r="F14" s="21">
        <f>'MID Term 1'!L11+'MID Term 2'!F11</f>
        <v/>
      </c>
      <c r="G14" s="21">
        <f>'MID Term 1'!P11+'MID Term 2'!J11</f>
        <v/>
      </c>
      <c r="H14" s="21">
        <f>'MID Term 1'!Q11+'MID Term 2'!N11</f>
        <v/>
      </c>
      <c r="I14" s="23">
        <f>IF((D14/$D$8)&gt;=$I$8,1,0)</f>
        <v/>
      </c>
      <c r="J14" s="23">
        <f>IF((E14/$E$8)&gt;=$J$8,1,0)</f>
        <v/>
      </c>
      <c r="K14" s="23">
        <f>IF((F14/$F$8)&gt;=$K$8,1,0)</f>
        <v/>
      </c>
      <c r="L14" s="23">
        <f>IF((G14/$G$8)&gt;=$L$8,1,0)</f>
        <v/>
      </c>
      <c r="M14" s="23">
        <f>IF((H14/$H$8)&gt;=$M$8,1,0)</f>
        <v/>
      </c>
      <c r="N14" s="21">
        <f>SUM(D14:H14)</f>
        <v/>
      </c>
      <c r="O14" s="23">
        <f>ROUND(N14/2,0)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9.5" customHeight="1" s="98">
      <c r="A15" s="47">
        <f>'Sessional + End Term Assessment'!A13</f>
        <v/>
      </c>
      <c r="B15" s="74">
        <f>'Sessional + End Term Assessment'!B13</f>
        <v/>
      </c>
      <c r="C15" s="74">
        <f>'Sessional + End Term Assessment'!C13</f>
        <v/>
      </c>
      <c r="D15" s="21">
        <f>'MID Term 1'!D12+'MID Term 2'!D12</f>
        <v/>
      </c>
      <c r="E15" s="21">
        <f>'MID Term 1'!H12+'MID Term 2'!E12</f>
        <v/>
      </c>
      <c r="F15" s="21">
        <f>'MID Term 1'!L12+'MID Term 2'!F12</f>
        <v/>
      </c>
      <c r="G15" s="21">
        <f>'MID Term 1'!P12+'MID Term 2'!J12</f>
        <v/>
      </c>
      <c r="H15" s="21">
        <f>'MID Term 1'!Q12+'MID Term 2'!N12</f>
        <v/>
      </c>
      <c r="I15" s="23">
        <f>IF((D15/$D$8)&gt;=$I$8,1,0)</f>
        <v/>
      </c>
      <c r="J15" s="23">
        <f>IF((E15/$E$8)&gt;=$J$8,1,0)</f>
        <v/>
      </c>
      <c r="K15" s="23">
        <f>IF((F15/$F$8)&gt;=$K$8,1,0)</f>
        <v/>
      </c>
      <c r="L15" s="23">
        <f>IF((G15/$G$8)&gt;=$L$8,1,0)</f>
        <v/>
      </c>
      <c r="M15" s="23">
        <f>IF((H15/$H$8)&gt;=$M$8,1,0)</f>
        <v/>
      </c>
      <c r="N15" s="21">
        <f>SUM(D15:H15)</f>
        <v/>
      </c>
      <c r="O15" s="23">
        <f>ROUND(N15/2,0)</f>
        <v/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9.5" customHeight="1" s="98">
      <c r="A16" s="47">
        <f>'Sessional + End Term Assessment'!A14</f>
        <v/>
      </c>
      <c r="B16" s="74">
        <f>'Sessional + End Term Assessment'!B14</f>
        <v/>
      </c>
      <c r="C16" s="74">
        <f>'Sessional + End Term Assessment'!C14</f>
        <v/>
      </c>
      <c r="D16" s="21">
        <f>'MID Term 1'!D13+'MID Term 2'!D13</f>
        <v/>
      </c>
      <c r="E16" s="21">
        <f>'MID Term 1'!H13+'MID Term 2'!E13</f>
        <v/>
      </c>
      <c r="F16" s="21">
        <f>'MID Term 1'!L13+'MID Term 2'!F13</f>
        <v/>
      </c>
      <c r="G16" s="21">
        <f>'MID Term 1'!P13+'MID Term 2'!J13</f>
        <v/>
      </c>
      <c r="H16" s="21">
        <f>'MID Term 1'!Q13+'MID Term 2'!N13</f>
        <v/>
      </c>
      <c r="I16" s="23">
        <f>IF((D16/$D$8)&gt;=$I$8,1,0)</f>
        <v/>
      </c>
      <c r="J16" s="23">
        <f>IF((E16/$E$8)&gt;=$J$8,1,0)</f>
        <v/>
      </c>
      <c r="K16" s="23">
        <f>IF((F16/$F$8)&gt;=$K$8,1,0)</f>
        <v/>
      </c>
      <c r="L16" s="23">
        <f>IF((G16/$G$8)&gt;=$L$8,1,0)</f>
        <v/>
      </c>
      <c r="M16" s="23">
        <f>IF((H16/$H$8)&gt;=$M$8,1,0)</f>
        <v/>
      </c>
      <c r="N16" s="21">
        <f>SUM(D16:H16)</f>
        <v/>
      </c>
      <c r="O16" s="23">
        <f>ROUND(N16/2,0)</f>
        <v/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9.5" customHeight="1" s="98">
      <c r="A17" s="47">
        <f>'Sessional + End Term Assessment'!A15</f>
        <v/>
      </c>
      <c r="B17" s="74">
        <f>'Sessional + End Term Assessment'!B15</f>
        <v/>
      </c>
      <c r="C17" s="74">
        <f>'Sessional + End Term Assessment'!C15</f>
        <v/>
      </c>
      <c r="D17" s="21">
        <f>'MID Term 1'!D14+'MID Term 2'!D14</f>
        <v/>
      </c>
      <c r="E17" s="21">
        <f>'MID Term 1'!H14+'MID Term 2'!E14</f>
        <v/>
      </c>
      <c r="F17" s="21">
        <f>'MID Term 1'!L14+'MID Term 2'!F14</f>
        <v/>
      </c>
      <c r="G17" s="21">
        <f>'MID Term 1'!P14+'MID Term 2'!J14</f>
        <v/>
      </c>
      <c r="H17" s="21">
        <f>'MID Term 1'!Q14+'MID Term 2'!N14</f>
        <v/>
      </c>
      <c r="I17" s="23">
        <f>IF((D17/$D$8)&gt;=$I$8,1,0)</f>
        <v/>
      </c>
      <c r="J17" s="23">
        <f>IF((E17/$E$8)&gt;=$J$8,1,0)</f>
        <v/>
      </c>
      <c r="K17" s="23">
        <f>IF((F17/$F$8)&gt;=$K$8,1,0)</f>
        <v/>
      </c>
      <c r="L17" s="23">
        <f>IF((G17/$G$8)&gt;=$L$8,1,0)</f>
        <v/>
      </c>
      <c r="M17" s="23">
        <f>IF((H17/$H$8)&gt;=$M$8,1,0)</f>
        <v/>
      </c>
      <c r="N17" s="21">
        <f>SUM(D17:H17)</f>
        <v/>
      </c>
      <c r="O17" s="23">
        <f>ROUND(N17/2,0)</f>
        <v/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9.5" customHeight="1" s="98">
      <c r="A18" s="47">
        <f>'Sessional + End Term Assessment'!A16</f>
        <v/>
      </c>
      <c r="B18" s="74">
        <f>'Sessional + End Term Assessment'!B16</f>
        <v/>
      </c>
      <c r="C18" s="74">
        <f>'Sessional + End Term Assessment'!C16</f>
        <v/>
      </c>
      <c r="D18" s="21">
        <f>'MID Term 1'!D15+'MID Term 2'!D15</f>
        <v/>
      </c>
      <c r="E18" s="21">
        <f>'MID Term 1'!H15+'MID Term 2'!E15</f>
        <v/>
      </c>
      <c r="F18" s="21">
        <f>'MID Term 1'!L15+'MID Term 2'!F15</f>
        <v/>
      </c>
      <c r="G18" s="21">
        <f>'MID Term 1'!P15+'MID Term 2'!J15</f>
        <v/>
      </c>
      <c r="H18" s="21">
        <f>'MID Term 1'!Q15+'MID Term 2'!N15</f>
        <v/>
      </c>
      <c r="I18" s="23">
        <f>IF((D18/$D$8)&gt;=$I$8,1,0)</f>
        <v/>
      </c>
      <c r="J18" s="23">
        <f>IF((E18/$E$8)&gt;=$J$8,1,0)</f>
        <v/>
      </c>
      <c r="K18" s="23">
        <f>IF((F18/$F$8)&gt;=$K$8,1,0)</f>
        <v/>
      </c>
      <c r="L18" s="23">
        <f>IF((G18/$G$8)&gt;=$L$8,1,0)</f>
        <v/>
      </c>
      <c r="M18" s="23">
        <f>IF((H18/$H$8)&gt;=$M$8,1,0)</f>
        <v/>
      </c>
      <c r="N18" s="21">
        <f>SUM(D18:H18)</f>
        <v/>
      </c>
      <c r="O18" s="23">
        <f>ROUND(N18/2,0)</f>
        <v/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9.5" customHeight="1" s="98">
      <c r="A19" s="47">
        <f>'Sessional + End Term Assessment'!A17</f>
        <v/>
      </c>
      <c r="B19" s="74">
        <f>'Sessional + End Term Assessment'!B17</f>
        <v/>
      </c>
      <c r="C19" s="74">
        <f>'Sessional + End Term Assessment'!C17</f>
        <v/>
      </c>
      <c r="D19" s="21">
        <f>'MID Term 1'!D16+'MID Term 2'!D16</f>
        <v/>
      </c>
      <c r="E19" s="21">
        <f>'MID Term 1'!H16+'MID Term 2'!E16</f>
        <v/>
      </c>
      <c r="F19" s="21">
        <f>'MID Term 1'!L16+'MID Term 2'!F16</f>
        <v/>
      </c>
      <c r="G19" s="21">
        <f>'MID Term 1'!P16+'MID Term 2'!J16</f>
        <v/>
      </c>
      <c r="H19" s="21">
        <f>'MID Term 1'!Q16+'MID Term 2'!N16</f>
        <v/>
      </c>
      <c r="I19" s="23">
        <f>IF((D19/$D$8)&gt;=$I$8,1,0)</f>
        <v/>
      </c>
      <c r="J19" s="23">
        <f>IF((E19/$E$8)&gt;=$J$8,1,0)</f>
        <v/>
      </c>
      <c r="K19" s="23">
        <f>IF((F19/$F$8)&gt;=$K$8,1,0)</f>
        <v/>
      </c>
      <c r="L19" s="23">
        <f>IF((G19/$G$8)&gt;=$L$8,1,0)</f>
        <v/>
      </c>
      <c r="M19" s="23">
        <f>IF((H19/$H$8)&gt;=$M$8,1,0)</f>
        <v/>
      </c>
      <c r="N19" s="21">
        <f>SUM(D19:H19)</f>
        <v/>
      </c>
      <c r="O19" s="23">
        <f>ROUND(N19/2,0)</f>
        <v/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9.5" customHeight="1" s="98">
      <c r="A20" s="47">
        <f>'Sessional + End Term Assessment'!A18</f>
        <v/>
      </c>
      <c r="B20" s="74">
        <f>'Sessional + End Term Assessment'!B18</f>
        <v/>
      </c>
      <c r="C20" s="74">
        <f>'Sessional + End Term Assessment'!C18</f>
        <v/>
      </c>
      <c r="D20" s="21">
        <f>'MID Term 1'!D17+'MID Term 2'!D17</f>
        <v/>
      </c>
      <c r="E20" s="21">
        <f>'MID Term 1'!H17+'MID Term 2'!E17</f>
        <v/>
      </c>
      <c r="F20" s="21">
        <f>'MID Term 1'!L17+'MID Term 2'!F17</f>
        <v/>
      </c>
      <c r="G20" s="21">
        <f>'MID Term 1'!P17+'MID Term 2'!J17</f>
        <v/>
      </c>
      <c r="H20" s="21">
        <f>'MID Term 1'!Q17+'MID Term 2'!N17</f>
        <v/>
      </c>
      <c r="I20" s="23">
        <f>IF((D20/$D$8)&gt;=$I$8,1,0)</f>
        <v/>
      </c>
      <c r="J20" s="23">
        <f>IF((E20/$E$8)&gt;=$J$8,1,0)</f>
        <v/>
      </c>
      <c r="K20" s="23">
        <f>IF((F20/$F$8)&gt;=$K$8,1,0)</f>
        <v/>
      </c>
      <c r="L20" s="23">
        <f>IF((G20/$G$8)&gt;=$L$8,1,0)</f>
        <v/>
      </c>
      <c r="M20" s="23">
        <f>IF((H20/$H$8)&gt;=$M$8,1,0)</f>
        <v/>
      </c>
      <c r="N20" s="21">
        <f>SUM(D20:H20)</f>
        <v/>
      </c>
      <c r="O20" s="23">
        <f>ROUND(N20/2,0)</f>
        <v/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9.5" customHeight="1" s="98">
      <c r="A21" s="47">
        <f>'Sessional + End Term Assessment'!A19</f>
        <v/>
      </c>
      <c r="B21" s="74">
        <f>'Sessional + End Term Assessment'!B19</f>
        <v/>
      </c>
      <c r="C21" s="74">
        <f>'Sessional + End Term Assessment'!C19</f>
        <v/>
      </c>
      <c r="D21" s="21">
        <f>'MID Term 1'!D18+'MID Term 2'!D18</f>
        <v/>
      </c>
      <c r="E21" s="21">
        <f>'MID Term 1'!H18+'MID Term 2'!E18</f>
        <v/>
      </c>
      <c r="F21" s="21">
        <f>'MID Term 1'!L18+'MID Term 2'!F18</f>
        <v/>
      </c>
      <c r="G21" s="21">
        <f>'MID Term 1'!P18+'MID Term 2'!J18</f>
        <v/>
      </c>
      <c r="H21" s="21">
        <f>'MID Term 1'!Q18+'MID Term 2'!N18</f>
        <v/>
      </c>
      <c r="I21" s="23">
        <f>IF((D21/$D$8)&gt;=$I$8,1,0)</f>
        <v/>
      </c>
      <c r="J21" s="23">
        <f>IF((E21/$E$8)&gt;=$J$8,1,0)</f>
        <v/>
      </c>
      <c r="K21" s="23">
        <f>IF((F21/$F$8)&gt;=$K$8,1,0)</f>
        <v/>
      </c>
      <c r="L21" s="23">
        <f>IF((G21/$G$8)&gt;=$L$8,1,0)</f>
        <v/>
      </c>
      <c r="M21" s="23">
        <f>IF((H21/$H$8)&gt;=$M$8,1,0)</f>
        <v/>
      </c>
      <c r="N21" s="21">
        <f>SUM(D21:H21)</f>
        <v/>
      </c>
      <c r="O21" s="23">
        <f>ROUND(N21/2,0)</f>
        <v/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9.5" customHeight="1" s="98">
      <c r="A22" s="47">
        <f>'Sessional + End Term Assessment'!A20</f>
        <v/>
      </c>
      <c r="B22" s="74">
        <f>'Sessional + End Term Assessment'!B20</f>
        <v/>
      </c>
      <c r="C22" s="74">
        <f>'Sessional + End Term Assessment'!C20</f>
        <v/>
      </c>
      <c r="D22" s="21">
        <f>'MID Term 1'!D19+'MID Term 2'!D19</f>
        <v/>
      </c>
      <c r="E22" s="21">
        <f>'MID Term 1'!H19+'MID Term 2'!E19</f>
        <v/>
      </c>
      <c r="F22" s="21">
        <f>'MID Term 1'!L19+'MID Term 2'!F19</f>
        <v/>
      </c>
      <c r="G22" s="21">
        <f>'MID Term 1'!P19+'MID Term 2'!J19</f>
        <v/>
      </c>
      <c r="H22" s="21">
        <f>'MID Term 1'!Q19+'MID Term 2'!N19</f>
        <v/>
      </c>
      <c r="I22" s="23">
        <f>IF((D22/$D$8)&gt;=$I$8,1,0)</f>
        <v/>
      </c>
      <c r="J22" s="23">
        <f>IF((E22/$E$8)&gt;=$J$8,1,0)</f>
        <v/>
      </c>
      <c r="K22" s="23">
        <f>IF((F22/$F$8)&gt;=$K$8,1,0)</f>
        <v/>
      </c>
      <c r="L22" s="23">
        <f>IF((G22/$G$8)&gt;=$L$8,1,0)</f>
        <v/>
      </c>
      <c r="M22" s="23">
        <f>IF((H22/$H$8)&gt;=$M$8,1,0)</f>
        <v/>
      </c>
      <c r="N22" s="21">
        <f>SUM(D22:H22)</f>
        <v/>
      </c>
      <c r="O22" s="23">
        <f>ROUND(N22/2,0)</f>
        <v/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9.5" customHeight="1" s="98">
      <c r="A23" s="47">
        <f>'Sessional + End Term Assessment'!A21</f>
        <v/>
      </c>
      <c r="B23" s="74">
        <f>'Sessional + End Term Assessment'!B21</f>
        <v/>
      </c>
      <c r="C23" s="74">
        <f>'Sessional + End Term Assessment'!C21</f>
        <v/>
      </c>
      <c r="D23" s="21">
        <f>'MID Term 1'!D20+'MID Term 2'!D20</f>
        <v/>
      </c>
      <c r="E23" s="21">
        <f>'MID Term 1'!H20+'MID Term 2'!E20</f>
        <v/>
      </c>
      <c r="F23" s="21">
        <f>'MID Term 1'!L20+'MID Term 2'!F20</f>
        <v/>
      </c>
      <c r="G23" s="21">
        <f>'MID Term 1'!P20+'MID Term 2'!J20</f>
        <v/>
      </c>
      <c r="H23" s="21">
        <f>'MID Term 1'!Q20+'MID Term 2'!N20</f>
        <v/>
      </c>
      <c r="I23" s="23">
        <f>IF((D23/$D$8)&gt;=$I$8,1,0)</f>
        <v/>
      </c>
      <c r="J23" s="23">
        <f>IF((E23/$E$8)&gt;=$J$8,1,0)</f>
        <v/>
      </c>
      <c r="K23" s="23">
        <f>IF((F23/$F$8)&gt;=$K$8,1,0)</f>
        <v/>
      </c>
      <c r="L23" s="23">
        <f>IF((G23/$G$8)&gt;=$L$8,1,0)</f>
        <v/>
      </c>
      <c r="M23" s="23">
        <f>IF((H23/$H$8)&gt;=$M$8,1,0)</f>
        <v/>
      </c>
      <c r="N23" s="21">
        <f>SUM(D23:H23)</f>
        <v/>
      </c>
      <c r="O23" s="23">
        <f>ROUND(N23/2,0)</f>
        <v/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9.5" customHeight="1" s="98">
      <c r="A24" s="47">
        <f>'Sessional + End Term Assessment'!A22</f>
        <v/>
      </c>
      <c r="B24" s="74">
        <f>'Sessional + End Term Assessment'!B22</f>
        <v/>
      </c>
      <c r="C24" s="74">
        <f>'Sessional + End Term Assessment'!C22</f>
        <v/>
      </c>
      <c r="D24" s="21">
        <f>'MID Term 1'!D21+'MID Term 2'!D21</f>
        <v/>
      </c>
      <c r="E24" s="21">
        <f>'MID Term 1'!H21+'MID Term 2'!E21</f>
        <v/>
      </c>
      <c r="F24" s="21">
        <f>'MID Term 1'!L21+'MID Term 2'!F21</f>
        <v/>
      </c>
      <c r="G24" s="21">
        <f>'MID Term 1'!P21+'MID Term 2'!J21</f>
        <v/>
      </c>
      <c r="H24" s="21">
        <f>'MID Term 1'!Q21+'MID Term 2'!N21</f>
        <v/>
      </c>
      <c r="I24" s="23">
        <f>IF((D24/$D$8)&gt;=$I$8,1,0)</f>
        <v/>
      </c>
      <c r="J24" s="23">
        <f>IF((E24/$E$8)&gt;=$J$8,1,0)</f>
        <v/>
      </c>
      <c r="K24" s="23">
        <f>IF((F24/$F$8)&gt;=$K$8,1,0)</f>
        <v/>
      </c>
      <c r="L24" s="23">
        <f>IF((G24/$G$8)&gt;=$L$8,1,0)</f>
        <v/>
      </c>
      <c r="M24" s="23">
        <f>IF((H24/$H$8)&gt;=$M$8,1,0)</f>
        <v/>
      </c>
      <c r="N24" s="21">
        <f>SUM(D24:H24)</f>
        <v/>
      </c>
      <c r="O24" s="23">
        <f>ROUND(N24/2,0)</f>
        <v/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9.5" customHeight="1" s="98">
      <c r="A25" s="47">
        <f>'Sessional + End Term Assessment'!A23</f>
        <v/>
      </c>
      <c r="B25" s="74">
        <f>'Sessional + End Term Assessment'!B23</f>
        <v/>
      </c>
      <c r="C25" s="74">
        <f>'Sessional + End Term Assessment'!C23</f>
        <v/>
      </c>
      <c r="D25" s="21">
        <f>'MID Term 1'!D22+'MID Term 2'!D22</f>
        <v/>
      </c>
      <c r="E25" s="21">
        <f>'MID Term 1'!H22+'MID Term 2'!E22</f>
        <v/>
      </c>
      <c r="F25" s="21">
        <f>'MID Term 1'!L22+'MID Term 2'!F22</f>
        <v/>
      </c>
      <c r="G25" s="21">
        <f>'MID Term 1'!P22+'MID Term 2'!J22</f>
        <v/>
      </c>
      <c r="H25" s="21">
        <f>'MID Term 1'!Q22+'MID Term 2'!N22</f>
        <v/>
      </c>
      <c r="I25" s="23">
        <f>IF((D25/$D$8)&gt;=$I$8,1,0)</f>
        <v/>
      </c>
      <c r="J25" s="23">
        <f>IF((E25/$E$8)&gt;=$J$8,1,0)</f>
        <v/>
      </c>
      <c r="K25" s="23">
        <f>IF((F25/$F$8)&gt;=$K$8,1,0)</f>
        <v/>
      </c>
      <c r="L25" s="23">
        <f>IF((G25/$G$8)&gt;=$L$8,1,0)</f>
        <v/>
      </c>
      <c r="M25" s="23">
        <f>IF((H25/$H$8)&gt;=$M$8,1,0)</f>
        <v/>
      </c>
      <c r="N25" s="21">
        <f>SUM(D25:H25)</f>
        <v/>
      </c>
      <c r="O25" s="23">
        <f>ROUND(N25/2,0)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9.5" customHeight="1" s="98">
      <c r="A26" s="47">
        <f>'Sessional + End Term Assessment'!A24</f>
        <v/>
      </c>
      <c r="B26" s="74">
        <f>'Sessional + End Term Assessment'!B24</f>
        <v/>
      </c>
      <c r="C26" s="74">
        <f>'Sessional + End Term Assessment'!C24</f>
        <v/>
      </c>
      <c r="D26" s="21">
        <f>'MID Term 1'!D23+'MID Term 2'!D23</f>
        <v/>
      </c>
      <c r="E26" s="21">
        <f>'MID Term 1'!H23+'MID Term 2'!E23</f>
        <v/>
      </c>
      <c r="F26" s="21">
        <f>'MID Term 1'!L23+'MID Term 2'!F23</f>
        <v/>
      </c>
      <c r="G26" s="21">
        <f>'MID Term 1'!P23+'MID Term 2'!J23</f>
        <v/>
      </c>
      <c r="H26" s="21">
        <f>'MID Term 1'!Q23+'MID Term 2'!N23</f>
        <v/>
      </c>
      <c r="I26" s="23">
        <f>IF((D26/$D$8)&gt;=$I$8,1,0)</f>
        <v/>
      </c>
      <c r="J26" s="23">
        <f>IF((E26/$E$8)&gt;=$J$8,1,0)</f>
        <v/>
      </c>
      <c r="K26" s="23">
        <f>IF((F26/$F$8)&gt;=$K$8,1,0)</f>
        <v/>
      </c>
      <c r="L26" s="23">
        <f>IF((G26/$G$8)&gt;=$L$8,1,0)</f>
        <v/>
      </c>
      <c r="M26" s="23">
        <f>IF((H26/$H$8)&gt;=$M$8,1,0)</f>
        <v/>
      </c>
      <c r="N26" s="21">
        <f>SUM(D26:H26)</f>
        <v/>
      </c>
      <c r="O26" s="23">
        <f>ROUND(N26/2,0)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9.5" customHeight="1" s="98">
      <c r="A27" s="47">
        <f>'Sessional + End Term Assessment'!A25</f>
        <v/>
      </c>
      <c r="B27" s="74">
        <f>'Sessional + End Term Assessment'!B25</f>
        <v/>
      </c>
      <c r="C27" s="74">
        <f>'Sessional + End Term Assessment'!C25</f>
        <v/>
      </c>
      <c r="D27" s="21">
        <f>'MID Term 1'!D24+'MID Term 2'!D24</f>
        <v/>
      </c>
      <c r="E27" s="21">
        <f>'MID Term 1'!H24+'MID Term 2'!E24</f>
        <v/>
      </c>
      <c r="F27" s="21">
        <f>'MID Term 1'!L24+'MID Term 2'!F24</f>
        <v/>
      </c>
      <c r="G27" s="21">
        <f>'MID Term 1'!P24+'MID Term 2'!J24</f>
        <v/>
      </c>
      <c r="H27" s="21">
        <f>'MID Term 1'!Q24+'MID Term 2'!N24</f>
        <v/>
      </c>
      <c r="I27" s="23">
        <f>IF((D27/$D$8)&gt;=$I$8,1,0)</f>
        <v/>
      </c>
      <c r="J27" s="23">
        <f>IF((E27/$E$8)&gt;=$J$8,1,0)</f>
        <v/>
      </c>
      <c r="K27" s="23">
        <f>IF((F27/$F$8)&gt;=$K$8,1,0)</f>
        <v/>
      </c>
      <c r="L27" s="23">
        <f>IF((G27/$G$8)&gt;=$L$8,1,0)</f>
        <v/>
      </c>
      <c r="M27" s="23">
        <f>IF((H27/$H$8)&gt;=$M$8,1,0)</f>
        <v/>
      </c>
      <c r="N27" s="21">
        <f>SUM(D27:H27)</f>
        <v/>
      </c>
      <c r="O27" s="23">
        <f>ROUND(N27/2,0)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9.5" customHeight="1" s="98">
      <c r="A28" s="47">
        <f>'Sessional + End Term Assessment'!A26</f>
        <v/>
      </c>
      <c r="B28" s="74">
        <f>'Sessional + End Term Assessment'!B26</f>
        <v/>
      </c>
      <c r="C28" s="74">
        <f>'Sessional + End Term Assessment'!C26</f>
        <v/>
      </c>
      <c r="D28" s="21">
        <f>'MID Term 1'!D25+'MID Term 2'!D25</f>
        <v/>
      </c>
      <c r="E28" s="21">
        <f>'MID Term 1'!H25+'MID Term 2'!E25</f>
        <v/>
      </c>
      <c r="F28" s="21">
        <f>'MID Term 1'!L25+'MID Term 2'!F25</f>
        <v/>
      </c>
      <c r="G28" s="21">
        <f>'MID Term 1'!P25+'MID Term 2'!J25</f>
        <v/>
      </c>
      <c r="H28" s="21">
        <f>'MID Term 1'!Q25+'MID Term 2'!N25</f>
        <v/>
      </c>
      <c r="I28" s="23">
        <f>IF((D28/$D$8)&gt;=$I$8,1,0)</f>
        <v/>
      </c>
      <c r="J28" s="23">
        <f>IF((E28/$E$8)&gt;=$J$8,1,0)</f>
        <v/>
      </c>
      <c r="K28" s="23">
        <f>IF((F28/$F$8)&gt;=$K$8,1,0)</f>
        <v/>
      </c>
      <c r="L28" s="23">
        <f>IF((G28/$G$8)&gt;=$L$8,1,0)</f>
        <v/>
      </c>
      <c r="M28" s="23">
        <f>IF((H28/$H$8)&gt;=$M$8,1,0)</f>
        <v/>
      </c>
      <c r="N28" s="21">
        <f>SUM(D28:H28)</f>
        <v/>
      </c>
      <c r="O28" s="23">
        <f>ROUND(N28/2,0)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9.5" customHeight="1" s="98">
      <c r="A29" s="47">
        <f>'Sessional + End Term Assessment'!A27</f>
        <v/>
      </c>
      <c r="B29" s="74">
        <f>'Sessional + End Term Assessment'!B27</f>
        <v/>
      </c>
      <c r="C29" s="74">
        <f>'Sessional + End Term Assessment'!C27</f>
        <v/>
      </c>
      <c r="D29" s="21">
        <f>'MID Term 1'!D26+'MID Term 2'!D26</f>
        <v/>
      </c>
      <c r="E29" s="21">
        <f>'MID Term 1'!H26+'MID Term 2'!E26</f>
        <v/>
      </c>
      <c r="F29" s="21">
        <f>'MID Term 1'!L26+'MID Term 2'!F26</f>
        <v/>
      </c>
      <c r="G29" s="21">
        <f>'MID Term 1'!P26+'MID Term 2'!J26</f>
        <v/>
      </c>
      <c r="H29" s="21">
        <f>'MID Term 1'!Q26+'MID Term 2'!N26</f>
        <v/>
      </c>
      <c r="I29" s="23">
        <f>IF((D29/$D$8)&gt;=$I$8,1,0)</f>
        <v/>
      </c>
      <c r="J29" s="23">
        <f>IF((E29/$E$8)&gt;=$J$8,1,0)</f>
        <v/>
      </c>
      <c r="K29" s="23">
        <f>IF((F29/$F$8)&gt;=$K$8,1,0)</f>
        <v/>
      </c>
      <c r="L29" s="23">
        <f>IF((G29/$G$8)&gt;=$L$8,1,0)</f>
        <v/>
      </c>
      <c r="M29" s="23">
        <f>IF((H29/$H$8)&gt;=$M$8,1,0)</f>
        <v/>
      </c>
      <c r="N29" s="21">
        <f>SUM(D29:H29)</f>
        <v/>
      </c>
      <c r="O29" s="23">
        <f>ROUND(N29/2,0)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9.5" customHeight="1" s="98">
      <c r="A30" s="47">
        <f>'Sessional + End Term Assessment'!A28</f>
        <v/>
      </c>
      <c r="B30" s="74">
        <f>'Sessional + End Term Assessment'!B28</f>
        <v/>
      </c>
      <c r="C30" s="74">
        <f>'Sessional + End Term Assessment'!C28</f>
        <v/>
      </c>
      <c r="D30" s="21">
        <f>'MID Term 1'!D27+'MID Term 2'!D27</f>
        <v/>
      </c>
      <c r="E30" s="21">
        <f>'MID Term 1'!H27+'MID Term 2'!E27</f>
        <v/>
      </c>
      <c r="F30" s="21">
        <f>'MID Term 1'!L27+'MID Term 2'!F27</f>
        <v/>
      </c>
      <c r="G30" s="21">
        <f>'MID Term 1'!P27+'MID Term 2'!J27</f>
        <v/>
      </c>
      <c r="H30" s="21">
        <f>'MID Term 1'!Q27+'MID Term 2'!N27</f>
        <v/>
      </c>
      <c r="I30" s="23">
        <f>IF((D30/$D$8)&gt;=$I$8,1,0)</f>
        <v/>
      </c>
      <c r="J30" s="23">
        <f>IF((E30/$E$8)&gt;=$J$8,1,0)</f>
        <v/>
      </c>
      <c r="K30" s="23">
        <f>IF((F30/$F$8)&gt;=$K$8,1,0)</f>
        <v/>
      </c>
      <c r="L30" s="23">
        <f>IF((G30/$G$8)&gt;=$L$8,1,0)</f>
        <v/>
      </c>
      <c r="M30" s="23">
        <f>IF((H30/$H$8)&gt;=$M$8,1,0)</f>
        <v/>
      </c>
      <c r="N30" s="21">
        <f>SUM(D30:H30)</f>
        <v/>
      </c>
      <c r="O30" s="23">
        <f>ROUND(N30/2,0)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9.5" customHeight="1" s="98">
      <c r="A31" s="47">
        <f>'Sessional + End Term Assessment'!A29</f>
        <v/>
      </c>
      <c r="B31" s="74">
        <f>'Sessional + End Term Assessment'!B29</f>
        <v/>
      </c>
      <c r="C31" s="74">
        <f>'Sessional + End Term Assessment'!C29</f>
        <v/>
      </c>
      <c r="D31" s="21">
        <f>'MID Term 1'!D28+'MID Term 2'!D28</f>
        <v/>
      </c>
      <c r="E31" s="21">
        <f>'MID Term 1'!H28+'MID Term 2'!E28</f>
        <v/>
      </c>
      <c r="F31" s="21">
        <f>'MID Term 1'!L28+'MID Term 2'!F28</f>
        <v/>
      </c>
      <c r="G31" s="21">
        <f>'MID Term 1'!P28+'MID Term 2'!J28</f>
        <v/>
      </c>
      <c r="H31" s="21">
        <f>'MID Term 1'!Q28+'MID Term 2'!N28</f>
        <v/>
      </c>
      <c r="I31" s="23">
        <f>IF((D31/$D$8)&gt;=$I$8,1,0)</f>
        <v/>
      </c>
      <c r="J31" s="23">
        <f>IF((E31/$E$8)&gt;=$J$8,1,0)</f>
        <v/>
      </c>
      <c r="K31" s="23">
        <f>IF((F31/$F$8)&gt;=$K$8,1,0)</f>
        <v/>
      </c>
      <c r="L31" s="23">
        <f>IF((G31/$G$8)&gt;=$L$8,1,0)</f>
        <v/>
      </c>
      <c r="M31" s="23">
        <f>IF((H31/$H$8)&gt;=$M$8,1,0)</f>
        <v/>
      </c>
      <c r="N31" s="21">
        <f>SUM(D31:H31)</f>
        <v/>
      </c>
      <c r="O31" s="23">
        <f>ROUND(N31/2,0)</f>
        <v/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9.5" customHeight="1" s="98">
      <c r="A32" s="47">
        <f>'Sessional + End Term Assessment'!A30</f>
        <v/>
      </c>
      <c r="B32" s="74">
        <f>'Sessional + End Term Assessment'!B30</f>
        <v/>
      </c>
      <c r="C32" s="74">
        <f>'Sessional + End Term Assessment'!C30</f>
        <v/>
      </c>
      <c r="D32" s="21">
        <f>'MID Term 1'!D29+'MID Term 2'!D29</f>
        <v/>
      </c>
      <c r="E32" s="21">
        <f>'MID Term 1'!H29+'MID Term 2'!E29</f>
        <v/>
      </c>
      <c r="F32" s="21">
        <f>'MID Term 1'!L29+'MID Term 2'!F29</f>
        <v/>
      </c>
      <c r="G32" s="21">
        <f>'MID Term 1'!P29+'MID Term 2'!J29</f>
        <v/>
      </c>
      <c r="H32" s="21">
        <f>'MID Term 1'!Q29+'MID Term 2'!N29</f>
        <v/>
      </c>
      <c r="I32" s="23">
        <f>IF((D32/$D$8)&gt;=$I$8,1,0)</f>
        <v/>
      </c>
      <c r="J32" s="23">
        <f>IF((E32/$E$8)&gt;=$J$8,1,0)</f>
        <v/>
      </c>
      <c r="K32" s="23">
        <f>IF((F32/$F$8)&gt;=$K$8,1,0)</f>
        <v/>
      </c>
      <c r="L32" s="23">
        <f>IF((G32/$G$8)&gt;=$L$8,1,0)</f>
        <v/>
      </c>
      <c r="M32" s="23">
        <f>IF((H32/$H$8)&gt;=$M$8,1,0)</f>
        <v/>
      </c>
      <c r="N32" s="21">
        <f>SUM(D32:H32)</f>
        <v/>
      </c>
      <c r="O32" s="23">
        <f>ROUND(N32/2,0)</f>
        <v/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9.5" customHeight="1" s="98">
      <c r="A33" s="47">
        <f>'Sessional + End Term Assessment'!A31</f>
        <v/>
      </c>
      <c r="B33" s="74">
        <f>'Sessional + End Term Assessment'!B31</f>
        <v/>
      </c>
      <c r="C33" s="74">
        <f>'Sessional + End Term Assessment'!C31</f>
        <v/>
      </c>
      <c r="D33" s="21">
        <f>'MID Term 1'!D30+'MID Term 2'!D30</f>
        <v/>
      </c>
      <c r="E33" s="21">
        <f>'MID Term 1'!H30+'MID Term 2'!E30</f>
        <v/>
      </c>
      <c r="F33" s="21">
        <f>'MID Term 1'!L30+'MID Term 2'!F30</f>
        <v/>
      </c>
      <c r="G33" s="21">
        <f>'MID Term 1'!P30+'MID Term 2'!J30</f>
        <v/>
      </c>
      <c r="H33" s="21">
        <f>'MID Term 1'!Q30+'MID Term 2'!N30</f>
        <v/>
      </c>
      <c r="I33" s="23">
        <f>IF((D33/$D$8)&gt;=$I$8,1,0)</f>
        <v/>
      </c>
      <c r="J33" s="23">
        <f>IF((E33/$E$8)&gt;=$J$8,1,0)</f>
        <v/>
      </c>
      <c r="K33" s="23">
        <f>IF((F33/$F$8)&gt;=$K$8,1,0)</f>
        <v/>
      </c>
      <c r="L33" s="23">
        <f>IF((G33/$G$8)&gt;=$L$8,1,0)</f>
        <v/>
      </c>
      <c r="M33" s="23">
        <f>IF((H33/$H$8)&gt;=$M$8,1,0)</f>
        <v/>
      </c>
      <c r="N33" s="21">
        <f>SUM(D33:H33)</f>
        <v/>
      </c>
      <c r="O33" s="23">
        <f>ROUND(N33/2,0)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9.5" customHeight="1" s="98">
      <c r="A34" s="47">
        <f>'Sessional + End Term Assessment'!A32</f>
        <v/>
      </c>
      <c r="B34" s="74">
        <f>'Sessional + End Term Assessment'!B32</f>
        <v/>
      </c>
      <c r="C34" s="74">
        <f>'Sessional + End Term Assessment'!C32</f>
        <v/>
      </c>
      <c r="D34" s="21">
        <f>'MID Term 1'!D31+'MID Term 2'!D31</f>
        <v/>
      </c>
      <c r="E34" s="21">
        <f>'MID Term 1'!H31+'MID Term 2'!E31</f>
        <v/>
      </c>
      <c r="F34" s="21">
        <f>'MID Term 1'!L31+'MID Term 2'!F31</f>
        <v/>
      </c>
      <c r="G34" s="21">
        <f>'MID Term 1'!P31+'MID Term 2'!J31</f>
        <v/>
      </c>
      <c r="H34" s="21">
        <f>'MID Term 1'!Q31+'MID Term 2'!N31</f>
        <v/>
      </c>
      <c r="I34" s="23">
        <f>IF((D34/$D$8)&gt;=$I$8,1,0)</f>
        <v/>
      </c>
      <c r="J34" s="23">
        <f>IF((E34/$E$8)&gt;=$J$8,1,0)</f>
        <v/>
      </c>
      <c r="K34" s="23">
        <f>IF((F34/$F$8)&gt;=$K$8,1,0)</f>
        <v/>
      </c>
      <c r="L34" s="23">
        <f>IF((G34/$G$8)&gt;=$L$8,1,0)</f>
        <v/>
      </c>
      <c r="M34" s="23">
        <f>IF((H34/$H$8)&gt;=$M$8,1,0)</f>
        <v/>
      </c>
      <c r="N34" s="21">
        <f>SUM(D34:H34)</f>
        <v/>
      </c>
      <c r="O34" s="23">
        <f>ROUND(N34/2,0)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9.5" customHeight="1" s="98">
      <c r="A35" s="47">
        <f>'Sessional + End Term Assessment'!A33</f>
        <v/>
      </c>
      <c r="B35" s="74">
        <f>'Sessional + End Term Assessment'!B33</f>
        <v/>
      </c>
      <c r="C35" s="74">
        <f>'Sessional + End Term Assessment'!C33</f>
        <v/>
      </c>
      <c r="D35" s="21">
        <f>'MID Term 1'!D32+'MID Term 2'!D32</f>
        <v/>
      </c>
      <c r="E35" s="21">
        <f>'MID Term 1'!H32+'MID Term 2'!E32</f>
        <v/>
      </c>
      <c r="F35" s="21">
        <f>'MID Term 1'!L32+'MID Term 2'!F32</f>
        <v/>
      </c>
      <c r="G35" s="21">
        <f>'MID Term 1'!P32+'MID Term 2'!J32</f>
        <v/>
      </c>
      <c r="H35" s="21">
        <f>'MID Term 1'!Q32+'MID Term 2'!N32</f>
        <v/>
      </c>
      <c r="I35" s="23">
        <f>IF((D35/$D$8)&gt;=$I$8,1,0)</f>
        <v/>
      </c>
      <c r="J35" s="23">
        <f>IF((E35/$E$8)&gt;=$J$8,1,0)</f>
        <v/>
      </c>
      <c r="K35" s="23">
        <f>IF((F35/$F$8)&gt;=$K$8,1,0)</f>
        <v/>
      </c>
      <c r="L35" s="23">
        <f>IF((G35/$G$8)&gt;=$L$8,1,0)</f>
        <v/>
      </c>
      <c r="M35" s="23">
        <f>IF((H35/$H$8)&gt;=$M$8,1,0)</f>
        <v/>
      </c>
      <c r="N35" s="21">
        <f>SUM(D35:H35)</f>
        <v/>
      </c>
      <c r="O35" s="23">
        <f>ROUND(N35/2,0)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9.5" customHeight="1" s="98">
      <c r="A36" s="47">
        <f>'Sessional + End Term Assessment'!A34</f>
        <v/>
      </c>
      <c r="B36" s="74">
        <f>'Sessional + End Term Assessment'!B34</f>
        <v/>
      </c>
      <c r="C36" s="74">
        <f>'Sessional + End Term Assessment'!C34</f>
        <v/>
      </c>
      <c r="D36" s="21">
        <f>'MID Term 1'!D33+'MID Term 2'!D33</f>
        <v/>
      </c>
      <c r="E36" s="21">
        <f>'MID Term 1'!H33+'MID Term 2'!E33</f>
        <v/>
      </c>
      <c r="F36" s="21">
        <f>'MID Term 1'!L33+'MID Term 2'!F33</f>
        <v/>
      </c>
      <c r="G36" s="21">
        <f>'MID Term 1'!P33+'MID Term 2'!J33</f>
        <v/>
      </c>
      <c r="H36" s="21">
        <f>'MID Term 1'!Q33+'MID Term 2'!N33</f>
        <v/>
      </c>
      <c r="I36" s="23">
        <f>IF((D36/$D$8)&gt;=$I$8,1,0)</f>
        <v/>
      </c>
      <c r="J36" s="23">
        <f>IF((E36/$E$8)&gt;=$J$8,1,0)</f>
        <v/>
      </c>
      <c r="K36" s="23">
        <f>IF((F36/$F$8)&gt;=$K$8,1,0)</f>
        <v/>
      </c>
      <c r="L36" s="23">
        <f>IF((G36/$G$8)&gt;=$L$8,1,0)</f>
        <v/>
      </c>
      <c r="M36" s="23">
        <f>IF((H36/$H$8)&gt;=$M$8,1,0)</f>
        <v/>
      </c>
      <c r="N36" s="21">
        <f>SUM(D36:H36)</f>
        <v/>
      </c>
      <c r="O36" s="23">
        <f>ROUND(N36/2,0)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9.5" customHeight="1" s="98">
      <c r="A37" s="47">
        <f>'Sessional + End Term Assessment'!A35</f>
        <v/>
      </c>
      <c r="B37" s="74">
        <f>'Sessional + End Term Assessment'!B35</f>
        <v/>
      </c>
      <c r="C37" s="74">
        <f>'Sessional + End Term Assessment'!C35</f>
        <v/>
      </c>
      <c r="D37" s="21">
        <f>'MID Term 1'!D34+'MID Term 2'!D34</f>
        <v/>
      </c>
      <c r="E37" s="21">
        <f>'MID Term 1'!H34+'MID Term 2'!E34</f>
        <v/>
      </c>
      <c r="F37" s="21">
        <f>'MID Term 1'!L34+'MID Term 2'!F34</f>
        <v/>
      </c>
      <c r="G37" s="21">
        <f>'MID Term 1'!P34+'MID Term 2'!J34</f>
        <v/>
      </c>
      <c r="H37" s="21">
        <f>'MID Term 1'!Q34+'MID Term 2'!N34</f>
        <v/>
      </c>
      <c r="I37" s="23">
        <f>IF((D37/$D$8)&gt;=$I$8,1,0)</f>
        <v/>
      </c>
      <c r="J37" s="23">
        <f>IF((E37/$E$8)&gt;=$J$8,1,0)</f>
        <v/>
      </c>
      <c r="K37" s="23">
        <f>IF((F37/$F$8)&gt;=$K$8,1,0)</f>
        <v/>
      </c>
      <c r="L37" s="23">
        <f>IF((G37/$G$8)&gt;=$L$8,1,0)</f>
        <v/>
      </c>
      <c r="M37" s="23">
        <f>IF((H37/$H$8)&gt;=$M$8,1,0)</f>
        <v/>
      </c>
      <c r="N37" s="21">
        <f>SUM(D37:H37)</f>
        <v/>
      </c>
      <c r="O37" s="23">
        <f>ROUND(N37/2,0)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9.5" customHeight="1" s="98">
      <c r="A38" s="47">
        <f>'Sessional + End Term Assessment'!A36</f>
        <v/>
      </c>
      <c r="B38" s="74">
        <f>'Sessional + End Term Assessment'!B36</f>
        <v/>
      </c>
      <c r="C38" s="74">
        <f>'Sessional + End Term Assessment'!C36</f>
        <v/>
      </c>
      <c r="D38" s="21">
        <f>'MID Term 1'!D35+'MID Term 2'!D35</f>
        <v/>
      </c>
      <c r="E38" s="21">
        <f>'MID Term 1'!H35+'MID Term 2'!E35</f>
        <v/>
      </c>
      <c r="F38" s="21">
        <f>'MID Term 1'!L35+'MID Term 2'!F35</f>
        <v/>
      </c>
      <c r="G38" s="21">
        <f>'MID Term 1'!P35+'MID Term 2'!J35</f>
        <v/>
      </c>
      <c r="H38" s="21">
        <f>'MID Term 1'!Q35+'MID Term 2'!N35</f>
        <v/>
      </c>
      <c r="I38" s="23">
        <f>IF((D38/$D$8)&gt;=$I$8,1,0)</f>
        <v/>
      </c>
      <c r="J38" s="23">
        <f>IF((E38/$E$8)&gt;=$J$8,1,0)</f>
        <v/>
      </c>
      <c r="K38" s="23">
        <f>IF((F38/$F$8)&gt;=$K$8,1,0)</f>
        <v/>
      </c>
      <c r="L38" s="23">
        <f>IF((G38/$G$8)&gt;=$L$8,1,0)</f>
        <v/>
      </c>
      <c r="M38" s="23">
        <f>IF((H38/$H$8)&gt;=$M$8,1,0)</f>
        <v/>
      </c>
      <c r="N38" s="21">
        <f>SUM(D38:H38)</f>
        <v/>
      </c>
      <c r="O38" s="23">
        <f>ROUND(N38/2,0)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9.5" customHeight="1" s="98">
      <c r="A39" s="47">
        <f>'Sessional + End Term Assessment'!A37</f>
        <v/>
      </c>
      <c r="B39" s="74">
        <f>'Sessional + End Term Assessment'!B37</f>
        <v/>
      </c>
      <c r="C39" s="74">
        <f>'Sessional + End Term Assessment'!C37</f>
        <v/>
      </c>
      <c r="D39" s="21">
        <f>'MID Term 1'!D36+'MID Term 2'!D36</f>
        <v/>
      </c>
      <c r="E39" s="21">
        <f>'MID Term 1'!H36+'MID Term 2'!E36</f>
        <v/>
      </c>
      <c r="F39" s="21">
        <f>'MID Term 1'!L36+'MID Term 2'!F36</f>
        <v/>
      </c>
      <c r="G39" s="21">
        <f>'MID Term 1'!P36+'MID Term 2'!J36</f>
        <v/>
      </c>
      <c r="H39" s="21">
        <f>'MID Term 1'!Q36+'MID Term 2'!N36</f>
        <v/>
      </c>
      <c r="I39" s="23">
        <f>IF((D39/$D$8)&gt;=$I$8,1,0)</f>
        <v/>
      </c>
      <c r="J39" s="23">
        <f>IF((E39/$E$8)&gt;=$J$8,1,0)</f>
        <v/>
      </c>
      <c r="K39" s="23">
        <f>IF((F39/$F$8)&gt;=$K$8,1,0)</f>
        <v/>
      </c>
      <c r="L39" s="23">
        <f>IF((G39/$G$8)&gt;=$L$8,1,0)</f>
        <v/>
      </c>
      <c r="M39" s="23">
        <f>IF((H39/$H$8)&gt;=$M$8,1,0)</f>
        <v/>
      </c>
      <c r="N39" s="21">
        <f>SUM(D39:H39)</f>
        <v/>
      </c>
      <c r="O39" s="23">
        <f>ROUND(N39/2,0)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9.5" customHeight="1" s="98">
      <c r="A40" s="47">
        <f>'Sessional + End Term Assessment'!A38</f>
        <v/>
      </c>
      <c r="B40" s="74">
        <f>'Sessional + End Term Assessment'!B38</f>
        <v/>
      </c>
      <c r="C40" s="74">
        <f>'Sessional + End Term Assessment'!C38</f>
        <v/>
      </c>
      <c r="D40" s="21">
        <f>'MID Term 1'!D37+'MID Term 2'!D37</f>
        <v/>
      </c>
      <c r="E40" s="21">
        <f>'MID Term 1'!H37+'MID Term 2'!E37</f>
        <v/>
      </c>
      <c r="F40" s="21">
        <f>'MID Term 1'!L37+'MID Term 2'!F37</f>
        <v/>
      </c>
      <c r="G40" s="21">
        <f>'MID Term 1'!P37+'MID Term 2'!J37</f>
        <v/>
      </c>
      <c r="H40" s="21">
        <f>'MID Term 1'!Q37+'MID Term 2'!N37</f>
        <v/>
      </c>
      <c r="I40" s="23">
        <f>IF((D40/$D$8)&gt;=$I$8,1,0)</f>
        <v/>
      </c>
      <c r="J40" s="23">
        <f>IF((E40/$E$8)&gt;=$J$8,1,0)</f>
        <v/>
      </c>
      <c r="K40" s="23">
        <f>IF((F40/$F$8)&gt;=$K$8,1,0)</f>
        <v/>
      </c>
      <c r="L40" s="23">
        <f>IF((G40/$G$8)&gt;=$L$8,1,0)</f>
        <v/>
      </c>
      <c r="M40" s="23">
        <f>IF((H40/$H$8)&gt;=$M$8,1,0)</f>
        <v/>
      </c>
      <c r="N40" s="21">
        <f>SUM(D40:H40)</f>
        <v/>
      </c>
      <c r="O40" s="23">
        <f>ROUND(N40/2,0)</f>
        <v/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9.5" customHeight="1" s="98">
      <c r="A41" s="47">
        <f>'Sessional + End Term Assessment'!A39</f>
        <v/>
      </c>
      <c r="B41" s="74">
        <f>'Sessional + End Term Assessment'!B39</f>
        <v/>
      </c>
      <c r="C41" s="74">
        <f>'Sessional + End Term Assessment'!C39</f>
        <v/>
      </c>
      <c r="D41" s="21">
        <f>'MID Term 1'!D38+'MID Term 2'!D38</f>
        <v/>
      </c>
      <c r="E41" s="21">
        <f>'MID Term 1'!H38+'MID Term 2'!E38</f>
        <v/>
      </c>
      <c r="F41" s="21">
        <f>'MID Term 1'!L38+'MID Term 2'!F38</f>
        <v/>
      </c>
      <c r="G41" s="21">
        <f>'MID Term 1'!P38+'MID Term 2'!J38</f>
        <v/>
      </c>
      <c r="H41" s="21">
        <f>'MID Term 1'!Q38+'MID Term 2'!N38</f>
        <v/>
      </c>
      <c r="I41" s="23">
        <f>IF((D41/$D$8)&gt;=$I$8,1,0)</f>
        <v/>
      </c>
      <c r="J41" s="23">
        <f>IF((E41/$E$8)&gt;=$J$8,1,0)</f>
        <v/>
      </c>
      <c r="K41" s="23">
        <f>IF((F41/$F$8)&gt;=$K$8,1,0)</f>
        <v/>
      </c>
      <c r="L41" s="23">
        <f>IF((G41/$G$8)&gt;=$L$8,1,0)</f>
        <v/>
      </c>
      <c r="M41" s="23">
        <f>IF((H41/$H$8)&gt;=$M$8,1,0)</f>
        <v/>
      </c>
      <c r="N41" s="21">
        <f>SUM(D41:H41)</f>
        <v/>
      </c>
      <c r="O41" s="23">
        <f>ROUND(N41/2,0)</f>
        <v/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9.5" customHeight="1" s="98">
      <c r="A42" s="47">
        <f>'Sessional + End Term Assessment'!A40</f>
        <v/>
      </c>
      <c r="B42" s="74">
        <f>'Sessional + End Term Assessment'!B40</f>
        <v/>
      </c>
      <c r="C42" s="74">
        <f>'Sessional + End Term Assessment'!C40</f>
        <v/>
      </c>
      <c r="D42" s="21">
        <f>'MID Term 1'!D39+'MID Term 2'!D39</f>
        <v/>
      </c>
      <c r="E42" s="21">
        <f>'MID Term 1'!H39+'MID Term 2'!E39</f>
        <v/>
      </c>
      <c r="F42" s="21">
        <f>'MID Term 1'!L39+'MID Term 2'!F39</f>
        <v/>
      </c>
      <c r="G42" s="21">
        <f>'MID Term 1'!P39+'MID Term 2'!J39</f>
        <v/>
      </c>
      <c r="H42" s="21">
        <f>'MID Term 1'!Q39+'MID Term 2'!N39</f>
        <v/>
      </c>
      <c r="I42" s="23">
        <f>IF((D42/$D$8)&gt;=$I$8,1,0)</f>
        <v/>
      </c>
      <c r="J42" s="23">
        <f>IF((E42/$E$8)&gt;=$J$8,1,0)</f>
        <v/>
      </c>
      <c r="K42" s="23">
        <f>IF((F42/$F$8)&gt;=$K$8,1,0)</f>
        <v/>
      </c>
      <c r="L42" s="23">
        <f>IF((G42/$G$8)&gt;=$L$8,1,0)</f>
        <v/>
      </c>
      <c r="M42" s="23">
        <f>IF((H42/$H$8)&gt;=$M$8,1,0)</f>
        <v/>
      </c>
      <c r="N42" s="21">
        <f>SUM(D42:H42)</f>
        <v/>
      </c>
      <c r="O42" s="23">
        <f>ROUND(N42/2,0)</f>
        <v/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9.5" customHeight="1" s="98">
      <c r="A43" s="47">
        <f>'Sessional + End Term Assessment'!A41</f>
        <v/>
      </c>
      <c r="B43" s="74">
        <f>'Sessional + End Term Assessment'!B41</f>
        <v/>
      </c>
      <c r="C43" s="74">
        <f>'Sessional + End Term Assessment'!C41</f>
        <v/>
      </c>
      <c r="D43" s="21">
        <f>'MID Term 1'!D40+'MID Term 2'!D40</f>
        <v/>
      </c>
      <c r="E43" s="21">
        <f>'MID Term 1'!H40+'MID Term 2'!E40</f>
        <v/>
      </c>
      <c r="F43" s="21">
        <f>'MID Term 1'!L40+'MID Term 2'!F40</f>
        <v/>
      </c>
      <c r="G43" s="21">
        <f>'MID Term 1'!P40+'MID Term 2'!J40</f>
        <v/>
      </c>
      <c r="H43" s="21">
        <f>'MID Term 1'!Q40+'MID Term 2'!N40</f>
        <v/>
      </c>
      <c r="I43" s="23">
        <f>IF((D43/$D$8)&gt;=$I$8,1,0)</f>
        <v/>
      </c>
      <c r="J43" s="23">
        <f>IF((E43/$E$8)&gt;=$J$8,1,0)</f>
        <v/>
      </c>
      <c r="K43" s="23">
        <f>IF((F43/$F$8)&gt;=$K$8,1,0)</f>
        <v/>
      </c>
      <c r="L43" s="23">
        <f>IF((G43/$G$8)&gt;=$L$8,1,0)</f>
        <v/>
      </c>
      <c r="M43" s="23">
        <f>IF((H43/$H$8)&gt;=$M$8,1,0)</f>
        <v/>
      </c>
      <c r="N43" s="21">
        <f>SUM(D43:H43)</f>
        <v/>
      </c>
      <c r="O43" s="23">
        <f>ROUND(N43/2,0)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9.5" customHeight="1" s="98">
      <c r="A44" s="47">
        <f>'Sessional + End Term Assessment'!A42</f>
        <v/>
      </c>
      <c r="B44" s="74">
        <f>'Sessional + End Term Assessment'!B42</f>
        <v/>
      </c>
      <c r="C44" s="74">
        <f>'Sessional + End Term Assessment'!C42</f>
        <v/>
      </c>
      <c r="D44" s="21">
        <f>'MID Term 1'!D41+'MID Term 2'!D41</f>
        <v/>
      </c>
      <c r="E44" s="21">
        <f>'MID Term 1'!H41+'MID Term 2'!E41</f>
        <v/>
      </c>
      <c r="F44" s="21">
        <f>'MID Term 1'!L41+'MID Term 2'!F41</f>
        <v/>
      </c>
      <c r="G44" s="21">
        <f>'MID Term 1'!P41+'MID Term 2'!J41</f>
        <v/>
      </c>
      <c r="H44" s="21">
        <f>'MID Term 1'!Q41+'MID Term 2'!N41</f>
        <v/>
      </c>
      <c r="I44" s="23">
        <f>IF((D44/$D$8)&gt;=$I$8,1,0)</f>
        <v/>
      </c>
      <c r="J44" s="23">
        <f>IF((E44/$E$8)&gt;=$J$8,1,0)</f>
        <v/>
      </c>
      <c r="K44" s="23">
        <f>IF((F44/$F$8)&gt;=$K$8,1,0)</f>
        <v/>
      </c>
      <c r="L44" s="23">
        <f>IF((G44/$G$8)&gt;=$L$8,1,0)</f>
        <v/>
      </c>
      <c r="M44" s="23">
        <f>IF((H44/$H$8)&gt;=$M$8,1,0)</f>
        <v/>
      </c>
      <c r="N44" s="21">
        <f>SUM(D44:H44)</f>
        <v/>
      </c>
      <c r="O44" s="23">
        <f>ROUND(N44/2,0)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9.5" customHeight="1" s="98">
      <c r="A45" s="47">
        <f>'Sessional + End Term Assessment'!A43</f>
        <v/>
      </c>
      <c r="B45" s="74">
        <f>'Sessional + End Term Assessment'!B43</f>
        <v/>
      </c>
      <c r="C45" s="74">
        <f>'Sessional + End Term Assessment'!C43</f>
        <v/>
      </c>
      <c r="D45" s="21">
        <f>'MID Term 1'!D42+'MID Term 2'!D42</f>
        <v/>
      </c>
      <c r="E45" s="21">
        <f>'MID Term 1'!H42+'MID Term 2'!E42</f>
        <v/>
      </c>
      <c r="F45" s="21">
        <f>'MID Term 1'!L42+'MID Term 2'!F42</f>
        <v/>
      </c>
      <c r="G45" s="21">
        <f>'MID Term 1'!P42+'MID Term 2'!J42</f>
        <v/>
      </c>
      <c r="H45" s="21">
        <f>'MID Term 1'!Q42+'MID Term 2'!N42</f>
        <v/>
      </c>
      <c r="I45" s="23">
        <f>IF((D45/$D$8)&gt;=$I$8,1,0)</f>
        <v/>
      </c>
      <c r="J45" s="23">
        <f>IF((E45/$E$8)&gt;=$J$8,1,0)</f>
        <v/>
      </c>
      <c r="K45" s="23">
        <f>IF((F45/$F$8)&gt;=$K$8,1,0)</f>
        <v/>
      </c>
      <c r="L45" s="23">
        <f>IF((G45/$G$8)&gt;=$L$8,1,0)</f>
        <v/>
      </c>
      <c r="M45" s="23">
        <f>IF((H45/$H$8)&gt;=$M$8,1,0)</f>
        <v/>
      </c>
      <c r="N45" s="21">
        <f>SUM(D45:H45)</f>
        <v/>
      </c>
      <c r="O45" s="23">
        <f>ROUND(N45/2,0)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9.5" customHeight="1" s="98">
      <c r="A46" s="47">
        <f>'Sessional + End Term Assessment'!A44</f>
        <v/>
      </c>
      <c r="B46" s="74">
        <f>'Sessional + End Term Assessment'!B44</f>
        <v/>
      </c>
      <c r="C46" s="74">
        <f>'Sessional + End Term Assessment'!C44</f>
        <v/>
      </c>
      <c r="D46" s="21">
        <f>'MID Term 1'!D43+'MID Term 2'!D43</f>
        <v/>
      </c>
      <c r="E46" s="21">
        <f>'MID Term 1'!H43+'MID Term 2'!E43</f>
        <v/>
      </c>
      <c r="F46" s="21">
        <f>'MID Term 1'!L43+'MID Term 2'!F43</f>
        <v/>
      </c>
      <c r="G46" s="21">
        <f>'MID Term 1'!P43+'MID Term 2'!J43</f>
        <v/>
      </c>
      <c r="H46" s="21">
        <f>'MID Term 1'!Q43+'MID Term 2'!N43</f>
        <v/>
      </c>
      <c r="I46" s="23">
        <f>IF((D46/$D$8)&gt;=$I$8,1,0)</f>
        <v/>
      </c>
      <c r="J46" s="23">
        <f>IF((E46/$E$8)&gt;=$J$8,1,0)</f>
        <v/>
      </c>
      <c r="K46" s="23">
        <f>IF((F46/$F$8)&gt;=$K$8,1,0)</f>
        <v/>
      </c>
      <c r="L46" s="23">
        <f>IF((G46/$G$8)&gt;=$L$8,1,0)</f>
        <v/>
      </c>
      <c r="M46" s="23">
        <f>IF((H46/$H$8)&gt;=$M$8,1,0)</f>
        <v/>
      </c>
      <c r="N46" s="21">
        <f>SUM(D46:H46)</f>
        <v/>
      </c>
      <c r="O46" s="23">
        <f>ROUND(N46/2,0)</f>
        <v/>
      </c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9.5" customHeight="1" s="98">
      <c r="A47" s="47">
        <f>'Sessional + End Term Assessment'!A45</f>
        <v/>
      </c>
      <c r="B47" s="74">
        <f>'Sessional + End Term Assessment'!B45</f>
        <v/>
      </c>
      <c r="C47" s="74">
        <f>'Sessional + End Term Assessment'!C45</f>
        <v/>
      </c>
      <c r="D47" s="21">
        <f>'MID Term 1'!D44+'MID Term 2'!D44</f>
        <v/>
      </c>
      <c r="E47" s="21">
        <f>'MID Term 1'!H44+'MID Term 2'!E44</f>
        <v/>
      </c>
      <c r="F47" s="21">
        <f>'MID Term 1'!L44+'MID Term 2'!F44</f>
        <v/>
      </c>
      <c r="G47" s="21">
        <f>'MID Term 1'!P44+'MID Term 2'!J44</f>
        <v/>
      </c>
      <c r="H47" s="21">
        <f>'MID Term 1'!Q44+'MID Term 2'!N44</f>
        <v/>
      </c>
      <c r="I47" s="23">
        <f>IF((D47/$D$8)&gt;=$I$8,1,0)</f>
        <v/>
      </c>
      <c r="J47" s="23">
        <f>IF((E47/$E$8)&gt;=$J$8,1,0)</f>
        <v/>
      </c>
      <c r="K47" s="23">
        <f>IF((F47/$F$8)&gt;=$K$8,1,0)</f>
        <v/>
      </c>
      <c r="L47" s="23">
        <f>IF((G47/$G$8)&gt;=$L$8,1,0)</f>
        <v/>
      </c>
      <c r="M47" s="23">
        <f>IF((H47/$H$8)&gt;=$M$8,1,0)</f>
        <v/>
      </c>
      <c r="N47" s="21">
        <f>SUM(D47:H47)</f>
        <v/>
      </c>
      <c r="O47" s="23">
        <f>ROUND(N47/2,0)</f>
        <v/>
      </c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9.5" customHeight="1" s="98">
      <c r="A48" s="47">
        <f>'Sessional + End Term Assessment'!A46</f>
        <v/>
      </c>
      <c r="B48" s="74">
        <f>'Sessional + End Term Assessment'!B46</f>
        <v/>
      </c>
      <c r="C48" s="74">
        <f>'Sessional + End Term Assessment'!C46</f>
        <v/>
      </c>
      <c r="D48" s="21">
        <f>'MID Term 1'!D45+'MID Term 2'!D45</f>
        <v/>
      </c>
      <c r="E48" s="21">
        <f>'MID Term 1'!H45+'MID Term 2'!E45</f>
        <v/>
      </c>
      <c r="F48" s="21">
        <f>'MID Term 1'!L45+'MID Term 2'!F45</f>
        <v/>
      </c>
      <c r="G48" s="21">
        <f>'MID Term 1'!P45+'MID Term 2'!J45</f>
        <v/>
      </c>
      <c r="H48" s="21">
        <f>'MID Term 1'!Q45+'MID Term 2'!N45</f>
        <v/>
      </c>
      <c r="I48" s="23">
        <f>IF((D48/$D$8)&gt;=$I$8,1,0)</f>
        <v/>
      </c>
      <c r="J48" s="23">
        <f>IF((E48/$E$8)&gt;=$J$8,1,0)</f>
        <v/>
      </c>
      <c r="K48" s="23">
        <f>IF((F48/$F$8)&gt;=$K$8,1,0)</f>
        <v/>
      </c>
      <c r="L48" s="23">
        <f>IF((G48/$G$8)&gt;=$L$8,1,0)</f>
        <v/>
      </c>
      <c r="M48" s="23">
        <f>IF((H48/$H$8)&gt;=$M$8,1,0)</f>
        <v/>
      </c>
      <c r="N48" s="21">
        <f>SUM(D48:H48)</f>
        <v/>
      </c>
      <c r="O48" s="23">
        <f>ROUND(N48/2,0)</f>
        <v/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9.5" customHeight="1" s="98">
      <c r="A49" s="47">
        <f>'Sessional + End Term Assessment'!A47</f>
        <v/>
      </c>
      <c r="B49" s="74">
        <f>'Sessional + End Term Assessment'!B47</f>
        <v/>
      </c>
      <c r="C49" s="74">
        <f>'Sessional + End Term Assessment'!C47</f>
        <v/>
      </c>
      <c r="D49" s="21">
        <f>'MID Term 1'!D46+'MID Term 2'!D46</f>
        <v/>
      </c>
      <c r="E49" s="21">
        <f>'MID Term 1'!H46+'MID Term 2'!E46</f>
        <v/>
      </c>
      <c r="F49" s="21">
        <f>'MID Term 1'!L46+'MID Term 2'!F46</f>
        <v/>
      </c>
      <c r="G49" s="21">
        <f>'MID Term 1'!P46+'MID Term 2'!J46</f>
        <v/>
      </c>
      <c r="H49" s="21">
        <f>'MID Term 1'!Q46+'MID Term 2'!N46</f>
        <v/>
      </c>
      <c r="I49" s="23">
        <f>IF((D49/$D$8)&gt;=$I$8,1,0)</f>
        <v/>
      </c>
      <c r="J49" s="23">
        <f>IF((E49/$E$8)&gt;=$J$8,1,0)</f>
        <v/>
      </c>
      <c r="K49" s="23">
        <f>IF((F49/$F$8)&gt;=$K$8,1,0)</f>
        <v/>
      </c>
      <c r="L49" s="23">
        <f>IF((G49/$G$8)&gt;=$L$8,1,0)</f>
        <v/>
      </c>
      <c r="M49" s="23">
        <f>IF((H49/$H$8)&gt;=$M$8,1,0)</f>
        <v/>
      </c>
      <c r="N49" s="21">
        <f>SUM(D49:H49)</f>
        <v/>
      </c>
      <c r="O49" s="23">
        <f>ROUND(N49/2,0)</f>
        <v/>
      </c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9.5" customHeight="1" s="98">
      <c r="A50" s="47">
        <f>'Sessional + End Term Assessment'!A48</f>
        <v/>
      </c>
      <c r="B50" s="74">
        <f>'Sessional + End Term Assessment'!B48</f>
        <v/>
      </c>
      <c r="C50" s="74">
        <f>'Sessional + End Term Assessment'!C48</f>
        <v/>
      </c>
      <c r="D50" s="21">
        <f>'MID Term 1'!D47+'MID Term 2'!D47</f>
        <v/>
      </c>
      <c r="E50" s="21">
        <f>'MID Term 1'!H47+'MID Term 2'!E47</f>
        <v/>
      </c>
      <c r="F50" s="21">
        <f>'MID Term 1'!L47+'MID Term 2'!F47</f>
        <v/>
      </c>
      <c r="G50" s="21">
        <f>'MID Term 1'!P47+'MID Term 2'!J47</f>
        <v/>
      </c>
      <c r="H50" s="21">
        <f>'MID Term 1'!Q47+'MID Term 2'!N47</f>
        <v/>
      </c>
      <c r="I50" s="23">
        <f>IF((D50/$D$8)&gt;=$I$8,1,0)</f>
        <v/>
      </c>
      <c r="J50" s="23">
        <f>IF((E50/$E$8)&gt;=$J$8,1,0)</f>
        <v/>
      </c>
      <c r="K50" s="23">
        <f>IF((F50/$F$8)&gt;=$K$8,1,0)</f>
        <v/>
      </c>
      <c r="L50" s="23">
        <f>IF((G50/$G$8)&gt;=$L$8,1,0)</f>
        <v/>
      </c>
      <c r="M50" s="23">
        <f>IF((H50/$H$8)&gt;=$M$8,1,0)</f>
        <v/>
      </c>
      <c r="N50" s="21">
        <f>SUM(D50:H50)</f>
        <v/>
      </c>
      <c r="O50" s="23">
        <f>ROUND(N50/2,0)</f>
        <v/>
      </c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9.5" customHeight="1" s="98">
      <c r="A51" s="47">
        <f>'Sessional + End Term Assessment'!A49</f>
        <v/>
      </c>
      <c r="B51" s="74">
        <f>'Sessional + End Term Assessment'!B49</f>
        <v/>
      </c>
      <c r="C51" s="74">
        <f>'Sessional + End Term Assessment'!C49</f>
        <v/>
      </c>
      <c r="D51" s="21">
        <f>'MID Term 1'!D48+'MID Term 2'!D48</f>
        <v/>
      </c>
      <c r="E51" s="21">
        <f>'MID Term 1'!H48+'MID Term 2'!E48</f>
        <v/>
      </c>
      <c r="F51" s="21">
        <f>'MID Term 1'!L48+'MID Term 2'!F48</f>
        <v/>
      </c>
      <c r="G51" s="21">
        <f>'MID Term 1'!P48+'MID Term 2'!J48</f>
        <v/>
      </c>
      <c r="H51" s="21">
        <f>'MID Term 1'!Q48+'MID Term 2'!N48</f>
        <v/>
      </c>
      <c r="I51" s="23">
        <f>IF((D51/$D$8)&gt;=$I$8,1,0)</f>
        <v/>
      </c>
      <c r="J51" s="23">
        <f>IF((E51/$E$8)&gt;=$J$8,1,0)</f>
        <v/>
      </c>
      <c r="K51" s="23">
        <f>IF((F51/$F$8)&gt;=$K$8,1,0)</f>
        <v/>
      </c>
      <c r="L51" s="23">
        <f>IF((G51/$G$8)&gt;=$L$8,1,0)</f>
        <v/>
      </c>
      <c r="M51" s="23">
        <f>IF((H51/$H$8)&gt;=$M$8,1,0)</f>
        <v/>
      </c>
      <c r="N51" s="21">
        <f>SUM(D51:H51)</f>
        <v/>
      </c>
      <c r="O51" s="23">
        <f>ROUND(N51/2,0)</f>
        <v/>
      </c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9.5" customHeight="1" s="98">
      <c r="A52" s="47">
        <f>'Sessional + End Term Assessment'!A50</f>
        <v/>
      </c>
      <c r="B52" s="74">
        <f>'Sessional + End Term Assessment'!B50</f>
        <v/>
      </c>
      <c r="C52" s="74">
        <f>'Sessional + End Term Assessment'!C50</f>
        <v/>
      </c>
      <c r="D52" s="21">
        <f>'MID Term 1'!D49+'MID Term 2'!D49</f>
        <v/>
      </c>
      <c r="E52" s="21">
        <f>'MID Term 1'!H49+'MID Term 2'!E49</f>
        <v/>
      </c>
      <c r="F52" s="21">
        <f>'MID Term 1'!L49+'MID Term 2'!F49</f>
        <v/>
      </c>
      <c r="G52" s="21">
        <f>'MID Term 1'!P49+'MID Term 2'!J49</f>
        <v/>
      </c>
      <c r="H52" s="21">
        <f>'MID Term 1'!Q49+'MID Term 2'!N49</f>
        <v/>
      </c>
      <c r="I52" s="23">
        <f>IF((D52/$D$8)&gt;=$I$8,1,0)</f>
        <v/>
      </c>
      <c r="J52" s="23">
        <f>IF((E52/$E$8)&gt;=$J$8,1,0)</f>
        <v/>
      </c>
      <c r="K52" s="23">
        <f>IF((F52/$F$8)&gt;=$K$8,1,0)</f>
        <v/>
      </c>
      <c r="L52" s="23">
        <f>IF((G52/$G$8)&gt;=$L$8,1,0)</f>
        <v/>
      </c>
      <c r="M52" s="23">
        <f>IF((H52/$H$8)&gt;=$M$8,1,0)</f>
        <v/>
      </c>
      <c r="N52" s="21">
        <f>SUM(D52:H52)</f>
        <v/>
      </c>
      <c r="O52" s="23">
        <f>ROUND(N52/2,0)</f>
        <v/>
      </c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9.5" customHeight="1" s="98">
      <c r="A53" s="47">
        <f>'Sessional + End Term Assessment'!A51</f>
        <v/>
      </c>
      <c r="B53" s="74">
        <f>'Sessional + End Term Assessment'!B51</f>
        <v/>
      </c>
      <c r="C53" s="74">
        <f>'Sessional + End Term Assessment'!C51</f>
        <v/>
      </c>
      <c r="D53" s="21">
        <f>'MID Term 1'!D50+'MID Term 2'!D50</f>
        <v/>
      </c>
      <c r="E53" s="21">
        <f>'MID Term 1'!H50+'MID Term 2'!E50</f>
        <v/>
      </c>
      <c r="F53" s="21">
        <f>'MID Term 1'!L50+'MID Term 2'!F50</f>
        <v/>
      </c>
      <c r="G53" s="21">
        <f>'MID Term 1'!P50+'MID Term 2'!J50</f>
        <v/>
      </c>
      <c r="H53" s="21">
        <f>'MID Term 1'!Q50+'MID Term 2'!N50</f>
        <v/>
      </c>
      <c r="I53" s="23">
        <f>IF((D53/$D$8)&gt;=$I$8,1,0)</f>
        <v/>
      </c>
      <c r="J53" s="23">
        <f>IF((E53/$E$8)&gt;=$J$8,1,0)</f>
        <v/>
      </c>
      <c r="K53" s="23">
        <f>IF((F53/$F$8)&gt;=$K$8,1,0)</f>
        <v/>
      </c>
      <c r="L53" s="23">
        <f>IF((G53/$G$8)&gt;=$L$8,1,0)</f>
        <v/>
      </c>
      <c r="M53" s="23">
        <f>IF((H53/$H$8)&gt;=$M$8,1,0)</f>
        <v/>
      </c>
      <c r="N53" s="21">
        <f>SUM(D53:H53)</f>
        <v/>
      </c>
      <c r="O53" s="23">
        <f>ROUND(N53/2,0)</f>
        <v/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9.5" customHeight="1" s="98">
      <c r="A54" s="47">
        <f>'Sessional + End Term Assessment'!A52</f>
        <v/>
      </c>
      <c r="B54" s="74">
        <f>'Sessional + End Term Assessment'!B52</f>
        <v/>
      </c>
      <c r="C54" s="74">
        <f>'Sessional + End Term Assessment'!C52</f>
        <v/>
      </c>
      <c r="D54" s="21">
        <f>'MID Term 1'!D51+'MID Term 2'!D51</f>
        <v/>
      </c>
      <c r="E54" s="21">
        <f>'MID Term 1'!H51+'MID Term 2'!E51</f>
        <v/>
      </c>
      <c r="F54" s="21">
        <f>'MID Term 1'!L51+'MID Term 2'!F51</f>
        <v/>
      </c>
      <c r="G54" s="21">
        <f>'MID Term 1'!P51+'MID Term 2'!J51</f>
        <v/>
      </c>
      <c r="H54" s="21">
        <f>'MID Term 1'!Q51+'MID Term 2'!N51</f>
        <v/>
      </c>
      <c r="I54" s="23">
        <f>IF((D54/$D$8)&gt;=$I$8,1,0)</f>
        <v/>
      </c>
      <c r="J54" s="23">
        <f>IF((E54/$E$8)&gt;=$J$8,1,0)</f>
        <v/>
      </c>
      <c r="K54" s="23">
        <f>IF((F54/$F$8)&gt;=$K$8,1,0)</f>
        <v/>
      </c>
      <c r="L54" s="23">
        <f>IF((G54/$G$8)&gt;=$L$8,1,0)</f>
        <v/>
      </c>
      <c r="M54" s="23">
        <f>IF((H54/$H$8)&gt;=$M$8,1,0)</f>
        <v/>
      </c>
      <c r="N54" s="21">
        <f>SUM(D54:H54)</f>
        <v/>
      </c>
      <c r="O54" s="23">
        <f>ROUND(N54/2,0)</f>
        <v/>
      </c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9.5" customHeight="1" s="98">
      <c r="A55" s="47">
        <f>'Sessional + End Term Assessment'!A53</f>
        <v/>
      </c>
      <c r="B55" s="74">
        <f>'Sessional + End Term Assessment'!B53</f>
        <v/>
      </c>
      <c r="C55" s="74">
        <f>'Sessional + End Term Assessment'!C53</f>
        <v/>
      </c>
      <c r="D55" s="21">
        <f>'MID Term 1'!D52+'MID Term 2'!D52</f>
        <v/>
      </c>
      <c r="E55" s="21">
        <f>'MID Term 1'!H52+'MID Term 2'!E52</f>
        <v/>
      </c>
      <c r="F55" s="21">
        <f>'MID Term 1'!L52+'MID Term 2'!F52</f>
        <v/>
      </c>
      <c r="G55" s="21">
        <f>'MID Term 1'!P52+'MID Term 2'!J52</f>
        <v/>
      </c>
      <c r="H55" s="21">
        <f>'MID Term 1'!Q52+'MID Term 2'!N52</f>
        <v/>
      </c>
      <c r="I55" s="23">
        <f>IF((D55/$D$8)&gt;=$I$8,1,0)</f>
        <v/>
      </c>
      <c r="J55" s="23">
        <f>IF((E55/$E$8)&gt;=$J$8,1,0)</f>
        <v/>
      </c>
      <c r="K55" s="23">
        <f>IF((F55/$F$8)&gt;=$K$8,1,0)</f>
        <v/>
      </c>
      <c r="L55" s="23">
        <f>IF((G55/$G$8)&gt;=$L$8,1,0)</f>
        <v/>
      </c>
      <c r="M55" s="23">
        <f>IF((H55/$H$8)&gt;=$M$8,1,0)</f>
        <v/>
      </c>
      <c r="N55" s="21">
        <f>SUM(D55:H55)</f>
        <v/>
      </c>
      <c r="O55" s="23">
        <f>ROUND(N55/2,0)</f>
        <v/>
      </c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9.5" customHeight="1" s="98">
      <c r="A56" s="47">
        <f>'Sessional + End Term Assessment'!A54</f>
        <v/>
      </c>
      <c r="B56" s="74">
        <f>'Sessional + End Term Assessment'!B54</f>
        <v/>
      </c>
      <c r="C56" s="74">
        <f>'Sessional + End Term Assessment'!C54</f>
        <v/>
      </c>
      <c r="D56" s="21">
        <f>'MID Term 1'!D53+'MID Term 2'!D53</f>
        <v/>
      </c>
      <c r="E56" s="21">
        <f>'MID Term 1'!H53+'MID Term 2'!E53</f>
        <v/>
      </c>
      <c r="F56" s="21">
        <f>'MID Term 1'!L53+'MID Term 2'!F53</f>
        <v/>
      </c>
      <c r="G56" s="21">
        <f>'MID Term 1'!P53+'MID Term 2'!J53</f>
        <v/>
      </c>
      <c r="H56" s="21">
        <f>'MID Term 1'!Q53+'MID Term 2'!N53</f>
        <v/>
      </c>
      <c r="I56" s="23">
        <f>IF((D56/$D$8)&gt;=$I$8,1,0)</f>
        <v/>
      </c>
      <c r="J56" s="23">
        <f>IF((E56/$E$8)&gt;=$J$8,1,0)</f>
        <v/>
      </c>
      <c r="K56" s="23">
        <f>IF((F56/$F$8)&gt;=$K$8,1,0)</f>
        <v/>
      </c>
      <c r="L56" s="23">
        <f>IF((G56/$G$8)&gt;=$L$8,1,0)</f>
        <v/>
      </c>
      <c r="M56" s="23">
        <f>IF((H56/$H$8)&gt;=$M$8,1,0)</f>
        <v/>
      </c>
      <c r="N56" s="21">
        <f>SUM(D56:H56)</f>
        <v/>
      </c>
      <c r="O56" s="23">
        <f>ROUND(N56/2,0)</f>
        <v/>
      </c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9.5" customHeight="1" s="98">
      <c r="A57" s="47">
        <f>'Sessional + End Term Assessment'!A55</f>
        <v/>
      </c>
      <c r="B57" s="74">
        <f>'Sessional + End Term Assessment'!B55</f>
        <v/>
      </c>
      <c r="C57" s="74">
        <f>'Sessional + End Term Assessment'!C55</f>
        <v/>
      </c>
      <c r="D57" s="21">
        <f>'MID Term 1'!D54+'MID Term 2'!D54</f>
        <v/>
      </c>
      <c r="E57" s="21">
        <f>'MID Term 1'!H54+'MID Term 2'!E54</f>
        <v/>
      </c>
      <c r="F57" s="21">
        <f>'MID Term 1'!L54+'MID Term 2'!F54</f>
        <v/>
      </c>
      <c r="G57" s="21">
        <f>'MID Term 1'!P54+'MID Term 2'!J54</f>
        <v/>
      </c>
      <c r="H57" s="21">
        <f>'MID Term 1'!Q54+'MID Term 2'!N54</f>
        <v/>
      </c>
      <c r="I57" s="23">
        <f>IF((D57/$D$8)&gt;=$I$8,1,0)</f>
        <v/>
      </c>
      <c r="J57" s="23">
        <f>IF((E57/$E$8)&gt;=$J$8,1,0)</f>
        <v/>
      </c>
      <c r="K57" s="23">
        <f>IF((F57/$F$8)&gt;=$K$8,1,0)</f>
        <v/>
      </c>
      <c r="L57" s="23">
        <f>IF((G57/$G$8)&gt;=$L$8,1,0)</f>
        <v/>
      </c>
      <c r="M57" s="23">
        <f>IF((H57/$H$8)&gt;=$M$8,1,0)</f>
        <v/>
      </c>
      <c r="N57" s="21">
        <f>SUM(D57:H57)</f>
        <v/>
      </c>
      <c r="O57" s="23">
        <f>ROUND(N57/2,0)</f>
        <v/>
      </c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9.5" customHeight="1" s="98">
      <c r="A58" s="47">
        <f>'Sessional + End Term Assessment'!A56</f>
        <v/>
      </c>
      <c r="B58" s="74">
        <f>'Sessional + End Term Assessment'!B56</f>
        <v/>
      </c>
      <c r="C58" s="74">
        <f>'Sessional + End Term Assessment'!C56</f>
        <v/>
      </c>
      <c r="D58" s="21">
        <f>'MID Term 1'!D55+'MID Term 2'!D55</f>
        <v/>
      </c>
      <c r="E58" s="21">
        <f>'MID Term 1'!H55+'MID Term 2'!E55</f>
        <v/>
      </c>
      <c r="F58" s="21">
        <f>'MID Term 1'!L55+'MID Term 2'!F55</f>
        <v/>
      </c>
      <c r="G58" s="21">
        <f>'MID Term 1'!P55+'MID Term 2'!J55</f>
        <v/>
      </c>
      <c r="H58" s="21">
        <f>'MID Term 1'!Q55+'MID Term 2'!N55</f>
        <v/>
      </c>
      <c r="I58" s="23">
        <f>IF((D58/$D$8)&gt;=$I$8,1,0)</f>
        <v/>
      </c>
      <c r="J58" s="23">
        <f>IF((E58/$E$8)&gt;=$J$8,1,0)</f>
        <v/>
      </c>
      <c r="K58" s="23">
        <f>IF((F58/$F$8)&gt;=$K$8,1,0)</f>
        <v/>
      </c>
      <c r="L58" s="23">
        <f>IF((G58/$G$8)&gt;=$L$8,1,0)</f>
        <v/>
      </c>
      <c r="M58" s="23">
        <f>IF((H58/$H$8)&gt;=$M$8,1,0)</f>
        <v/>
      </c>
      <c r="N58" s="21">
        <f>SUM(D58:H58)</f>
        <v/>
      </c>
      <c r="O58" s="23">
        <f>ROUND(N58/2,0)</f>
        <v/>
      </c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9.5" customHeight="1" s="98">
      <c r="A59" s="47">
        <f>'Sessional + End Term Assessment'!A57</f>
        <v/>
      </c>
      <c r="B59" s="74">
        <f>'Sessional + End Term Assessment'!B57</f>
        <v/>
      </c>
      <c r="C59" s="74">
        <f>'Sessional + End Term Assessment'!C57</f>
        <v/>
      </c>
      <c r="D59" s="21">
        <f>'MID Term 1'!D56+'MID Term 2'!D56</f>
        <v/>
      </c>
      <c r="E59" s="21">
        <f>'MID Term 1'!H56+'MID Term 2'!E56</f>
        <v/>
      </c>
      <c r="F59" s="21">
        <f>'MID Term 1'!L56+'MID Term 2'!F56</f>
        <v/>
      </c>
      <c r="G59" s="21">
        <f>'MID Term 1'!P56+'MID Term 2'!J56</f>
        <v/>
      </c>
      <c r="H59" s="21">
        <f>'MID Term 1'!Q56+'MID Term 2'!N56</f>
        <v/>
      </c>
      <c r="I59" s="23">
        <f>IF((D59/$D$8)&gt;=$I$8,1,0)</f>
        <v/>
      </c>
      <c r="J59" s="23">
        <f>IF((E59/$E$8)&gt;=$J$8,1,0)</f>
        <v/>
      </c>
      <c r="K59" s="23">
        <f>IF((F59/$F$8)&gt;=$K$8,1,0)</f>
        <v/>
      </c>
      <c r="L59" s="23">
        <f>IF((G59/$G$8)&gt;=$L$8,1,0)</f>
        <v/>
      </c>
      <c r="M59" s="23">
        <f>IF((H59/$H$8)&gt;=$M$8,1,0)</f>
        <v/>
      </c>
      <c r="N59" s="21">
        <f>SUM(D59:H59)</f>
        <v/>
      </c>
      <c r="O59" s="23">
        <f>ROUND(N59/2,0)</f>
        <v/>
      </c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9.5" customHeight="1" s="98">
      <c r="A60" s="47">
        <f>'Sessional + End Term Assessment'!A58</f>
        <v/>
      </c>
      <c r="B60" s="74">
        <f>'Sessional + End Term Assessment'!B58</f>
        <v/>
      </c>
      <c r="C60" s="74">
        <f>'Sessional + End Term Assessment'!C58</f>
        <v/>
      </c>
      <c r="D60" s="21">
        <f>'MID Term 1'!D57+'MID Term 2'!D57</f>
        <v/>
      </c>
      <c r="E60" s="21">
        <f>'MID Term 1'!H57+'MID Term 2'!E57</f>
        <v/>
      </c>
      <c r="F60" s="21">
        <f>'MID Term 1'!L57+'MID Term 2'!F57</f>
        <v/>
      </c>
      <c r="G60" s="21">
        <f>'MID Term 1'!P57+'MID Term 2'!J57</f>
        <v/>
      </c>
      <c r="H60" s="21">
        <f>'MID Term 1'!Q57+'MID Term 2'!N57</f>
        <v/>
      </c>
      <c r="I60" s="23">
        <f>IF((D60/$D$8)&gt;=$I$8,1,0)</f>
        <v/>
      </c>
      <c r="J60" s="23">
        <f>IF((E60/$E$8)&gt;=$J$8,1,0)</f>
        <v/>
      </c>
      <c r="K60" s="23">
        <f>IF((F60/$F$8)&gt;=$K$8,1,0)</f>
        <v/>
      </c>
      <c r="L60" s="23">
        <f>IF((G60/$G$8)&gt;=$L$8,1,0)</f>
        <v/>
      </c>
      <c r="M60" s="23">
        <f>IF((H60/$H$8)&gt;=$M$8,1,0)</f>
        <v/>
      </c>
      <c r="N60" s="21">
        <f>SUM(D60:H60)</f>
        <v/>
      </c>
      <c r="O60" s="23">
        <f>ROUND(N60/2,0)</f>
        <v/>
      </c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9.5" customHeight="1" s="98">
      <c r="A61" s="47">
        <f>'Sessional + End Term Assessment'!A59</f>
        <v/>
      </c>
      <c r="B61" s="74">
        <f>'Sessional + End Term Assessment'!B59</f>
        <v/>
      </c>
      <c r="C61" s="74">
        <f>'Sessional + End Term Assessment'!C59</f>
        <v/>
      </c>
      <c r="D61" s="21">
        <f>'MID Term 1'!D58+'MID Term 2'!D58</f>
        <v/>
      </c>
      <c r="E61" s="21">
        <f>'MID Term 1'!H58+'MID Term 2'!E58</f>
        <v/>
      </c>
      <c r="F61" s="21">
        <f>'MID Term 1'!L58+'MID Term 2'!F58</f>
        <v/>
      </c>
      <c r="G61" s="21">
        <f>'MID Term 1'!P58+'MID Term 2'!J58</f>
        <v/>
      </c>
      <c r="H61" s="21">
        <f>'MID Term 1'!Q58+'MID Term 2'!N58</f>
        <v/>
      </c>
      <c r="I61" s="23">
        <f>IF((D61/$D$8)&gt;=$I$8,1,0)</f>
        <v/>
      </c>
      <c r="J61" s="23">
        <f>IF((E61/$E$8)&gt;=$J$8,1,0)</f>
        <v/>
      </c>
      <c r="K61" s="23">
        <f>IF((F61/$F$8)&gt;=$K$8,1,0)</f>
        <v/>
      </c>
      <c r="L61" s="23">
        <f>IF((G61/$G$8)&gt;=$L$8,1,0)</f>
        <v/>
      </c>
      <c r="M61" s="23">
        <f>IF((H61/$H$8)&gt;=$M$8,1,0)</f>
        <v/>
      </c>
      <c r="N61" s="21">
        <f>SUM(D61:H61)</f>
        <v/>
      </c>
      <c r="O61" s="23">
        <f>ROUND(N61/2,0)</f>
        <v/>
      </c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9.5" customHeight="1" s="98">
      <c r="A62" s="47">
        <f>'Sessional + End Term Assessment'!A60</f>
        <v/>
      </c>
      <c r="B62" s="74">
        <f>'Sessional + End Term Assessment'!B60</f>
        <v/>
      </c>
      <c r="C62" s="74">
        <f>'Sessional + End Term Assessment'!C60</f>
        <v/>
      </c>
      <c r="D62" s="21">
        <f>'MID Term 1'!D59+'MID Term 2'!D59</f>
        <v/>
      </c>
      <c r="E62" s="21">
        <f>'MID Term 1'!H59+'MID Term 2'!E59</f>
        <v/>
      </c>
      <c r="F62" s="21">
        <f>'MID Term 1'!L59+'MID Term 2'!F59</f>
        <v/>
      </c>
      <c r="G62" s="21">
        <f>'MID Term 1'!P59+'MID Term 2'!J59</f>
        <v/>
      </c>
      <c r="H62" s="21">
        <f>'MID Term 1'!Q59+'MID Term 2'!N59</f>
        <v/>
      </c>
      <c r="I62" s="23">
        <f>IF((D62/$D$8)&gt;=$I$8,1,0)</f>
        <v/>
      </c>
      <c r="J62" s="23">
        <f>IF((E62/$E$8)&gt;=$J$8,1,0)</f>
        <v/>
      </c>
      <c r="K62" s="23">
        <f>IF((F62/$F$8)&gt;=$K$8,1,0)</f>
        <v/>
      </c>
      <c r="L62" s="23">
        <f>IF((G62/$G$8)&gt;=$L$8,1,0)</f>
        <v/>
      </c>
      <c r="M62" s="23">
        <f>IF((H62/$H$8)&gt;=$M$8,1,0)</f>
        <v/>
      </c>
      <c r="N62" s="21">
        <f>SUM(D62:H62)</f>
        <v/>
      </c>
      <c r="O62" s="23">
        <f>ROUND(N62/2,0)</f>
        <v/>
      </c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9.5" customHeight="1" s="98">
      <c r="A63" s="47">
        <f>'Sessional + End Term Assessment'!A61</f>
        <v/>
      </c>
      <c r="B63" s="74">
        <f>'Sessional + End Term Assessment'!B61</f>
        <v/>
      </c>
      <c r="C63" s="74">
        <f>'Sessional + End Term Assessment'!C61</f>
        <v/>
      </c>
      <c r="D63" s="21">
        <f>'MID Term 1'!D60+'MID Term 2'!D60</f>
        <v/>
      </c>
      <c r="E63" s="21">
        <f>'MID Term 1'!H60+'MID Term 2'!E60</f>
        <v/>
      </c>
      <c r="F63" s="21">
        <f>'MID Term 1'!L60+'MID Term 2'!F60</f>
        <v/>
      </c>
      <c r="G63" s="21">
        <f>'MID Term 1'!P60+'MID Term 2'!J60</f>
        <v/>
      </c>
      <c r="H63" s="21">
        <f>'MID Term 1'!Q60+'MID Term 2'!N60</f>
        <v/>
      </c>
      <c r="I63" s="23">
        <f>IF((D63/$D$8)&gt;=$I$8,1,0)</f>
        <v/>
      </c>
      <c r="J63" s="23">
        <f>IF((E63/$E$8)&gt;=$J$8,1,0)</f>
        <v/>
      </c>
      <c r="K63" s="23">
        <f>IF((F63/$F$8)&gt;=$K$8,1,0)</f>
        <v/>
      </c>
      <c r="L63" s="23">
        <f>IF((G63/$G$8)&gt;=$L$8,1,0)</f>
        <v/>
      </c>
      <c r="M63" s="23">
        <f>IF((H63/$H$8)&gt;=$M$8,1,0)</f>
        <v/>
      </c>
      <c r="N63" s="21">
        <f>SUM(D63:H63)</f>
        <v/>
      </c>
      <c r="O63" s="23">
        <f>ROUND(N63/2,0)</f>
        <v/>
      </c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9.5" customHeight="1" s="98">
      <c r="A64" s="47">
        <f>'Sessional + End Term Assessment'!A62</f>
        <v/>
      </c>
      <c r="B64" s="74">
        <f>'Sessional + End Term Assessment'!B62</f>
        <v/>
      </c>
      <c r="C64" s="74">
        <f>'Sessional + End Term Assessment'!C62</f>
        <v/>
      </c>
      <c r="D64" s="21">
        <f>'MID Term 1'!D61+'MID Term 2'!D61</f>
        <v/>
      </c>
      <c r="E64" s="21">
        <f>'MID Term 1'!H61+'MID Term 2'!E61</f>
        <v/>
      </c>
      <c r="F64" s="21">
        <f>'MID Term 1'!L61+'MID Term 2'!F61</f>
        <v/>
      </c>
      <c r="G64" s="21">
        <f>'MID Term 1'!P61+'MID Term 2'!J61</f>
        <v/>
      </c>
      <c r="H64" s="21">
        <f>'MID Term 1'!Q61+'MID Term 2'!N61</f>
        <v/>
      </c>
      <c r="I64" s="23">
        <f>IF((D64/$D$8)&gt;=$I$8,1,0)</f>
        <v/>
      </c>
      <c r="J64" s="23">
        <f>IF((E64/$E$8)&gt;=$J$8,1,0)</f>
        <v/>
      </c>
      <c r="K64" s="23">
        <f>IF((F64/$F$8)&gt;=$K$8,1,0)</f>
        <v/>
      </c>
      <c r="L64" s="23">
        <f>IF((G64/$G$8)&gt;=$L$8,1,0)</f>
        <v/>
      </c>
      <c r="M64" s="23">
        <f>IF((H64/$H$8)&gt;=$M$8,1,0)</f>
        <v/>
      </c>
      <c r="N64" s="21">
        <f>SUM(D64:H64)</f>
        <v/>
      </c>
      <c r="O64" s="23">
        <f>ROUND(N64/2,0)</f>
        <v/>
      </c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9.5" customHeight="1" s="98">
      <c r="A65" s="47">
        <f>'Sessional + End Term Assessment'!A63</f>
        <v/>
      </c>
      <c r="B65" s="74">
        <f>'Sessional + End Term Assessment'!B63</f>
        <v/>
      </c>
      <c r="C65" s="74">
        <f>'Sessional + End Term Assessment'!C63</f>
        <v/>
      </c>
      <c r="D65" s="21">
        <f>'MID Term 1'!D62+'MID Term 2'!D62</f>
        <v/>
      </c>
      <c r="E65" s="21">
        <f>'MID Term 1'!H62+'MID Term 2'!E62</f>
        <v/>
      </c>
      <c r="F65" s="21">
        <f>'MID Term 1'!L62+'MID Term 2'!F62</f>
        <v/>
      </c>
      <c r="G65" s="21">
        <f>'MID Term 1'!P62+'MID Term 2'!J62</f>
        <v/>
      </c>
      <c r="H65" s="21">
        <f>'MID Term 1'!Q62+'MID Term 2'!N62</f>
        <v/>
      </c>
      <c r="I65" s="23">
        <f>IF((D65/$D$8)&gt;=$I$8,1,0)</f>
        <v/>
      </c>
      <c r="J65" s="23">
        <f>IF((E65/$E$8)&gt;=$J$8,1,0)</f>
        <v/>
      </c>
      <c r="K65" s="23">
        <f>IF((F65/$F$8)&gt;=$K$8,1,0)</f>
        <v/>
      </c>
      <c r="L65" s="23">
        <f>IF((G65/$G$8)&gt;=$L$8,1,0)</f>
        <v/>
      </c>
      <c r="M65" s="23">
        <f>IF((H65/$H$8)&gt;=$M$8,1,0)</f>
        <v/>
      </c>
      <c r="N65" s="21">
        <f>SUM(D65:H65)</f>
        <v/>
      </c>
      <c r="O65" s="23">
        <f>ROUND(N65/2,0)</f>
        <v/>
      </c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9.5" customHeight="1" s="98">
      <c r="A66" s="47">
        <f>'Sessional + End Term Assessment'!A64</f>
        <v/>
      </c>
      <c r="B66" s="74">
        <f>'Sessional + End Term Assessment'!B64</f>
        <v/>
      </c>
      <c r="C66" s="74">
        <f>'Sessional + End Term Assessment'!C64</f>
        <v/>
      </c>
      <c r="D66" s="21">
        <f>'MID Term 1'!D63+'MID Term 2'!D63</f>
        <v/>
      </c>
      <c r="E66" s="21">
        <f>'MID Term 1'!H63+'MID Term 2'!E63</f>
        <v/>
      </c>
      <c r="F66" s="21">
        <f>'MID Term 1'!L63+'MID Term 2'!F63</f>
        <v/>
      </c>
      <c r="G66" s="21">
        <f>'MID Term 1'!P63+'MID Term 2'!J63</f>
        <v/>
      </c>
      <c r="H66" s="21">
        <f>'MID Term 1'!Q63+'MID Term 2'!N63</f>
        <v/>
      </c>
      <c r="I66" s="23">
        <f>IF((D66/$D$8)&gt;=$I$8,1,0)</f>
        <v/>
      </c>
      <c r="J66" s="23">
        <f>IF((E66/$E$8)&gt;=$J$8,1,0)</f>
        <v/>
      </c>
      <c r="K66" s="23">
        <f>IF((F66/$F$8)&gt;=$K$8,1,0)</f>
        <v/>
      </c>
      <c r="L66" s="23">
        <f>IF((G66/$G$8)&gt;=$L$8,1,0)</f>
        <v/>
      </c>
      <c r="M66" s="23">
        <f>IF((H66/$H$8)&gt;=$M$8,1,0)</f>
        <v/>
      </c>
      <c r="N66" s="21">
        <f>SUM(D66:H66)</f>
        <v/>
      </c>
      <c r="O66" s="23">
        <f>ROUND(N66/2,0)</f>
        <v/>
      </c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9.5" customHeight="1" s="98">
      <c r="A67" s="47">
        <f>'Sessional + End Term Assessment'!A65</f>
        <v/>
      </c>
      <c r="B67" s="74">
        <f>'Sessional + End Term Assessment'!B65</f>
        <v/>
      </c>
      <c r="C67" s="74">
        <f>'Sessional + End Term Assessment'!C65</f>
        <v/>
      </c>
      <c r="D67" s="21">
        <f>'MID Term 1'!D64+'MID Term 2'!D64</f>
        <v/>
      </c>
      <c r="E67" s="21">
        <f>'MID Term 1'!H64+'MID Term 2'!E64</f>
        <v/>
      </c>
      <c r="F67" s="21">
        <f>'MID Term 1'!L64+'MID Term 2'!F64</f>
        <v/>
      </c>
      <c r="G67" s="21">
        <f>'MID Term 1'!P64+'MID Term 2'!J64</f>
        <v/>
      </c>
      <c r="H67" s="21">
        <f>'MID Term 1'!Q64+'MID Term 2'!N64</f>
        <v/>
      </c>
      <c r="I67" s="23">
        <f>IF((D67/$D$8)&gt;=$I$8,1,0)</f>
        <v/>
      </c>
      <c r="J67" s="23">
        <f>IF((E67/$E$8)&gt;=$J$8,1,0)</f>
        <v/>
      </c>
      <c r="K67" s="23">
        <f>IF((F67/$F$8)&gt;=$K$8,1,0)</f>
        <v/>
      </c>
      <c r="L67" s="23">
        <f>IF((G67/$G$8)&gt;=$L$8,1,0)</f>
        <v/>
      </c>
      <c r="M67" s="23">
        <f>IF((H67/$H$8)&gt;=$M$8,1,0)</f>
        <v/>
      </c>
      <c r="N67" s="21">
        <f>SUM(D67:H67)</f>
        <v/>
      </c>
      <c r="O67" s="23">
        <f>ROUND(N67/2,0)</f>
        <v/>
      </c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9.5" customHeight="1" s="98">
      <c r="A68" s="47">
        <f>'Sessional + End Term Assessment'!A66</f>
        <v/>
      </c>
      <c r="B68" s="74">
        <f>'Sessional + End Term Assessment'!B66</f>
        <v/>
      </c>
      <c r="C68" s="74">
        <f>'Sessional + End Term Assessment'!C66</f>
        <v/>
      </c>
      <c r="D68" s="21">
        <f>'MID Term 1'!D65+'MID Term 2'!D65</f>
        <v/>
      </c>
      <c r="E68" s="21">
        <f>'MID Term 1'!H65+'MID Term 2'!E65</f>
        <v/>
      </c>
      <c r="F68" s="21">
        <f>'MID Term 1'!L65+'MID Term 2'!F65</f>
        <v/>
      </c>
      <c r="G68" s="21">
        <f>'MID Term 1'!P65+'MID Term 2'!J65</f>
        <v/>
      </c>
      <c r="H68" s="21">
        <f>'MID Term 1'!Q65+'MID Term 2'!N65</f>
        <v/>
      </c>
      <c r="I68" s="23">
        <f>IF((D68/$D$8)&gt;=$I$8,1,0)</f>
        <v/>
      </c>
      <c r="J68" s="23">
        <f>IF((E68/$E$8)&gt;=$J$8,1,0)</f>
        <v/>
      </c>
      <c r="K68" s="23">
        <f>IF((F68/$F$8)&gt;=$K$8,1,0)</f>
        <v/>
      </c>
      <c r="L68" s="23">
        <f>IF((G68/$G$8)&gt;=$L$8,1,0)</f>
        <v/>
      </c>
      <c r="M68" s="23">
        <f>IF((H68/$H$8)&gt;=$M$8,1,0)</f>
        <v/>
      </c>
      <c r="N68" s="21">
        <f>SUM(D68:H68)</f>
        <v/>
      </c>
      <c r="O68" s="23">
        <f>ROUND(N68/2,0)</f>
        <v/>
      </c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9.5" customHeight="1" s="98">
      <c r="A69" s="47">
        <f>'Sessional + End Term Assessment'!A67</f>
        <v/>
      </c>
      <c r="B69" s="74">
        <f>'Sessional + End Term Assessment'!B67</f>
        <v/>
      </c>
      <c r="C69" s="74">
        <f>'Sessional + End Term Assessment'!C67</f>
        <v/>
      </c>
      <c r="D69" s="21">
        <f>'MID Term 1'!D66+'MID Term 2'!D66</f>
        <v/>
      </c>
      <c r="E69" s="21">
        <f>'MID Term 1'!H66+'MID Term 2'!E66</f>
        <v/>
      </c>
      <c r="F69" s="21">
        <f>'MID Term 1'!L66+'MID Term 2'!F66</f>
        <v/>
      </c>
      <c r="G69" s="21">
        <f>'MID Term 1'!P66+'MID Term 2'!J66</f>
        <v/>
      </c>
      <c r="H69" s="21">
        <f>'MID Term 1'!Q66+'MID Term 2'!N66</f>
        <v/>
      </c>
      <c r="I69" s="23">
        <f>IF((D69/$D$8)&gt;=$I$8,1,0)</f>
        <v/>
      </c>
      <c r="J69" s="23">
        <f>IF((E69/$E$8)&gt;=$J$8,1,0)</f>
        <v/>
      </c>
      <c r="K69" s="23">
        <f>IF((F69/$F$8)&gt;=$K$8,1,0)</f>
        <v/>
      </c>
      <c r="L69" s="23">
        <f>IF((G69/$G$8)&gt;=$L$8,1,0)</f>
        <v/>
      </c>
      <c r="M69" s="23">
        <f>IF((H69/$H$8)&gt;=$M$8,1,0)</f>
        <v/>
      </c>
      <c r="N69" s="21">
        <f>SUM(D69:H69)</f>
        <v/>
      </c>
      <c r="O69" s="23">
        <f>ROUND(N69/2,0)</f>
        <v/>
      </c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9.5" customHeight="1" s="98">
      <c r="A70" s="47">
        <f>'Sessional + End Term Assessment'!A68</f>
        <v/>
      </c>
      <c r="B70" s="74">
        <f>'Sessional + End Term Assessment'!B68</f>
        <v/>
      </c>
      <c r="C70" s="74">
        <f>'Sessional + End Term Assessment'!C68</f>
        <v/>
      </c>
      <c r="D70" s="21">
        <f>'MID Term 1'!D67+'MID Term 2'!D67</f>
        <v/>
      </c>
      <c r="E70" s="21">
        <f>'MID Term 1'!H67+'MID Term 2'!E67</f>
        <v/>
      </c>
      <c r="F70" s="21">
        <f>'MID Term 1'!L67+'MID Term 2'!F67</f>
        <v/>
      </c>
      <c r="G70" s="21">
        <f>'MID Term 1'!P67+'MID Term 2'!J67</f>
        <v/>
      </c>
      <c r="H70" s="21">
        <f>'MID Term 1'!Q67+'MID Term 2'!N67</f>
        <v/>
      </c>
      <c r="I70" s="23">
        <f>IF((D70/$D$8)&gt;=$I$8,1,0)</f>
        <v/>
      </c>
      <c r="J70" s="23">
        <f>IF((E70/$E$8)&gt;=$J$8,1,0)</f>
        <v/>
      </c>
      <c r="K70" s="23">
        <f>IF((F70/$F$8)&gt;=$K$8,1,0)</f>
        <v/>
      </c>
      <c r="L70" s="23">
        <f>IF((G70/$G$8)&gt;=$L$8,1,0)</f>
        <v/>
      </c>
      <c r="M70" s="23">
        <f>IF((H70/$H$8)&gt;=$M$8,1,0)</f>
        <v/>
      </c>
      <c r="N70" s="21">
        <f>SUM(D70:H70)</f>
        <v/>
      </c>
      <c r="O70" s="23">
        <f>ROUND(N70/2,0)</f>
        <v/>
      </c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9.5" customHeight="1" s="98">
      <c r="A71" s="47">
        <f>'Sessional + End Term Assessment'!A69</f>
        <v/>
      </c>
      <c r="B71" s="74">
        <f>'Sessional + End Term Assessment'!B69</f>
        <v/>
      </c>
      <c r="C71" s="74">
        <f>'Sessional + End Term Assessment'!C69</f>
        <v/>
      </c>
      <c r="D71" s="21">
        <f>'MID Term 1'!D68+'MID Term 2'!D68</f>
        <v/>
      </c>
      <c r="E71" s="21">
        <f>'MID Term 1'!H68+'MID Term 2'!E68</f>
        <v/>
      </c>
      <c r="F71" s="21">
        <f>'MID Term 1'!L68+'MID Term 2'!F68</f>
        <v/>
      </c>
      <c r="G71" s="21">
        <f>'MID Term 1'!P68+'MID Term 2'!J68</f>
        <v/>
      </c>
      <c r="H71" s="21">
        <f>'MID Term 1'!Q68+'MID Term 2'!N68</f>
        <v/>
      </c>
      <c r="I71" s="23">
        <f>IF((D71/$D$8)&gt;=$I$8,1,0)</f>
        <v/>
      </c>
      <c r="J71" s="23">
        <f>IF((E71/$E$8)&gt;=$J$8,1,0)</f>
        <v/>
      </c>
      <c r="K71" s="23">
        <f>IF((F71/$F$8)&gt;=$K$8,1,0)</f>
        <v/>
      </c>
      <c r="L71" s="23">
        <f>IF((G71/$G$8)&gt;=$L$8,1,0)</f>
        <v/>
      </c>
      <c r="M71" s="23">
        <f>IF((H71/$H$8)&gt;=$M$8,1,0)</f>
        <v/>
      </c>
      <c r="N71" s="21">
        <f>SUM(D71:H71)</f>
        <v/>
      </c>
      <c r="O71" s="23">
        <f>ROUND(N71/2,0)</f>
        <v/>
      </c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9.5" customHeight="1" s="98">
      <c r="A72" s="47">
        <f>'Sessional + End Term Assessment'!A70</f>
        <v/>
      </c>
      <c r="B72" s="74">
        <f>'Sessional + End Term Assessment'!B70</f>
        <v/>
      </c>
      <c r="C72" s="74">
        <f>'Sessional + End Term Assessment'!C70</f>
        <v/>
      </c>
      <c r="D72" s="21">
        <f>'MID Term 1'!D69+'MID Term 2'!D69</f>
        <v/>
      </c>
      <c r="E72" s="21">
        <f>'MID Term 1'!H69+'MID Term 2'!E69</f>
        <v/>
      </c>
      <c r="F72" s="21">
        <f>'MID Term 1'!L69+'MID Term 2'!F69</f>
        <v/>
      </c>
      <c r="G72" s="21">
        <f>'MID Term 1'!P69+'MID Term 2'!J69</f>
        <v/>
      </c>
      <c r="H72" s="21">
        <f>'MID Term 1'!Q69+'MID Term 2'!N69</f>
        <v/>
      </c>
      <c r="I72" s="23">
        <f>IF((D72/$D$8)&gt;=$I$8,1,0)</f>
        <v/>
      </c>
      <c r="J72" s="23">
        <f>IF((E72/$E$8)&gt;=$J$8,1,0)</f>
        <v/>
      </c>
      <c r="K72" s="23">
        <f>IF((F72/$F$8)&gt;=$K$8,1,0)</f>
        <v/>
      </c>
      <c r="L72" s="23">
        <f>IF((G72/$G$8)&gt;=$L$8,1,0)</f>
        <v/>
      </c>
      <c r="M72" s="23">
        <f>IF((H72/$H$8)&gt;=$M$8,1,0)</f>
        <v/>
      </c>
      <c r="N72" s="21">
        <f>SUM(D72:H72)</f>
        <v/>
      </c>
      <c r="O72" s="23">
        <f>ROUND(N72/2,0)</f>
        <v/>
      </c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9.5" customHeight="1" s="98">
      <c r="A73" s="47">
        <f>'Sessional + End Term Assessment'!A71</f>
        <v/>
      </c>
      <c r="B73" s="74">
        <f>'Sessional + End Term Assessment'!B71</f>
        <v/>
      </c>
      <c r="C73" s="74">
        <f>'Sessional + End Term Assessment'!C71</f>
        <v/>
      </c>
      <c r="D73" s="21">
        <f>'MID Term 1'!D70+'MID Term 2'!D70</f>
        <v/>
      </c>
      <c r="E73" s="21">
        <f>'MID Term 1'!H70+'MID Term 2'!E70</f>
        <v/>
      </c>
      <c r="F73" s="21">
        <f>'MID Term 1'!L70+'MID Term 2'!F70</f>
        <v/>
      </c>
      <c r="G73" s="21">
        <f>'MID Term 1'!P70+'MID Term 2'!J70</f>
        <v/>
      </c>
      <c r="H73" s="21">
        <f>'MID Term 1'!Q70+'MID Term 2'!N70</f>
        <v/>
      </c>
      <c r="I73" s="23">
        <f>IF((D73/$D$8)&gt;=$I$8,1,0)</f>
        <v/>
      </c>
      <c r="J73" s="23">
        <f>IF((E73/$E$8)&gt;=$J$8,1,0)</f>
        <v/>
      </c>
      <c r="K73" s="23">
        <f>IF((F73/$F$8)&gt;=$K$8,1,0)</f>
        <v/>
      </c>
      <c r="L73" s="23">
        <f>IF((G73/$G$8)&gt;=$L$8,1,0)</f>
        <v/>
      </c>
      <c r="M73" s="23">
        <f>IF((H73/$H$8)&gt;=$M$8,1,0)</f>
        <v/>
      </c>
      <c r="N73" s="21">
        <f>SUM(D73:H73)</f>
        <v/>
      </c>
      <c r="O73" s="23">
        <f>ROUND(N73/2,0)</f>
        <v/>
      </c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9.5" customHeight="1" s="98">
      <c r="A74" s="47">
        <f>'Sessional + End Term Assessment'!A72</f>
        <v/>
      </c>
      <c r="B74" s="74">
        <f>'Sessional + End Term Assessment'!B72</f>
        <v/>
      </c>
      <c r="C74" s="74">
        <f>'Sessional + End Term Assessment'!C72</f>
        <v/>
      </c>
      <c r="D74" s="21">
        <f>'MID Term 1'!D71+'MID Term 2'!D71</f>
        <v/>
      </c>
      <c r="E74" s="21">
        <f>'MID Term 1'!H71+'MID Term 2'!E71</f>
        <v/>
      </c>
      <c r="F74" s="21">
        <f>'MID Term 1'!L71+'MID Term 2'!F71</f>
        <v/>
      </c>
      <c r="G74" s="21">
        <f>'MID Term 1'!P71+'MID Term 2'!J71</f>
        <v/>
      </c>
      <c r="H74" s="21">
        <f>'MID Term 1'!Q71+'MID Term 2'!N71</f>
        <v/>
      </c>
      <c r="I74" s="23">
        <f>IF((D74/$D$8)&gt;=$I$8,1,0)</f>
        <v/>
      </c>
      <c r="J74" s="23">
        <f>IF((E74/$E$8)&gt;=$J$8,1,0)</f>
        <v/>
      </c>
      <c r="K74" s="23">
        <f>IF((F74/$F$8)&gt;=$K$8,1,0)</f>
        <v/>
      </c>
      <c r="L74" s="23">
        <f>IF((G74/$G$8)&gt;=$L$8,1,0)</f>
        <v/>
      </c>
      <c r="M74" s="23">
        <f>IF((H74/$H$8)&gt;=$M$8,1,0)</f>
        <v/>
      </c>
      <c r="N74" s="21">
        <f>SUM(D74:H74)</f>
        <v/>
      </c>
      <c r="O74" s="23">
        <f>ROUND(N74/2,0)</f>
        <v/>
      </c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9.5" customHeight="1" s="98">
      <c r="A75" s="47">
        <f>'Sessional + End Term Assessment'!A73</f>
        <v/>
      </c>
      <c r="B75" s="74">
        <f>'Sessional + End Term Assessment'!B73</f>
        <v/>
      </c>
      <c r="C75" s="74">
        <f>'Sessional + End Term Assessment'!C73</f>
        <v/>
      </c>
      <c r="D75" s="21">
        <f>'MID Term 1'!D72+'MID Term 2'!D72</f>
        <v/>
      </c>
      <c r="E75" s="21">
        <f>'MID Term 1'!H72+'MID Term 2'!E72</f>
        <v/>
      </c>
      <c r="F75" s="21">
        <f>'MID Term 1'!L72+'MID Term 2'!F72</f>
        <v/>
      </c>
      <c r="G75" s="21">
        <f>'MID Term 1'!P72+'MID Term 2'!J72</f>
        <v/>
      </c>
      <c r="H75" s="21">
        <f>'MID Term 1'!Q72+'MID Term 2'!N72</f>
        <v/>
      </c>
      <c r="I75" s="23">
        <f>IF((D75/$D$8)&gt;=$I$8,1,0)</f>
        <v/>
      </c>
      <c r="J75" s="23">
        <f>IF((E75/$E$8)&gt;=$J$8,1,0)</f>
        <v/>
      </c>
      <c r="K75" s="23">
        <f>IF((F75/$F$8)&gt;=$K$8,1,0)</f>
        <v/>
      </c>
      <c r="L75" s="23">
        <f>IF((G75/$G$8)&gt;=$L$8,1,0)</f>
        <v/>
      </c>
      <c r="M75" s="23">
        <f>IF((H75/$H$8)&gt;=$M$8,1,0)</f>
        <v/>
      </c>
      <c r="N75" s="21">
        <f>SUM(D75:H75)</f>
        <v/>
      </c>
      <c r="O75" s="23">
        <f>ROUND(N75/2,0)</f>
        <v/>
      </c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9.5" customHeight="1" s="98">
      <c r="A76" s="47">
        <f>'Sessional + End Term Assessment'!A74</f>
        <v/>
      </c>
      <c r="B76" s="74">
        <f>'Sessional + End Term Assessment'!B74</f>
        <v/>
      </c>
      <c r="C76" s="74">
        <f>'Sessional + End Term Assessment'!C74</f>
        <v/>
      </c>
      <c r="D76" s="21">
        <f>'MID Term 1'!D73+'MID Term 2'!D73</f>
        <v/>
      </c>
      <c r="E76" s="21">
        <f>'MID Term 1'!H73+'MID Term 2'!E73</f>
        <v/>
      </c>
      <c r="F76" s="21">
        <f>'MID Term 1'!L73+'MID Term 2'!F73</f>
        <v/>
      </c>
      <c r="G76" s="21">
        <f>'MID Term 1'!P73+'MID Term 2'!J73</f>
        <v/>
      </c>
      <c r="H76" s="21">
        <f>'MID Term 1'!Q73+'MID Term 2'!N73</f>
        <v/>
      </c>
      <c r="I76" s="23">
        <f>IF((D76/$D$8)&gt;=$I$8,1,0)</f>
        <v/>
      </c>
      <c r="J76" s="23">
        <f>IF((E76/$E$8)&gt;=$J$8,1,0)</f>
        <v/>
      </c>
      <c r="K76" s="23">
        <f>IF((F76/$F$8)&gt;=$K$8,1,0)</f>
        <v/>
      </c>
      <c r="L76" s="23">
        <f>IF((G76/$G$8)&gt;=$L$8,1,0)</f>
        <v/>
      </c>
      <c r="M76" s="23">
        <f>IF((H76/$H$8)&gt;=$M$8,1,0)</f>
        <v/>
      </c>
      <c r="N76" s="21">
        <f>SUM(D76:H76)</f>
        <v/>
      </c>
      <c r="O76" s="23">
        <f>ROUND(N76/2,0)</f>
        <v/>
      </c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9.5" customHeight="1" s="98">
      <c r="A77" s="47">
        <f>'Sessional + End Term Assessment'!A75</f>
        <v/>
      </c>
      <c r="B77" s="74">
        <f>'Sessional + End Term Assessment'!B75</f>
        <v/>
      </c>
      <c r="C77" s="74">
        <f>'Sessional + End Term Assessment'!C75</f>
        <v/>
      </c>
      <c r="D77" s="21">
        <f>'MID Term 1'!D74+'MID Term 2'!D74</f>
        <v/>
      </c>
      <c r="E77" s="21">
        <f>'MID Term 1'!H74+'MID Term 2'!E74</f>
        <v/>
      </c>
      <c r="F77" s="21">
        <f>'MID Term 1'!L74+'MID Term 2'!F74</f>
        <v/>
      </c>
      <c r="G77" s="21">
        <f>'MID Term 1'!P74+'MID Term 2'!J74</f>
        <v/>
      </c>
      <c r="H77" s="21">
        <f>'MID Term 1'!Q74+'MID Term 2'!N74</f>
        <v/>
      </c>
      <c r="I77" s="23">
        <f>IF((D77/$D$8)&gt;=$I$8,1,0)</f>
        <v/>
      </c>
      <c r="J77" s="23">
        <f>IF((E77/$E$8)&gt;=$J$8,1,0)</f>
        <v/>
      </c>
      <c r="K77" s="23">
        <f>IF((F77/$F$8)&gt;=$K$8,1,0)</f>
        <v/>
      </c>
      <c r="L77" s="23">
        <f>IF((G77/$G$8)&gt;=$L$8,1,0)</f>
        <v/>
      </c>
      <c r="M77" s="23">
        <f>IF((H77/$H$8)&gt;=$M$8,1,0)</f>
        <v/>
      </c>
      <c r="N77" s="21">
        <f>SUM(D77:H77)</f>
        <v/>
      </c>
      <c r="O77" s="23">
        <f>ROUND(N77/2,0)</f>
        <v/>
      </c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9.5" customHeight="1" s="98">
      <c r="A78" s="47">
        <f>'Sessional + End Term Assessment'!A76</f>
        <v/>
      </c>
      <c r="B78" s="74">
        <f>'Sessional + End Term Assessment'!B76</f>
        <v/>
      </c>
      <c r="C78" s="74">
        <f>'Sessional + End Term Assessment'!C76</f>
        <v/>
      </c>
      <c r="D78" s="21">
        <f>'MID Term 1'!D75+'MID Term 2'!D75</f>
        <v/>
      </c>
      <c r="E78" s="21">
        <f>'MID Term 1'!H75+'MID Term 2'!E75</f>
        <v/>
      </c>
      <c r="F78" s="21">
        <f>'MID Term 1'!L75+'MID Term 2'!F75</f>
        <v/>
      </c>
      <c r="G78" s="21">
        <f>'MID Term 1'!P75+'MID Term 2'!J75</f>
        <v/>
      </c>
      <c r="H78" s="21">
        <f>'MID Term 1'!Q75+'MID Term 2'!N75</f>
        <v/>
      </c>
      <c r="I78" s="23">
        <f>IF((D78/$D$8)&gt;=$I$8,1,0)</f>
        <v/>
      </c>
      <c r="J78" s="23">
        <f>IF((E78/$E$8)&gt;=$J$8,1,0)</f>
        <v/>
      </c>
      <c r="K78" s="23">
        <f>IF((F78/$F$8)&gt;=$K$8,1,0)</f>
        <v/>
      </c>
      <c r="L78" s="23">
        <f>IF((G78/$G$8)&gt;=$L$8,1,0)</f>
        <v/>
      </c>
      <c r="M78" s="23">
        <f>IF((H78/$H$8)&gt;=$M$8,1,0)</f>
        <v/>
      </c>
      <c r="N78" s="21">
        <f>SUM(D78:H78)</f>
        <v/>
      </c>
      <c r="O78" s="23">
        <f>ROUND(N78/2,0)</f>
        <v/>
      </c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9.5" customHeight="1" s="98">
      <c r="A79" s="47">
        <f>'Sessional + End Term Assessment'!A77</f>
        <v/>
      </c>
      <c r="B79" s="74">
        <f>'Sessional + End Term Assessment'!B77</f>
        <v/>
      </c>
      <c r="C79" s="74">
        <f>'Sessional + End Term Assessment'!C77</f>
        <v/>
      </c>
      <c r="D79" s="21">
        <f>'MID Term 1'!D76+'MID Term 2'!D76</f>
        <v/>
      </c>
      <c r="E79" s="21">
        <f>'MID Term 1'!H76+'MID Term 2'!E76</f>
        <v/>
      </c>
      <c r="F79" s="21">
        <f>'MID Term 1'!L76+'MID Term 2'!F76</f>
        <v/>
      </c>
      <c r="G79" s="21">
        <f>'MID Term 1'!P76+'MID Term 2'!J76</f>
        <v/>
      </c>
      <c r="H79" s="21">
        <f>'MID Term 1'!Q76+'MID Term 2'!N76</f>
        <v/>
      </c>
      <c r="I79" s="23">
        <f>IF((D79/$D$8)&gt;=$I$8,1,0)</f>
        <v/>
      </c>
      <c r="J79" s="23">
        <f>IF((E79/$E$8)&gt;=$J$8,1,0)</f>
        <v/>
      </c>
      <c r="K79" s="23">
        <f>IF((F79/$F$8)&gt;=$K$8,1,0)</f>
        <v/>
      </c>
      <c r="L79" s="23">
        <f>IF((G79/$G$8)&gt;=$L$8,1,0)</f>
        <v/>
      </c>
      <c r="M79" s="23">
        <f>IF((H79/$H$8)&gt;=$M$8,1,0)</f>
        <v/>
      </c>
      <c r="N79" s="21">
        <f>SUM(D79:H79)</f>
        <v/>
      </c>
      <c r="O79" s="23">
        <f>ROUND(N79/2,0)</f>
        <v/>
      </c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9.5" customHeight="1" s="98">
      <c r="A80" s="47">
        <f>'Sessional + End Term Assessment'!A78</f>
        <v/>
      </c>
      <c r="B80" s="74">
        <f>'Sessional + End Term Assessment'!B78</f>
        <v/>
      </c>
      <c r="C80" s="74">
        <f>'Sessional + End Term Assessment'!C78</f>
        <v/>
      </c>
      <c r="D80" s="21">
        <f>'MID Term 1'!D77+'MID Term 2'!D77</f>
        <v/>
      </c>
      <c r="E80" s="21">
        <f>'MID Term 1'!H77+'MID Term 2'!E77</f>
        <v/>
      </c>
      <c r="F80" s="21">
        <f>'MID Term 1'!L77+'MID Term 2'!F77</f>
        <v/>
      </c>
      <c r="G80" s="21">
        <f>'MID Term 1'!P77+'MID Term 2'!J77</f>
        <v/>
      </c>
      <c r="H80" s="21">
        <f>'MID Term 1'!Q77+'MID Term 2'!N77</f>
        <v/>
      </c>
      <c r="I80" s="23">
        <f>IF((D80/$D$8)&gt;=$I$8,1,0)</f>
        <v/>
      </c>
      <c r="J80" s="23">
        <f>IF((E80/$E$8)&gt;=$J$8,1,0)</f>
        <v/>
      </c>
      <c r="K80" s="23">
        <f>IF((F80/$F$8)&gt;=$K$8,1,0)</f>
        <v/>
      </c>
      <c r="L80" s="23">
        <f>IF((G80/$G$8)&gt;=$L$8,1,0)</f>
        <v/>
      </c>
      <c r="M80" s="23">
        <f>IF((H80/$H$8)&gt;=$M$8,1,0)</f>
        <v/>
      </c>
      <c r="N80" s="21">
        <f>SUM(D80:H80)</f>
        <v/>
      </c>
      <c r="O80" s="23">
        <f>ROUND(N80/2,0)</f>
        <v/>
      </c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9.5" customHeight="1" s="98">
      <c r="A81" s="47">
        <f>'Sessional + End Term Assessment'!A79</f>
        <v/>
      </c>
      <c r="B81" s="74">
        <f>'Sessional + End Term Assessment'!B79</f>
        <v/>
      </c>
      <c r="C81" s="74">
        <f>'Sessional + End Term Assessment'!C79</f>
        <v/>
      </c>
      <c r="D81" s="21">
        <f>'MID Term 1'!D78+'MID Term 2'!D78</f>
        <v/>
      </c>
      <c r="E81" s="21">
        <f>'MID Term 1'!H78+'MID Term 2'!E78</f>
        <v/>
      </c>
      <c r="F81" s="21">
        <f>'MID Term 1'!L78+'MID Term 2'!F78</f>
        <v/>
      </c>
      <c r="G81" s="21">
        <f>'MID Term 1'!P78+'MID Term 2'!J78</f>
        <v/>
      </c>
      <c r="H81" s="21">
        <f>'MID Term 1'!Q78+'MID Term 2'!N78</f>
        <v/>
      </c>
      <c r="I81" s="23">
        <f>IF((D81/$D$8)&gt;=$I$8,1,0)</f>
        <v/>
      </c>
      <c r="J81" s="23">
        <f>IF((E81/$E$8)&gt;=$J$8,1,0)</f>
        <v/>
      </c>
      <c r="K81" s="23">
        <f>IF((F81/$F$8)&gt;=$K$8,1,0)</f>
        <v/>
      </c>
      <c r="L81" s="23">
        <f>IF((G81/$G$8)&gt;=$L$8,1,0)</f>
        <v/>
      </c>
      <c r="M81" s="23">
        <f>IF((H81/$H$8)&gt;=$M$8,1,0)</f>
        <v/>
      </c>
      <c r="N81" s="21">
        <f>SUM(D81:H81)</f>
        <v/>
      </c>
      <c r="O81" s="23">
        <f>ROUND(N81/2,0)</f>
        <v/>
      </c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9.5" customHeight="1" s="98">
      <c r="A82" s="47">
        <f>'Sessional + End Term Assessment'!A80</f>
        <v/>
      </c>
      <c r="B82" s="74">
        <f>'Sessional + End Term Assessment'!B80</f>
        <v/>
      </c>
      <c r="C82" s="74">
        <f>'Sessional + End Term Assessment'!C80</f>
        <v/>
      </c>
      <c r="D82" s="21">
        <f>'MID Term 1'!D79+'MID Term 2'!D79</f>
        <v/>
      </c>
      <c r="E82" s="21">
        <f>'MID Term 1'!H79+'MID Term 2'!E79</f>
        <v/>
      </c>
      <c r="F82" s="21">
        <f>'MID Term 1'!L79+'MID Term 2'!F79</f>
        <v/>
      </c>
      <c r="G82" s="21">
        <f>'MID Term 1'!P79+'MID Term 2'!J79</f>
        <v/>
      </c>
      <c r="H82" s="21">
        <f>'MID Term 1'!Q79+'MID Term 2'!N79</f>
        <v/>
      </c>
      <c r="I82" s="23">
        <f>IF((D82/$D$8)&gt;=$I$8,1,0)</f>
        <v/>
      </c>
      <c r="J82" s="23">
        <f>IF((E82/$E$8)&gt;=$J$8,1,0)</f>
        <v/>
      </c>
      <c r="K82" s="23">
        <f>IF((F82/$F$8)&gt;=$K$8,1,0)</f>
        <v/>
      </c>
      <c r="L82" s="23">
        <f>IF((G82/$G$8)&gt;=$L$8,1,0)</f>
        <v/>
      </c>
      <c r="M82" s="23">
        <f>IF((H82/$H$8)&gt;=$M$8,1,0)</f>
        <v/>
      </c>
      <c r="N82" s="21">
        <f>SUM(D82:H82)</f>
        <v/>
      </c>
      <c r="O82" s="23">
        <f>ROUND(N82/2,0)</f>
        <v/>
      </c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9.5" customHeight="1" s="98">
      <c r="A83" s="47">
        <f>'Sessional + End Term Assessment'!A81</f>
        <v/>
      </c>
      <c r="B83" s="74">
        <f>'Sessional + End Term Assessment'!B81</f>
        <v/>
      </c>
      <c r="C83" s="74">
        <f>'Sessional + End Term Assessment'!C81</f>
        <v/>
      </c>
      <c r="D83" s="21">
        <f>'MID Term 1'!D80+'MID Term 2'!D80</f>
        <v/>
      </c>
      <c r="E83" s="21">
        <f>'MID Term 1'!H80+'MID Term 2'!E80</f>
        <v/>
      </c>
      <c r="F83" s="21">
        <f>'MID Term 1'!L80+'MID Term 2'!F80</f>
        <v/>
      </c>
      <c r="G83" s="21">
        <f>'MID Term 1'!P80+'MID Term 2'!J80</f>
        <v/>
      </c>
      <c r="H83" s="21">
        <f>'MID Term 1'!Q80+'MID Term 2'!N80</f>
        <v/>
      </c>
      <c r="I83" s="23">
        <f>IF((D83/$D$8)&gt;=$I$8,1,0)</f>
        <v/>
      </c>
      <c r="J83" s="23">
        <f>IF((E83/$E$8)&gt;=$J$8,1,0)</f>
        <v/>
      </c>
      <c r="K83" s="23">
        <f>IF((F83/$F$8)&gt;=$K$8,1,0)</f>
        <v/>
      </c>
      <c r="L83" s="23">
        <f>IF((G83/$G$8)&gt;=$L$8,1,0)</f>
        <v/>
      </c>
      <c r="M83" s="23">
        <f>IF((H83/$H$8)&gt;=$M$8,1,0)</f>
        <v/>
      </c>
      <c r="N83" s="21">
        <f>SUM(D83:H83)</f>
        <v/>
      </c>
      <c r="O83" s="23">
        <f>ROUND(N83/2,0)</f>
        <v/>
      </c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9.5" customHeight="1" s="98">
      <c r="A84" s="47">
        <f>'Sessional + End Term Assessment'!A82</f>
        <v/>
      </c>
      <c r="B84" s="74">
        <f>'Sessional + End Term Assessment'!B82</f>
        <v/>
      </c>
      <c r="C84" s="74">
        <f>'Sessional + End Term Assessment'!C82</f>
        <v/>
      </c>
      <c r="D84" s="21">
        <f>'MID Term 1'!D81+'MID Term 2'!D81</f>
        <v/>
      </c>
      <c r="E84" s="21">
        <f>'MID Term 1'!H81+'MID Term 2'!E81</f>
        <v/>
      </c>
      <c r="F84" s="21">
        <f>'MID Term 1'!L81+'MID Term 2'!F81</f>
        <v/>
      </c>
      <c r="G84" s="21">
        <f>'MID Term 1'!P81+'MID Term 2'!J81</f>
        <v/>
      </c>
      <c r="H84" s="21">
        <f>'MID Term 1'!Q81+'MID Term 2'!N81</f>
        <v/>
      </c>
      <c r="I84" s="23">
        <f>IF((D84/$D$8)&gt;=$I$8,1,0)</f>
        <v/>
      </c>
      <c r="J84" s="23">
        <f>IF((E84/$E$8)&gt;=$J$8,1,0)</f>
        <v/>
      </c>
      <c r="K84" s="23">
        <f>IF((F84/$F$8)&gt;=$K$8,1,0)</f>
        <v/>
      </c>
      <c r="L84" s="23">
        <f>IF((G84/$G$8)&gt;=$L$8,1,0)</f>
        <v/>
      </c>
      <c r="M84" s="23">
        <f>IF((H84/$H$8)&gt;=$M$8,1,0)</f>
        <v/>
      </c>
      <c r="N84" s="21">
        <f>SUM(D84:H84)</f>
        <v/>
      </c>
      <c r="O84" s="23">
        <f>ROUND(N84/2,0)</f>
        <v/>
      </c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9.5" customHeight="1" s="98">
      <c r="A85" s="47">
        <f>'Sessional + End Term Assessment'!A83</f>
        <v/>
      </c>
      <c r="B85" s="74">
        <f>'Sessional + End Term Assessment'!B83</f>
        <v/>
      </c>
      <c r="C85" s="74">
        <f>'Sessional + End Term Assessment'!C83</f>
        <v/>
      </c>
      <c r="D85" s="21">
        <f>'MID Term 1'!D82+'MID Term 2'!D82</f>
        <v/>
      </c>
      <c r="E85" s="21">
        <f>'MID Term 1'!H82+'MID Term 2'!E82</f>
        <v/>
      </c>
      <c r="F85" s="21">
        <f>'MID Term 1'!L82+'MID Term 2'!F82</f>
        <v/>
      </c>
      <c r="G85" s="21">
        <f>'MID Term 1'!P82+'MID Term 2'!J82</f>
        <v/>
      </c>
      <c r="H85" s="21">
        <f>'MID Term 1'!Q82+'MID Term 2'!N82</f>
        <v/>
      </c>
      <c r="I85" s="23">
        <f>IF((D85/$D$8)&gt;=$I$8,1,0)</f>
        <v/>
      </c>
      <c r="J85" s="23">
        <f>IF((E85/$E$8)&gt;=$J$8,1,0)</f>
        <v/>
      </c>
      <c r="K85" s="23">
        <f>IF((F85/$F$8)&gt;=$K$8,1,0)</f>
        <v/>
      </c>
      <c r="L85" s="23">
        <f>IF((G85/$G$8)&gt;=$L$8,1,0)</f>
        <v/>
      </c>
      <c r="M85" s="23">
        <f>IF((H85/$H$8)&gt;=$M$8,1,0)</f>
        <v/>
      </c>
      <c r="N85" s="21">
        <f>SUM(D85:H85)</f>
        <v/>
      </c>
      <c r="O85" s="23">
        <f>ROUND(N85/2,0)</f>
        <v/>
      </c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9.5" customHeight="1" s="98">
      <c r="A86" s="47">
        <f>'Sessional + End Term Assessment'!A84</f>
        <v/>
      </c>
      <c r="B86" s="74">
        <f>'Sessional + End Term Assessment'!B84</f>
        <v/>
      </c>
      <c r="C86" s="74">
        <f>'Sessional + End Term Assessment'!C84</f>
        <v/>
      </c>
      <c r="D86" s="21">
        <f>'MID Term 1'!D83+'MID Term 2'!D83</f>
        <v/>
      </c>
      <c r="E86" s="21">
        <f>'MID Term 1'!H83+'MID Term 2'!E83</f>
        <v/>
      </c>
      <c r="F86" s="21">
        <f>'MID Term 1'!L83+'MID Term 2'!F83</f>
        <v/>
      </c>
      <c r="G86" s="21">
        <f>'MID Term 1'!P83+'MID Term 2'!J83</f>
        <v/>
      </c>
      <c r="H86" s="21">
        <f>'MID Term 1'!Q83+'MID Term 2'!N83</f>
        <v/>
      </c>
      <c r="I86" s="23">
        <f>IF((D86/$D$8)&gt;=$I$8,1,0)</f>
        <v/>
      </c>
      <c r="J86" s="23">
        <f>IF((E86/$E$8)&gt;=$J$8,1,0)</f>
        <v/>
      </c>
      <c r="K86" s="23">
        <f>IF((F86/$F$8)&gt;=$K$8,1,0)</f>
        <v/>
      </c>
      <c r="L86" s="23">
        <f>IF((G86/$G$8)&gt;=$L$8,1,0)</f>
        <v/>
      </c>
      <c r="M86" s="23">
        <f>IF((H86/$H$8)&gt;=$M$8,1,0)</f>
        <v/>
      </c>
      <c r="N86" s="21">
        <f>SUM(D86:H86)</f>
        <v/>
      </c>
      <c r="O86" s="23">
        <f>ROUND(N86/2,0)</f>
        <v/>
      </c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9.5" customHeight="1" s="98">
      <c r="A87" s="47">
        <f>'Sessional + End Term Assessment'!A85</f>
        <v/>
      </c>
      <c r="B87" s="74">
        <f>'Sessional + End Term Assessment'!B85</f>
        <v/>
      </c>
      <c r="C87" s="74">
        <f>'Sessional + End Term Assessment'!C85</f>
        <v/>
      </c>
      <c r="D87" s="21">
        <f>'MID Term 1'!D84+'MID Term 2'!D84</f>
        <v/>
      </c>
      <c r="E87" s="21">
        <f>'MID Term 1'!H84+'MID Term 2'!E84</f>
        <v/>
      </c>
      <c r="F87" s="21">
        <f>'MID Term 1'!L84+'MID Term 2'!F84</f>
        <v/>
      </c>
      <c r="G87" s="21">
        <f>'MID Term 1'!P84+'MID Term 2'!J84</f>
        <v/>
      </c>
      <c r="H87" s="21">
        <f>'MID Term 1'!Q84+'MID Term 2'!N84</f>
        <v/>
      </c>
      <c r="I87" s="23">
        <f>IF((D87/$D$8)&gt;=$I$8,1,0)</f>
        <v/>
      </c>
      <c r="J87" s="23">
        <f>IF((E87/$E$8)&gt;=$J$8,1,0)</f>
        <v/>
      </c>
      <c r="K87" s="23">
        <f>IF((F87/$F$8)&gt;=$K$8,1,0)</f>
        <v/>
      </c>
      <c r="L87" s="23">
        <f>IF((G87/$G$8)&gt;=$L$8,1,0)</f>
        <v/>
      </c>
      <c r="M87" s="23">
        <f>IF((H87/$H$8)&gt;=$M$8,1,0)</f>
        <v/>
      </c>
      <c r="N87" s="21">
        <f>SUM(D87:H87)</f>
        <v/>
      </c>
      <c r="O87" s="23">
        <f>ROUND(N87/2,0)</f>
        <v/>
      </c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9.5" customHeight="1" s="98">
      <c r="A88" s="47">
        <f>'Sessional + End Term Assessment'!A86</f>
        <v/>
      </c>
      <c r="B88" s="74">
        <f>'Sessional + End Term Assessment'!B86</f>
        <v/>
      </c>
      <c r="C88" s="74">
        <f>'Sessional + End Term Assessment'!C86</f>
        <v/>
      </c>
      <c r="D88" s="21">
        <f>'MID Term 1'!D85+'MID Term 2'!D85</f>
        <v/>
      </c>
      <c r="E88" s="21">
        <f>'MID Term 1'!H85+'MID Term 2'!E85</f>
        <v/>
      </c>
      <c r="F88" s="21">
        <f>'MID Term 1'!L85+'MID Term 2'!F85</f>
        <v/>
      </c>
      <c r="G88" s="21">
        <f>'MID Term 1'!P85+'MID Term 2'!J85</f>
        <v/>
      </c>
      <c r="H88" s="21">
        <f>'MID Term 1'!Q85+'MID Term 2'!N85</f>
        <v/>
      </c>
      <c r="I88" s="23">
        <f>IF((D88/$D$8)&gt;=$I$8,1,0)</f>
        <v/>
      </c>
      <c r="J88" s="23">
        <f>IF((E88/$E$8)&gt;=$J$8,1,0)</f>
        <v/>
      </c>
      <c r="K88" s="23">
        <f>IF((F88/$F$8)&gt;=$K$8,1,0)</f>
        <v/>
      </c>
      <c r="L88" s="23">
        <f>IF((G88/$G$8)&gt;=$L$8,1,0)</f>
        <v/>
      </c>
      <c r="M88" s="23">
        <f>IF((H88/$H$8)&gt;=$M$8,1,0)</f>
        <v/>
      </c>
      <c r="N88" s="21">
        <f>SUM(D88:H88)</f>
        <v/>
      </c>
      <c r="O88" s="23">
        <f>ROUND(N88/2,0)</f>
        <v/>
      </c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9.5" customHeight="1" s="98">
      <c r="A89" s="47">
        <f>'Sessional + End Term Assessment'!A87</f>
        <v/>
      </c>
      <c r="B89" s="74">
        <f>'Sessional + End Term Assessment'!B87</f>
        <v/>
      </c>
      <c r="C89" s="74">
        <f>'Sessional + End Term Assessment'!C87</f>
        <v/>
      </c>
      <c r="D89" s="21">
        <f>'MID Term 1'!D86+'MID Term 2'!D86</f>
        <v/>
      </c>
      <c r="E89" s="21">
        <f>'MID Term 1'!H86+'MID Term 2'!E86</f>
        <v/>
      </c>
      <c r="F89" s="21">
        <f>'MID Term 1'!L86+'MID Term 2'!F86</f>
        <v/>
      </c>
      <c r="G89" s="21">
        <f>'MID Term 1'!P86+'MID Term 2'!J86</f>
        <v/>
      </c>
      <c r="H89" s="21">
        <f>'MID Term 1'!Q86+'MID Term 2'!N86</f>
        <v/>
      </c>
      <c r="I89" s="23">
        <f>IF((D89/$D$8)&gt;=$I$8,1,0)</f>
        <v/>
      </c>
      <c r="J89" s="23">
        <f>IF((E89/$E$8)&gt;=$J$8,1,0)</f>
        <v/>
      </c>
      <c r="K89" s="23">
        <f>IF((F89/$F$8)&gt;=$K$8,1,0)</f>
        <v/>
      </c>
      <c r="L89" s="23">
        <f>IF((G89/$G$8)&gt;=$L$8,1,0)</f>
        <v/>
      </c>
      <c r="M89" s="23">
        <f>IF((H89/$H$8)&gt;=$M$8,1,0)</f>
        <v/>
      </c>
      <c r="N89" s="21">
        <f>SUM(D89:H89)</f>
        <v/>
      </c>
      <c r="O89" s="23">
        <f>ROUND(N89/2,0)</f>
        <v/>
      </c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9.5" customHeight="1" s="98">
      <c r="A90" s="47">
        <f>'Sessional + End Term Assessment'!A88</f>
        <v/>
      </c>
      <c r="B90" s="74">
        <f>'Sessional + End Term Assessment'!B88</f>
        <v/>
      </c>
      <c r="C90" s="74">
        <f>'Sessional + End Term Assessment'!C88</f>
        <v/>
      </c>
      <c r="D90" s="21">
        <f>'MID Term 1'!D87+'MID Term 2'!D87</f>
        <v/>
      </c>
      <c r="E90" s="21">
        <f>'MID Term 1'!H87+'MID Term 2'!E87</f>
        <v/>
      </c>
      <c r="F90" s="21">
        <f>'MID Term 1'!L87+'MID Term 2'!F87</f>
        <v/>
      </c>
      <c r="G90" s="21">
        <f>'MID Term 1'!P87+'MID Term 2'!J87</f>
        <v/>
      </c>
      <c r="H90" s="21">
        <f>'MID Term 1'!Q87+'MID Term 2'!N87</f>
        <v/>
      </c>
      <c r="I90" s="23">
        <f>IF((D90/$D$8)&gt;=$I$8,1,0)</f>
        <v/>
      </c>
      <c r="J90" s="23">
        <f>IF((E90/$E$8)&gt;=$J$8,1,0)</f>
        <v/>
      </c>
      <c r="K90" s="23">
        <f>IF((F90/$F$8)&gt;=$K$8,1,0)</f>
        <v/>
      </c>
      <c r="L90" s="23">
        <f>IF((G90/$G$8)&gt;=$L$8,1,0)</f>
        <v/>
      </c>
      <c r="M90" s="23">
        <f>IF((H90/$H$8)&gt;=$M$8,1,0)</f>
        <v/>
      </c>
      <c r="N90" s="21">
        <f>SUM(D90:H90)</f>
        <v/>
      </c>
      <c r="O90" s="23">
        <f>ROUND(N90/2,0)</f>
        <v/>
      </c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9.5" customHeight="1" s="98">
      <c r="A91" s="47">
        <f>'Sessional + End Term Assessment'!A89</f>
        <v/>
      </c>
      <c r="B91" s="74">
        <f>'Sessional + End Term Assessment'!B89</f>
        <v/>
      </c>
      <c r="C91" s="74">
        <f>'Sessional + End Term Assessment'!C89</f>
        <v/>
      </c>
      <c r="D91" s="21">
        <f>'MID Term 1'!D88+'MID Term 2'!D88</f>
        <v/>
      </c>
      <c r="E91" s="21">
        <f>'MID Term 1'!H88+'MID Term 2'!E88</f>
        <v/>
      </c>
      <c r="F91" s="21">
        <f>'MID Term 1'!L88+'MID Term 2'!F88</f>
        <v/>
      </c>
      <c r="G91" s="21">
        <f>'MID Term 1'!P88+'MID Term 2'!J88</f>
        <v/>
      </c>
      <c r="H91" s="21">
        <f>'MID Term 1'!Q88+'MID Term 2'!N88</f>
        <v/>
      </c>
      <c r="I91" s="23">
        <f>IF((D91/$D$8)&gt;=$I$8,1,0)</f>
        <v/>
      </c>
      <c r="J91" s="23">
        <f>IF((E91/$E$8)&gt;=$J$8,1,0)</f>
        <v/>
      </c>
      <c r="K91" s="23">
        <f>IF((F91/$F$8)&gt;=$K$8,1,0)</f>
        <v/>
      </c>
      <c r="L91" s="23">
        <f>IF((G91/$G$8)&gt;=$L$8,1,0)</f>
        <v/>
      </c>
      <c r="M91" s="23">
        <f>IF((H91/$H$8)&gt;=$M$8,1,0)</f>
        <v/>
      </c>
      <c r="N91" s="21">
        <f>SUM(D91:H91)</f>
        <v/>
      </c>
      <c r="O91" s="23">
        <f>ROUND(N91/2,0)</f>
        <v/>
      </c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9.5" customHeight="1" s="98">
      <c r="A92" s="47">
        <f>'Sessional + End Term Assessment'!A90</f>
        <v/>
      </c>
      <c r="B92" s="74">
        <f>'Sessional + End Term Assessment'!B90</f>
        <v/>
      </c>
      <c r="C92" s="74">
        <f>'Sessional + End Term Assessment'!C90</f>
        <v/>
      </c>
      <c r="D92" s="21">
        <f>'MID Term 1'!D89+'MID Term 2'!D89</f>
        <v/>
      </c>
      <c r="E92" s="21">
        <f>'MID Term 1'!H89+'MID Term 2'!E89</f>
        <v/>
      </c>
      <c r="F92" s="21">
        <f>'MID Term 1'!L89+'MID Term 2'!F89</f>
        <v/>
      </c>
      <c r="G92" s="21">
        <f>'MID Term 1'!P89+'MID Term 2'!J89</f>
        <v/>
      </c>
      <c r="H92" s="21">
        <f>'MID Term 1'!Q89+'MID Term 2'!N89</f>
        <v/>
      </c>
      <c r="I92" s="23">
        <f>IF((D92/$D$8)&gt;=$I$8,1,0)</f>
        <v/>
      </c>
      <c r="J92" s="23">
        <f>IF((E92/$E$8)&gt;=$J$8,1,0)</f>
        <v/>
      </c>
      <c r="K92" s="23">
        <f>IF((F92/$F$8)&gt;=$K$8,1,0)</f>
        <v/>
      </c>
      <c r="L92" s="23">
        <f>IF((G92/$G$8)&gt;=$L$8,1,0)</f>
        <v/>
      </c>
      <c r="M92" s="23">
        <f>IF((H92/$H$8)&gt;=$M$8,1,0)</f>
        <v/>
      </c>
      <c r="N92" s="21">
        <f>SUM(D92:H92)</f>
        <v/>
      </c>
      <c r="O92" s="23">
        <f>ROUND(N92/2,0)</f>
        <v/>
      </c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9.5" customHeight="1" s="98">
      <c r="A93" s="47">
        <f>'Sessional + End Term Assessment'!A91</f>
        <v/>
      </c>
      <c r="B93" s="74">
        <f>'Sessional + End Term Assessment'!B91</f>
        <v/>
      </c>
      <c r="C93" s="74">
        <f>'Sessional + End Term Assessment'!C91</f>
        <v/>
      </c>
      <c r="D93" s="21">
        <f>'MID Term 1'!D90+'MID Term 2'!D90</f>
        <v/>
      </c>
      <c r="E93" s="21">
        <f>'MID Term 1'!H90+'MID Term 2'!E90</f>
        <v/>
      </c>
      <c r="F93" s="21">
        <f>'MID Term 1'!L90+'MID Term 2'!F90</f>
        <v/>
      </c>
      <c r="G93" s="21">
        <f>'MID Term 1'!P90+'MID Term 2'!J90</f>
        <v/>
      </c>
      <c r="H93" s="21">
        <f>'MID Term 1'!Q90+'MID Term 2'!N90</f>
        <v/>
      </c>
      <c r="I93" s="23">
        <f>IF((D93/$D$8)&gt;=$I$8,1,0)</f>
        <v/>
      </c>
      <c r="J93" s="23">
        <f>IF((E93/$E$8)&gt;=$J$8,1,0)</f>
        <v/>
      </c>
      <c r="K93" s="23">
        <f>IF((F93/$F$8)&gt;=$K$8,1,0)</f>
        <v/>
      </c>
      <c r="L93" s="23">
        <f>IF((G93/$G$8)&gt;=$L$8,1,0)</f>
        <v/>
      </c>
      <c r="M93" s="23">
        <f>IF((H93/$H$8)&gt;=$M$8,1,0)</f>
        <v/>
      </c>
      <c r="N93" s="21">
        <f>SUM(D93:H93)</f>
        <v/>
      </c>
      <c r="O93" s="23">
        <f>ROUND(N93/2,0)</f>
        <v/>
      </c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9.5" customHeight="1" s="98">
      <c r="A94" s="47">
        <f>'Sessional + End Term Assessment'!A92</f>
        <v/>
      </c>
      <c r="B94" s="74">
        <f>'Sessional + End Term Assessment'!B92</f>
        <v/>
      </c>
      <c r="C94" s="74">
        <f>'Sessional + End Term Assessment'!C92</f>
        <v/>
      </c>
      <c r="D94" s="21">
        <f>'MID Term 1'!D91+'MID Term 2'!D91</f>
        <v/>
      </c>
      <c r="E94" s="21">
        <f>'MID Term 1'!H91+'MID Term 2'!E91</f>
        <v/>
      </c>
      <c r="F94" s="21">
        <f>'MID Term 1'!L91+'MID Term 2'!F91</f>
        <v/>
      </c>
      <c r="G94" s="21">
        <f>'MID Term 1'!P91+'MID Term 2'!J91</f>
        <v/>
      </c>
      <c r="H94" s="21">
        <f>'MID Term 1'!Q91+'MID Term 2'!N91</f>
        <v/>
      </c>
      <c r="I94" s="23">
        <f>IF((D94/$D$8)&gt;=$I$8,1,0)</f>
        <v/>
      </c>
      <c r="J94" s="23">
        <f>IF((E94/$E$8)&gt;=$J$8,1,0)</f>
        <v/>
      </c>
      <c r="K94" s="23">
        <f>IF((F94/$F$8)&gt;=$K$8,1,0)</f>
        <v/>
      </c>
      <c r="L94" s="23">
        <f>IF((G94/$G$8)&gt;=$L$8,1,0)</f>
        <v/>
      </c>
      <c r="M94" s="23">
        <f>IF((H94/$H$8)&gt;=$M$8,1,0)</f>
        <v/>
      </c>
      <c r="N94" s="21">
        <f>SUM(D94:H94)</f>
        <v/>
      </c>
      <c r="O94" s="23">
        <f>ROUND(N94/2,0)</f>
        <v/>
      </c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9.5" customHeight="1" s="98">
      <c r="A95" s="47">
        <f>'Sessional + End Term Assessment'!A93</f>
        <v/>
      </c>
      <c r="B95" s="74">
        <f>'Sessional + End Term Assessment'!B93</f>
        <v/>
      </c>
      <c r="C95" s="74">
        <f>'Sessional + End Term Assessment'!C93</f>
        <v/>
      </c>
      <c r="D95" s="21">
        <f>'MID Term 1'!D92+'MID Term 2'!D92</f>
        <v/>
      </c>
      <c r="E95" s="21">
        <f>'MID Term 1'!H92+'MID Term 2'!E92</f>
        <v/>
      </c>
      <c r="F95" s="21">
        <f>'MID Term 1'!L92+'MID Term 2'!F92</f>
        <v/>
      </c>
      <c r="G95" s="21">
        <f>'MID Term 1'!P92+'MID Term 2'!J92</f>
        <v/>
      </c>
      <c r="H95" s="21">
        <f>'MID Term 1'!Q92+'MID Term 2'!N92</f>
        <v/>
      </c>
      <c r="I95" s="23">
        <f>IF((D95/$D$8)&gt;=$I$8,1,0)</f>
        <v/>
      </c>
      <c r="J95" s="23">
        <f>IF((E95/$E$8)&gt;=$J$8,1,0)</f>
        <v/>
      </c>
      <c r="K95" s="23">
        <f>IF((F95/$F$8)&gt;=$K$8,1,0)</f>
        <v/>
      </c>
      <c r="L95" s="23">
        <f>IF((G95/$G$8)&gt;=$L$8,1,0)</f>
        <v/>
      </c>
      <c r="M95" s="23">
        <f>IF((H95/$H$8)&gt;=$M$8,1,0)</f>
        <v/>
      </c>
      <c r="N95" s="21">
        <f>SUM(D95:H95)</f>
        <v/>
      </c>
      <c r="O95" s="23">
        <f>ROUND(N95/2,0)</f>
        <v/>
      </c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9.5" customHeight="1" s="98">
      <c r="A96" s="47">
        <f>'Sessional + End Term Assessment'!A94</f>
        <v/>
      </c>
      <c r="B96" s="74">
        <f>'Sessional + End Term Assessment'!B94</f>
        <v/>
      </c>
      <c r="C96" s="74">
        <f>'Sessional + End Term Assessment'!C94</f>
        <v/>
      </c>
      <c r="D96" s="21">
        <f>'MID Term 1'!D93+'MID Term 2'!D93</f>
        <v/>
      </c>
      <c r="E96" s="21">
        <f>'MID Term 1'!H93+'MID Term 2'!E93</f>
        <v/>
      </c>
      <c r="F96" s="21">
        <f>'MID Term 1'!L93+'MID Term 2'!F93</f>
        <v/>
      </c>
      <c r="G96" s="21">
        <f>'MID Term 1'!P93+'MID Term 2'!J93</f>
        <v/>
      </c>
      <c r="H96" s="21">
        <f>'MID Term 1'!Q93+'MID Term 2'!N93</f>
        <v/>
      </c>
      <c r="I96" s="23">
        <f>IF((D96/$D$8)&gt;=$I$8,1,0)</f>
        <v/>
      </c>
      <c r="J96" s="23">
        <f>IF((E96/$E$8)&gt;=$J$8,1,0)</f>
        <v/>
      </c>
      <c r="K96" s="23">
        <f>IF((F96/$F$8)&gt;=$K$8,1,0)</f>
        <v/>
      </c>
      <c r="L96" s="23">
        <f>IF((G96/$G$8)&gt;=$L$8,1,0)</f>
        <v/>
      </c>
      <c r="M96" s="23">
        <f>IF((H96/$H$8)&gt;=$M$8,1,0)</f>
        <v/>
      </c>
      <c r="N96" s="21">
        <f>SUM(D96:H96)</f>
        <v/>
      </c>
      <c r="O96" s="23">
        <f>ROUND(N96/2,0)</f>
        <v/>
      </c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9.5" customHeight="1" s="98">
      <c r="A97" s="47">
        <f>'Sessional + End Term Assessment'!A95</f>
        <v/>
      </c>
      <c r="B97" s="74">
        <f>'Sessional + End Term Assessment'!B95</f>
        <v/>
      </c>
      <c r="C97" s="74">
        <f>'Sessional + End Term Assessment'!C95</f>
        <v/>
      </c>
      <c r="D97" s="21">
        <f>'MID Term 1'!D94+'MID Term 2'!D94</f>
        <v/>
      </c>
      <c r="E97" s="21">
        <f>'MID Term 1'!H94+'MID Term 2'!E94</f>
        <v/>
      </c>
      <c r="F97" s="21">
        <f>'MID Term 1'!L94+'MID Term 2'!F94</f>
        <v/>
      </c>
      <c r="G97" s="21">
        <f>'MID Term 1'!P94+'MID Term 2'!J94</f>
        <v/>
      </c>
      <c r="H97" s="21">
        <f>'MID Term 1'!Q94+'MID Term 2'!N94</f>
        <v/>
      </c>
      <c r="I97" s="23">
        <f>IF((D97/$D$8)&gt;=$I$8,1,0)</f>
        <v/>
      </c>
      <c r="J97" s="23">
        <f>IF((E97/$E$8)&gt;=$J$8,1,0)</f>
        <v/>
      </c>
      <c r="K97" s="23">
        <f>IF((F97/$F$8)&gt;=$K$8,1,0)</f>
        <v/>
      </c>
      <c r="L97" s="23">
        <f>IF((G97/$G$8)&gt;=$L$8,1,0)</f>
        <v/>
      </c>
      <c r="M97" s="23">
        <f>IF((H97/$H$8)&gt;=$M$8,1,0)</f>
        <v/>
      </c>
      <c r="N97" s="21">
        <f>SUM(D97:H97)</f>
        <v/>
      </c>
      <c r="O97" s="23">
        <f>ROUND(N97/2,0)</f>
        <v/>
      </c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9.5" customHeight="1" s="98">
      <c r="A98" s="47">
        <f>'Sessional + End Term Assessment'!A96</f>
        <v/>
      </c>
      <c r="B98" s="74">
        <f>'Sessional + End Term Assessment'!B96</f>
        <v/>
      </c>
      <c r="C98" s="74">
        <f>'Sessional + End Term Assessment'!C96</f>
        <v/>
      </c>
      <c r="D98" s="21">
        <f>'MID Term 1'!D95+'MID Term 2'!D95</f>
        <v/>
      </c>
      <c r="E98" s="21">
        <f>'MID Term 1'!H95+'MID Term 2'!E95</f>
        <v/>
      </c>
      <c r="F98" s="21">
        <f>'MID Term 1'!L95+'MID Term 2'!F95</f>
        <v/>
      </c>
      <c r="G98" s="21">
        <f>'MID Term 1'!P95+'MID Term 2'!J95</f>
        <v/>
      </c>
      <c r="H98" s="21">
        <f>'MID Term 1'!Q95+'MID Term 2'!N95</f>
        <v/>
      </c>
      <c r="I98" s="23">
        <f>IF((D98/$D$8)&gt;=$I$8,1,0)</f>
        <v/>
      </c>
      <c r="J98" s="23">
        <f>IF((E98/$E$8)&gt;=$J$8,1,0)</f>
        <v/>
      </c>
      <c r="K98" s="23">
        <f>IF((F98/$F$8)&gt;=$K$8,1,0)</f>
        <v/>
      </c>
      <c r="L98" s="23">
        <f>IF((G98/$G$8)&gt;=$L$8,1,0)</f>
        <v/>
      </c>
      <c r="M98" s="23">
        <f>IF((H98/$H$8)&gt;=$M$8,1,0)</f>
        <v/>
      </c>
      <c r="N98" s="21">
        <f>SUM(D98:H98)</f>
        <v/>
      </c>
      <c r="O98" s="23">
        <f>ROUND(N98/2,0)</f>
        <v/>
      </c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9.5" customHeight="1" s="98">
      <c r="A99" s="47">
        <f>'Sessional + End Term Assessment'!A97</f>
        <v/>
      </c>
      <c r="B99" s="74">
        <f>'Sessional + End Term Assessment'!B97</f>
        <v/>
      </c>
      <c r="C99" s="74">
        <f>'Sessional + End Term Assessment'!C97</f>
        <v/>
      </c>
      <c r="D99" s="21">
        <f>'MID Term 1'!D96+'MID Term 2'!D96</f>
        <v/>
      </c>
      <c r="E99" s="21">
        <f>'MID Term 1'!H96+'MID Term 2'!E96</f>
        <v/>
      </c>
      <c r="F99" s="21">
        <f>'MID Term 1'!L96+'MID Term 2'!F96</f>
        <v/>
      </c>
      <c r="G99" s="21">
        <f>'MID Term 1'!P96+'MID Term 2'!J96</f>
        <v/>
      </c>
      <c r="H99" s="21">
        <f>'MID Term 1'!Q96+'MID Term 2'!N96</f>
        <v/>
      </c>
      <c r="I99" s="23">
        <f>IF((D99/$D$8)&gt;=$I$8,1,0)</f>
        <v/>
      </c>
      <c r="J99" s="23">
        <f>IF((E99/$E$8)&gt;=$J$8,1,0)</f>
        <v/>
      </c>
      <c r="K99" s="23">
        <f>IF((F99/$F$8)&gt;=$K$8,1,0)</f>
        <v/>
      </c>
      <c r="L99" s="23">
        <f>IF((G99/$G$8)&gt;=$L$8,1,0)</f>
        <v/>
      </c>
      <c r="M99" s="23">
        <f>IF((H99/$H$8)&gt;=$M$8,1,0)</f>
        <v/>
      </c>
      <c r="N99" s="21">
        <f>SUM(D99:H99)</f>
        <v/>
      </c>
      <c r="O99" s="23">
        <f>ROUND(N99/2,0)</f>
        <v/>
      </c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9.5" customHeight="1" s="98">
      <c r="A100" s="47">
        <f>'Sessional + End Term Assessment'!A98</f>
        <v/>
      </c>
      <c r="B100" s="74">
        <f>'Sessional + End Term Assessment'!B98</f>
        <v/>
      </c>
      <c r="C100" s="74">
        <f>'Sessional + End Term Assessment'!C98</f>
        <v/>
      </c>
      <c r="D100" s="21">
        <f>'MID Term 1'!D97+'MID Term 2'!D97</f>
        <v/>
      </c>
      <c r="E100" s="21">
        <f>'MID Term 1'!H97+'MID Term 2'!E97</f>
        <v/>
      </c>
      <c r="F100" s="21">
        <f>'MID Term 1'!L97+'MID Term 2'!F97</f>
        <v/>
      </c>
      <c r="G100" s="21">
        <f>'MID Term 1'!P97+'MID Term 2'!J97</f>
        <v/>
      </c>
      <c r="H100" s="21">
        <f>'MID Term 1'!Q97+'MID Term 2'!N97</f>
        <v/>
      </c>
      <c r="I100" s="23">
        <f>IF((D100/$D$8)&gt;=$I$8,1,0)</f>
        <v/>
      </c>
      <c r="J100" s="23">
        <f>IF((E100/$E$8)&gt;=$J$8,1,0)</f>
        <v/>
      </c>
      <c r="K100" s="23">
        <f>IF((F100/$F$8)&gt;=$K$8,1,0)</f>
        <v/>
      </c>
      <c r="L100" s="23">
        <f>IF((G100/$G$8)&gt;=$L$8,1,0)</f>
        <v/>
      </c>
      <c r="M100" s="23">
        <f>IF((H100/$H$8)&gt;=$M$8,1,0)</f>
        <v/>
      </c>
      <c r="N100" s="21">
        <f>SUM(D100:H100)</f>
        <v/>
      </c>
      <c r="O100" s="23">
        <f>ROUND(N100/2,0)</f>
        <v/>
      </c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9.5" customHeight="1" s="98">
      <c r="A101" s="47">
        <f>'Sessional + End Term Assessment'!A99</f>
        <v/>
      </c>
      <c r="B101" s="74">
        <f>'Sessional + End Term Assessment'!B99</f>
        <v/>
      </c>
      <c r="C101" s="74">
        <f>'Sessional + End Term Assessment'!C99</f>
        <v/>
      </c>
      <c r="D101" s="21">
        <f>'MID Term 1'!D98+'MID Term 2'!D98</f>
        <v/>
      </c>
      <c r="E101" s="21">
        <f>'MID Term 1'!H98+'MID Term 2'!E98</f>
        <v/>
      </c>
      <c r="F101" s="21">
        <f>'MID Term 1'!L98+'MID Term 2'!F98</f>
        <v/>
      </c>
      <c r="G101" s="21">
        <f>'MID Term 1'!P98+'MID Term 2'!J98</f>
        <v/>
      </c>
      <c r="H101" s="21">
        <f>'MID Term 1'!Q98+'MID Term 2'!N98</f>
        <v/>
      </c>
      <c r="I101" s="23">
        <f>IF((D101/$D$8)&gt;=$I$8,1,0)</f>
        <v/>
      </c>
      <c r="J101" s="23">
        <f>IF((E101/$E$8)&gt;=$J$8,1,0)</f>
        <v/>
      </c>
      <c r="K101" s="23">
        <f>IF((F101/$F$8)&gt;=$K$8,1,0)</f>
        <v/>
      </c>
      <c r="L101" s="23">
        <f>IF((G101/$G$8)&gt;=$L$8,1,0)</f>
        <v/>
      </c>
      <c r="M101" s="23">
        <f>IF((H101/$H$8)&gt;=$M$8,1,0)</f>
        <v/>
      </c>
      <c r="N101" s="21">
        <f>SUM(D101:H101)</f>
        <v/>
      </c>
      <c r="O101" s="23">
        <f>ROUND(N101/2,0)</f>
        <v/>
      </c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9.5" customHeight="1" s="98">
      <c r="A102" s="47">
        <f>'Sessional + End Term Assessment'!A100</f>
        <v/>
      </c>
      <c r="B102" s="74">
        <f>'Sessional + End Term Assessment'!B100</f>
        <v/>
      </c>
      <c r="C102" s="74">
        <f>'Sessional + End Term Assessment'!C100</f>
        <v/>
      </c>
      <c r="D102" s="21">
        <f>'MID Term 1'!D99+'MID Term 2'!D99</f>
        <v/>
      </c>
      <c r="E102" s="21">
        <f>'MID Term 1'!H99+'MID Term 2'!E99</f>
        <v/>
      </c>
      <c r="F102" s="21">
        <f>'MID Term 1'!L99+'MID Term 2'!F99</f>
        <v/>
      </c>
      <c r="G102" s="21">
        <f>'MID Term 1'!P99+'MID Term 2'!J99</f>
        <v/>
      </c>
      <c r="H102" s="21">
        <f>'MID Term 1'!Q99+'MID Term 2'!N99</f>
        <v/>
      </c>
      <c r="I102" s="23">
        <f>IF((D102/$D$8)&gt;=$I$8,1,0)</f>
        <v/>
      </c>
      <c r="J102" s="23">
        <f>IF((E102/$E$8)&gt;=$J$8,1,0)</f>
        <v/>
      </c>
      <c r="K102" s="23">
        <f>IF((F102/$F$8)&gt;=$K$8,1,0)</f>
        <v/>
      </c>
      <c r="L102" s="23">
        <f>IF((G102/$G$8)&gt;=$L$8,1,0)</f>
        <v/>
      </c>
      <c r="M102" s="23">
        <f>IF((H102/$H$8)&gt;=$M$8,1,0)</f>
        <v/>
      </c>
      <c r="N102" s="21">
        <f>SUM(D102:H102)</f>
        <v/>
      </c>
      <c r="O102" s="23">
        <f>ROUND(N102/2,0)</f>
        <v/>
      </c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9.5" customHeight="1" s="98">
      <c r="A103" s="47">
        <f>'Sessional + End Term Assessment'!A101</f>
        <v/>
      </c>
      <c r="B103" s="74">
        <f>'Sessional + End Term Assessment'!B101</f>
        <v/>
      </c>
      <c r="C103" s="74">
        <f>'Sessional + End Term Assessment'!C101</f>
        <v/>
      </c>
      <c r="D103" s="21">
        <f>'MID Term 1'!D100+'MID Term 2'!D100</f>
        <v/>
      </c>
      <c r="E103" s="21">
        <f>'MID Term 1'!H100+'MID Term 2'!E100</f>
        <v/>
      </c>
      <c r="F103" s="21">
        <f>'MID Term 1'!L100+'MID Term 2'!F100</f>
        <v/>
      </c>
      <c r="G103" s="21">
        <f>'MID Term 1'!P100+'MID Term 2'!J100</f>
        <v/>
      </c>
      <c r="H103" s="21">
        <f>'MID Term 1'!Q100+'MID Term 2'!N100</f>
        <v/>
      </c>
      <c r="I103" s="23">
        <f>IF((D103/$D$8)&gt;=$I$8,1,0)</f>
        <v/>
      </c>
      <c r="J103" s="23">
        <f>IF((E103/$E$8)&gt;=$J$8,1,0)</f>
        <v/>
      </c>
      <c r="K103" s="23">
        <f>IF((F103/$F$8)&gt;=$K$8,1,0)</f>
        <v/>
      </c>
      <c r="L103" s="23">
        <f>IF((G103/$G$8)&gt;=$L$8,1,0)</f>
        <v/>
      </c>
      <c r="M103" s="23">
        <f>IF((H103/$H$8)&gt;=$M$8,1,0)</f>
        <v/>
      </c>
      <c r="N103" s="21">
        <f>SUM(D103:H103)</f>
        <v/>
      </c>
      <c r="O103" s="23">
        <f>ROUND(N103/2,0)</f>
        <v/>
      </c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9.5" customHeight="1" s="98">
      <c r="A104" s="47">
        <f>'Sessional + End Term Assessment'!A102</f>
        <v/>
      </c>
      <c r="B104" s="74">
        <f>'Sessional + End Term Assessment'!B102</f>
        <v/>
      </c>
      <c r="C104" s="74">
        <f>'Sessional + End Term Assessment'!C102</f>
        <v/>
      </c>
      <c r="D104" s="21">
        <f>'MID Term 1'!D101+'MID Term 2'!D101</f>
        <v/>
      </c>
      <c r="E104" s="21">
        <f>'MID Term 1'!H101+'MID Term 2'!E101</f>
        <v/>
      </c>
      <c r="F104" s="21">
        <f>'MID Term 1'!L101+'MID Term 2'!F101</f>
        <v/>
      </c>
      <c r="G104" s="21">
        <f>'MID Term 1'!P101+'MID Term 2'!J101</f>
        <v/>
      </c>
      <c r="H104" s="21">
        <f>'MID Term 1'!Q101+'MID Term 2'!N101</f>
        <v/>
      </c>
      <c r="I104" s="23">
        <f>IF((D104/$D$8)&gt;=$I$8,1,0)</f>
        <v/>
      </c>
      <c r="J104" s="23">
        <f>IF((E104/$E$8)&gt;=$J$8,1,0)</f>
        <v/>
      </c>
      <c r="K104" s="23">
        <f>IF((F104/$F$8)&gt;=$K$8,1,0)</f>
        <v/>
      </c>
      <c r="L104" s="23">
        <f>IF((G104/$G$8)&gt;=$L$8,1,0)</f>
        <v/>
      </c>
      <c r="M104" s="23">
        <f>IF((H104/$H$8)&gt;=$M$8,1,0)</f>
        <v/>
      </c>
      <c r="N104" s="21">
        <f>SUM(D104:H104)</f>
        <v/>
      </c>
      <c r="O104" s="23">
        <f>ROUND(N104/2,0)</f>
        <v/>
      </c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9.5" customHeight="1" s="98">
      <c r="A105" s="47">
        <f>'Sessional + End Term Assessment'!A103</f>
        <v/>
      </c>
      <c r="B105" s="74">
        <f>'Sessional + End Term Assessment'!B103</f>
        <v/>
      </c>
      <c r="C105" s="74">
        <f>'Sessional + End Term Assessment'!C103</f>
        <v/>
      </c>
      <c r="D105" s="21">
        <f>'MID Term 1'!D102+'MID Term 2'!D102</f>
        <v/>
      </c>
      <c r="E105" s="21">
        <f>'MID Term 1'!H102+'MID Term 2'!E102</f>
        <v/>
      </c>
      <c r="F105" s="21">
        <f>'MID Term 1'!L102+'MID Term 2'!F102</f>
        <v/>
      </c>
      <c r="G105" s="21">
        <f>'MID Term 1'!P102+'MID Term 2'!J102</f>
        <v/>
      </c>
      <c r="H105" s="21">
        <f>'MID Term 1'!Q102+'MID Term 2'!N102</f>
        <v/>
      </c>
      <c r="I105" s="23">
        <f>IF((D105/$D$8)&gt;=$I$8,1,0)</f>
        <v/>
      </c>
      <c r="J105" s="23">
        <f>IF((E105/$E$8)&gt;=$J$8,1,0)</f>
        <v/>
      </c>
      <c r="K105" s="23">
        <f>IF((F105/$F$8)&gt;=$K$8,1,0)</f>
        <v/>
      </c>
      <c r="L105" s="23">
        <f>IF((G105/$G$8)&gt;=$L$8,1,0)</f>
        <v/>
      </c>
      <c r="M105" s="23">
        <f>IF((H105/$H$8)&gt;=$M$8,1,0)</f>
        <v/>
      </c>
      <c r="N105" s="21">
        <f>SUM(D105:H105)</f>
        <v/>
      </c>
      <c r="O105" s="23">
        <f>ROUND(N105/2,0)</f>
        <v/>
      </c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9.5" customHeight="1" s="98">
      <c r="A106" s="47">
        <f>'Sessional + End Term Assessment'!A104</f>
        <v/>
      </c>
      <c r="B106" s="74">
        <f>'Sessional + End Term Assessment'!B104</f>
        <v/>
      </c>
      <c r="C106" s="74">
        <f>'Sessional + End Term Assessment'!C104</f>
        <v/>
      </c>
      <c r="D106" s="21">
        <f>'MID Term 1'!D103+'MID Term 2'!D103</f>
        <v/>
      </c>
      <c r="E106" s="21">
        <f>'MID Term 1'!H103+'MID Term 2'!E103</f>
        <v/>
      </c>
      <c r="F106" s="21">
        <f>'MID Term 1'!L103+'MID Term 2'!F103</f>
        <v/>
      </c>
      <c r="G106" s="21">
        <f>'MID Term 1'!P103+'MID Term 2'!J103</f>
        <v/>
      </c>
      <c r="H106" s="21">
        <f>'MID Term 1'!Q103+'MID Term 2'!N103</f>
        <v/>
      </c>
      <c r="I106" s="23">
        <f>IF((D106/$D$8)&gt;=$I$8,1,0)</f>
        <v/>
      </c>
      <c r="J106" s="23">
        <f>IF((E106/$E$8)&gt;=$J$8,1,0)</f>
        <v/>
      </c>
      <c r="K106" s="23">
        <f>IF((F106/$F$8)&gt;=$K$8,1,0)</f>
        <v/>
      </c>
      <c r="L106" s="23">
        <f>IF((G106/$G$8)&gt;=$L$8,1,0)</f>
        <v/>
      </c>
      <c r="M106" s="23">
        <f>IF((H106/$H$8)&gt;=$M$8,1,0)</f>
        <v/>
      </c>
      <c r="N106" s="21">
        <f>SUM(D106:H106)</f>
        <v/>
      </c>
      <c r="O106" s="23">
        <f>ROUND(N106/2,0)</f>
        <v/>
      </c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9.5" customHeight="1" s="98">
      <c r="A107" s="47">
        <f>'Sessional + End Term Assessment'!A105</f>
        <v/>
      </c>
      <c r="B107" s="74">
        <f>'Sessional + End Term Assessment'!B105</f>
        <v/>
      </c>
      <c r="C107" s="74">
        <f>'Sessional + End Term Assessment'!C105</f>
        <v/>
      </c>
      <c r="D107" s="21">
        <f>'MID Term 1'!D104+'MID Term 2'!D104</f>
        <v/>
      </c>
      <c r="E107" s="21">
        <f>'MID Term 1'!H104+'MID Term 2'!E104</f>
        <v/>
      </c>
      <c r="F107" s="21">
        <f>'MID Term 1'!L104+'MID Term 2'!F104</f>
        <v/>
      </c>
      <c r="G107" s="21">
        <f>'MID Term 1'!P104+'MID Term 2'!J104</f>
        <v/>
      </c>
      <c r="H107" s="21">
        <f>'MID Term 1'!Q104+'MID Term 2'!N104</f>
        <v/>
      </c>
      <c r="I107" s="23">
        <f>IF((D107/$D$8)&gt;=$I$8,1,0)</f>
        <v/>
      </c>
      <c r="J107" s="23">
        <f>IF((E107/$E$8)&gt;=$J$8,1,0)</f>
        <v/>
      </c>
      <c r="K107" s="23">
        <f>IF((F107/$F$8)&gt;=$K$8,1,0)</f>
        <v/>
      </c>
      <c r="L107" s="23">
        <f>IF((G107/$G$8)&gt;=$L$8,1,0)</f>
        <v/>
      </c>
      <c r="M107" s="23">
        <f>IF((H107/$H$8)&gt;=$M$8,1,0)</f>
        <v/>
      </c>
      <c r="N107" s="21">
        <f>SUM(D107:H107)</f>
        <v/>
      </c>
      <c r="O107" s="23">
        <f>ROUND(N107/2,0)</f>
        <v/>
      </c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9.5" customHeight="1" s="98">
      <c r="A108" s="47">
        <f>'Sessional + End Term Assessment'!A106</f>
        <v/>
      </c>
      <c r="B108" s="74">
        <f>'Sessional + End Term Assessment'!B106</f>
        <v/>
      </c>
      <c r="C108" s="74">
        <f>'Sessional + End Term Assessment'!C106</f>
        <v/>
      </c>
      <c r="D108" s="21">
        <f>'MID Term 1'!D105+'MID Term 2'!D105</f>
        <v/>
      </c>
      <c r="E108" s="21">
        <f>'MID Term 1'!H105+'MID Term 2'!E105</f>
        <v/>
      </c>
      <c r="F108" s="21">
        <f>'MID Term 1'!L105+'MID Term 2'!F105</f>
        <v/>
      </c>
      <c r="G108" s="21">
        <f>'MID Term 1'!P105+'MID Term 2'!J105</f>
        <v/>
      </c>
      <c r="H108" s="21">
        <f>'MID Term 1'!Q105+'MID Term 2'!N105</f>
        <v/>
      </c>
      <c r="I108" s="23">
        <f>IF((D108/$D$8)&gt;=$I$8,1,0)</f>
        <v/>
      </c>
      <c r="J108" s="23">
        <f>IF((E108/$E$8)&gt;=$J$8,1,0)</f>
        <v/>
      </c>
      <c r="K108" s="23">
        <f>IF((F108/$F$8)&gt;=$K$8,1,0)</f>
        <v/>
      </c>
      <c r="L108" s="23">
        <f>IF((G108/$G$8)&gt;=$L$8,1,0)</f>
        <v/>
      </c>
      <c r="M108" s="23">
        <f>IF((H108/$H$8)&gt;=$M$8,1,0)</f>
        <v/>
      </c>
      <c r="N108" s="21">
        <f>SUM(D108:H108)</f>
        <v/>
      </c>
      <c r="O108" s="23">
        <f>ROUND(N108/2,0)</f>
        <v/>
      </c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9.5" customHeight="1" s="98">
      <c r="A109" s="47">
        <f>'Sessional + End Term Assessment'!A107</f>
        <v/>
      </c>
      <c r="B109" s="74">
        <f>'Sessional + End Term Assessment'!B107</f>
        <v/>
      </c>
      <c r="C109" s="74">
        <f>'Sessional + End Term Assessment'!C107</f>
        <v/>
      </c>
      <c r="D109" s="21">
        <f>'MID Term 1'!D106+'MID Term 2'!D106</f>
        <v/>
      </c>
      <c r="E109" s="21">
        <f>'MID Term 1'!H106+'MID Term 2'!E106</f>
        <v/>
      </c>
      <c r="F109" s="21">
        <f>'MID Term 1'!L106+'MID Term 2'!F106</f>
        <v/>
      </c>
      <c r="G109" s="21">
        <f>'MID Term 1'!P106+'MID Term 2'!J106</f>
        <v/>
      </c>
      <c r="H109" s="21">
        <f>'MID Term 1'!Q106+'MID Term 2'!N106</f>
        <v/>
      </c>
      <c r="I109" s="23">
        <f>IF((D109/$D$8)&gt;=$I$8,1,0)</f>
        <v/>
      </c>
      <c r="J109" s="23">
        <f>IF((E109/$E$8)&gt;=$J$8,1,0)</f>
        <v/>
      </c>
      <c r="K109" s="23">
        <f>IF((F109/$F$8)&gt;=$K$8,1,0)</f>
        <v/>
      </c>
      <c r="L109" s="23">
        <f>IF((G109/$G$8)&gt;=$L$8,1,0)</f>
        <v/>
      </c>
      <c r="M109" s="23">
        <f>IF((H109/$H$8)&gt;=$M$8,1,0)</f>
        <v/>
      </c>
      <c r="N109" s="21">
        <f>SUM(D109:H109)</f>
        <v/>
      </c>
      <c r="O109" s="23">
        <f>ROUND(N109/2,0)</f>
        <v/>
      </c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30" customHeight="1" s="98">
      <c r="A110" s="47">
        <f>'Sessional + End Term Assessment'!A108</f>
        <v/>
      </c>
      <c r="B110" s="74">
        <f>'Sessional + End Term Assessment'!B108</f>
        <v/>
      </c>
      <c r="C110" s="74">
        <f>'Sessional + End Term Assessment'!C108</f>
        <v/>
      </c>
      <c r="D110" s="21">
        <f>'MID Term 1'!D107+'MID Term 2'!D107</f>
        <v/>
      </c>
      <c r="E110" s="21">
        <f>'MID Term 1'!H107+'MID Term 2'!E107</f>
        <v/>
      </c>
      <c r="F110" s="21">
        <f>'MID Term 1'!L107+'MID Term 2'!F107</f>
        <v/>
      </c>
      <c r="G110" s="21">
        <f>'MID Term 1'!P107+'MID Term 2'!J107</f>
        <v/>
      </c>
      <c r="H110" s="21">
        <f>'MID Term 1'!Q107+'MID Term 2'!N107</f>
        <v/>
      </c>
      <c r="I110" s="23">
        <f>IF((D110/$D$8)&gt;=$I$8,1,0)</f>
        <v/>
      </c>
      <c r="J110" s="23">
        <f>IF((E110/$E$8)&gt;=$J$8,1,0)</f>
        <v/>
      </c>
      <c r="K110" s="23">
        <f>IF((F110/$F$8)&gt;=$K$8,1,0)</f>
        <v/>
      </c>
      <c r="L110" s="23">
        <f>IF((G110/$G$8)&gt;=$L$8,1,0)</f>
        <v/>
      </c>
      <c r="M110" s="23">
        <f>IF((H110/$H$8)&gt;=$M$8,1,0)</f>
        <v/>
      </c>
      <c r="N110" s="21">
        <f>SUM(D110:H110)</f>
        <v/>
      </c>
      <c r="O110" s="23">
        <f>ROUND(N110/2,0)</f>
        <v/>
      </c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29.25" customHeight="1" s="98">
      <c r="A111" s="47">
        <f>'Sessional + End Term Assessment'!A109</f>
        <v/>
      </c>
      <c r="B111" s="74">
        <f>'Sessional + End Term Assessment'!B109</f>
        <v/>
      </c>
      <c r="C111" s="74">
        <f>'Sessional + End Term Assessment'!C109</f>
        <v/>
      </c>
      <c r="D111" s="21">
        <f>'MID Term 1'!D108+'MID Term 2'!D108</f>
        <v/>
      </c>
      <c r="E111" s="21">
        <f>'MID Term 1'!H108+'MID Term 2'!E108</f>
        <v/>
      </c>
      <c r="F111" s="21">
        <f>'MID Term 1'!L108+'MID Term 2'!F108</f>
        <v/>
      </c>
      <c r="G111" s="21">
        <f>'MID Term 1'!P108+'MID Term 2'!J108</f>
        <v/>
      </c>
      <c r="H111" s="21">
        <f>'MID Term 1'!Q108+'MID Term 2'!N108</f>
        <v/>
      </c>
      <c r="I111" s="23">
        <f>IF((D111/$D$8)&gt;=$I$8,1,0)</f>
        <v/>
      </c>
      <c r="J111" s="23">
        <f>IF((E111/$E$8)&gt;=$J$8,1,0)</f>
        <v/>
      </c>
      <c r="K111" s="23">
        <f>IF((F111/$F$8)&gt;=$K$8,1,0)</f>
        <v/>
      </c>
      <c r="L111" s="23">
        <f>IF((G111/$G$8)&gt;=$L$8,1,0)</f>
        <v/>
      </c>
      <c r="M111" s="23">
        <f>IF((H111/$H$8)&gt;=$M$8,1,0)</f>
        <v/>
      </c>
      <c r="N111" s="21">
        <f>SUM(D111:H111)</f>
        <v/>
      </c>
      <c r="O111" s="23">
        <f>ROUND(N111/2,0)</f>
        <v/>
      </c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9.5" customHeight="1" s="98">
      <c r="A112" s="47">
        <f>'Sessional + End Term Assessment'!A110</f>
        <v/>
      </c>
      <c r="B112" s="74">
        <f>'Sessional + End Term Assessment'!B110</f>
        <v/>
      </c>
      <c r="C112" s="74">
        <f>'Sessional + End Term Assessment'!C110</f>
        <v/>
      </c>
      <c r="D112" s="21">
        <f>'MID Term 1'!D109+'MID Term 2'!D109</f>
        <v/>
      </c>
      <c r="E112" s="21">
        <f>'MID Term 1'!H109+'MID Term 2'!E109</f>
        <v/>
      </c>
      <c r="F112" s="21">
        <f>'MID Term 1'!L109+'MID Term 2'!F109</f>
        <v/>
      </c>
      <c r="G112" s="21">
        <f>'MID Term 1'!P109+'MID Term 2'!J109</f>
        <v/>
      </c>
      <c r="H112" s="21">
        <f>'MID Term 1'!Q109+'MID Term 2'!N109</f>
        <v/>
      </c>
      <c r="I112" s="23">
        <f>IF((D112/$D$8)&gt;=$I$8,1,0)</f>
        <v/>
      </c>
      <c r="J112" s="23">
        <f>IF((E112/$E$8)&gt;=$J$8,1,0)</f>
        <v/>
      </c>
      <c r="K112" s="23">
        <f>IF((F112/$F$8)&gt;=$K$8,1,0)</f>
        <v/>
      </c>
      <c r="L112" s="23">
        <f>IF((G112/$G$8)&gt;=$L$8,1,0)</f>
        <v/>
      </c>
      <c r="M112" s="23">
        <f>IF((H112/$H$8)&gt;=$M$8,1,0)</f>
        <v/>
      </c>
      <c r="N112" s="21">
        <f>SUM(D112:H112)</f>
        <v/>
      </c>
      <c r="O112" s="23">
        <f>ROUND(N112/2,0)</f>
        <v/>
      </c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9.5" customHeight="1" s="98">
      <c r="A113" s="47">
        <f>'Sessional + End Term Assessment'!A111</f>
        <v/>
      </c>
      <c r="B113" s="74">
        <f>'Sessional + End Term Assessment'!B111</f>
        <v/>
      </c>
      <c r="C113" s="74">
        <f>'Sessional + End Term Assessment'!C111</f>
        <v/>
      </c>
      <c r="D113" s="21">
        <f>'MID Term 1'!D110+'MID Term 2'!D110</f>
        <v/>
      </c>
      <c r="E113" s="21">
        <f>'MID Term 1'!H110+'MID Term 2'!E110</f>
        <v/>
      </c>
      <c r="F113" s="21">
        <f>'MID Term 1'!L110+'MID Term 2'!F110</f>
        <v/>
      </c>
      <c r="G113" s="21">
        <f>'MID Term 1'!P110+'MID Term 2'!J110</f>
        <v/>
      </c>
      <c r="H113" s="21">
        <f>'MID Term 1'!Q110+'MID Term 2'!N110</f>
        <v/>
      </c>
      <c r="I113" s="23">
        <f>IF((D113/$D$8)&gt;=$I$8,1,0)</f>
        <v/>
      </c>
      <c r="J113" s="23">
        <f>IF((E113/$E$8)&gt;=$J$8,1,0)</f>
        <v/>
      </c>
      <c r="K113" s="23">
        <f>IF((F113/$F$8)&gt;=$K$8,1,0)</f>
        <v/>
      </c>
      <c r="L113" s="23">
        <f>IF((G113/$G$8)&gt;=$L$8,1,0)</f>
        <v/>
      </c>
      <c r="M113" s="23">
        <f>IF((H113/$H$8)&gt;=$M$8,1,0)</f>
        <v/>
      </c>
      <c r="N113" s="21">
        <f>SUM(D113:H113)</f>
        <v/>
      </c>
      <c r="O113" s="23">
        <f>ROUND(N113/2,0)</f>
        <v/>
      </c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9.5" customHeight="1" s="98">
      <c r="A114" s="47">
        <f>'Sessional + End Term Assessment'!A112</f>
        <v/>
      </c>
      <c r="B114" s="74">
        <f>'Sessional + End Term Assessment'!B112</f>
        <v/>
      </c>
      <c r="C114" s="74">
        <f>'Sessional + End Term Assessment'!C112</f>
        <v/>
      </c>
      <c r="D114" s="21">
        <f>'MID Term 1'!D111+'MID Term 2'!D111</f>
        <v/>
      </c>
      <c r="E114" s="21">
        <f>'MID Term 1'!H111+'MID Term 2'!E111</f>
        <v/>
      </c>
      <c r="F114" s="21">
        <f>'MID Term 1'!L111+'MID Term 2'!F111</f>
        <v/>
      </c>
      <c r="G114" s="21">
        <f>'MID Term 1'!P111+'MID Term 2'!J111</f>
        <v/>
      </c>
      <c r="H114" s="21">
        <f>'MID Term 1'!Q111+'MID Term 2'!N111</f>
        <v/>
      </c>
      <c r="I114" s="23">
        <f>IF((D114/$D$8)&gt;=$I$8,1,0)</f>
        <v/>
      </c>
      <c r="J114" s="23">
        <f>IF((E114/$E$8)&gt;=$J$8,1,0)</f>
        <v/>
      </c>
      <c r="K114" s="23">
        <f>IF((F114/$F$8)&gt;=$K$8,1,0)</f>
        <v/>
      </c>
      <c r="L114" s="23">
        <f>IF((G114/$G$8)&gt;=$L$8,1,0)</f>
        <v/>
      </c>
      <c r="M114" s="23">
        <f>IF((H114/$H$8)&gt;=$M$8,1,0)</f>
        <v/>
      </c>
      <c r="N114" s="21">
        <f>SUM(D114:H114)</f>
        <v/>
      </c>
      <c r="O114" s="23">
        <f>ROUND(N114/2,0)</f>
        <v/>
      </c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9.5" customHeight="1" s="98">
      <c r="A115" s="47">
        <f>'Sessional + End Term Assessment'!A113</f>
        <v/>
      </c>
      <c r="B115" s="74">
        <f>'Sessional + End Term Assessment'!B113</f>
        <v/>
      </c>
      <c r="C115" s="74">
        <f>'Sessional + End Term Assessment'!C113</f>
        <v/>
      </c>
      <c r="D115" s="21">
        <f>'MID Term 1'!D112+'MID Term 2'!D112</f>
        <v/>
      </c>
      <c r="E115" s="21">
        <f>'MID Term 1'!H112+'MID Term 2'!E112</f>
        <v/>
      </c>
      <c r="F115" s="21">
        <f>'MID Term 1'!L112+'MID Term 2'!F112</f>
        <v/>
      </c>
      <c r="G115" s="21">
        <f>'MID Term 1'!P112+'MID Term 2'!J112</f>
        <v/>
      </c>
      <c r="H115" s="21">
        <f>'MID Term 1'!Q112+'MID Term 2'!N112</f>
        <v/>
      </c>
      <c r="I115" s="23">
        <f>IF((D115/$D$8)&gt;=$I$8,1,0)</f>
        <v/>
      </c>
      <c r="J115" s="23">
        <f>IF((E115/$E$8)&gt;=$J$8,1,0)</f>
        <v/>
      </c>
      <c r="K115" s="23">
        <f>IF((F115/$F$8)&gt;=$K$8,1,0)</f>
        <v/>
      </c>
      <c r="L115" s="23">
        <f>IF((G115/$G$8)&gt;=$L$8,1,0)</f>
        <v/>
      </c>
      <c r="M115" s="23">
        <f>IF((H115/$H$8)&gt;=$M$8,1,0)</f>
        <v/>
      </c>
      <c r="N115" s="21">
        <f>SUM(D115:H115)</f>
        <v/>
      </c>
      <c r="O115" s="23">
        <f>ROUND(N115/2,0)</f>
        <v/>
      </c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9.5" customHeight="1" s="98">
      <c r="A116" s="47">
        <f>'Sessional + End Term Assessment'!A114</f>
        <v/>
      </c>
      <c r="B116" s="74">
        <f>'Sessional + End Term Assessment'!B114</f>
        <v/>
      </c>
      <c r="C116" s="74">
        <f>'Sessional + End Term Assessment'!C114</f>
        <v/>
      </c>
      <c r="D116" s="21">
        <f>'MID Term 1'!D113+'MID Term 2'!D113</f>
        <v/>
      </c>
      <c r="E116" s="21">
        <f>'MID Term 1'!H113+'MID Term 2'!E113</f>
        <v/>
      </c>
      <c r="F116" s="21">
        <f>'MID Term 1'!L113+'MID Term 2'!F113</f>
        <v/>
      </c>
      <c r="G116" s="21">
        <f>'MID Term 1'!P113+'MID Term 2'!J113</f>
        <v/>
      </c>
      <c r="H116" s="21">
        <f>'MID Term 1'!Q113+'MID Term 2'!N113</f>
        <v/>
      </c>
      <c r="I116" s="23">
        <f>IF((D116/$D$8)&gt;=$I$8,1,0)</f>
        <v/>
      </c>
      <c r="J116" s="23">
        <f>IF((E116/$E$8)&gt;=$J$8,1,0)</f>
        <v/>
      </c>
      <c r="K116" s="23">
        <f>IF((F116/$F$8)&gt;=$K$8,1,0)</f>
        <v/>
      </c>
      <c r="L116" s="23">
        <f>IF((G116/$G$8)&gt;=$L$8,1,0)</f>
        <v/>
      </c>
      <c r="M116" s="23">
        <f>IF((H116/$H$8)&gt;=$M$8,1,0)</f>
        <v/>
      </c>
      <c r="N116" s="21">
        <f>SUM(D116:H116)</f>
        <v/>
      </c>
      <c r="O116" s="23">
        <f>ROUND(N116/2,0)</f>
        <v/>
      </c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9.5" customHeight="1" s="98">
      <c r="A117" s="47">
        <f>'Sessional + End Term Assessment'!A115</f>
        <v/>
      </c>
      <c r="B117" s="74">
        <f>'Sessional + End Term Assessment'!B115</f>
        <v/>
      </c>
      <c r="C117" s="74">
        <f>'Sessional + End Term Assessment'!C115</f>
        <v/>
      </c>
      <c r="D117" s="21">
        <f>'MID Term 1'!D114+'MID Term 2'!D114</f>
        <v/>
      </c>
      <c r="E117" s="21">
        <f>'MID Term 1'!H114+'MID Term 2'!E114</f>
        <v/>
      </c>
      <c r="F117" s="21">
        <f>'MID Term 1'!L114+'MID Term 2'!F114</f>
        <v/>
      </c>
      <c r="G117" s="21">
        <f>'MID Term 1'!P114+'MID Term 2'!J114</f>
        <v/>
      </c>
      <c r="H117" s="21">
        <f>'MID Term 1'!Q114+'MID Term 2'!N114</f>
        <v/>
      </c>
      <c r="I117" s="23">
        <f>IF((D117/$D$8)&gt;=$I$8,1,0)</f>
        <v/>
      </c>
      <c r="J117" s="23">
        <f>IF((E117/$E$8)&gt;=$J$8,1,0)</f>
        <v/>
      </c>
      <c r="K117" s="23">
        <f>IF((F117/$F$8)&gt;=$K$8,1,0)</f>
        <v/>
      </c>
      <c r="L117" s="23">
        <f>IF((G117/$G$8)&gt;=$L$8,1,0)</f>
        <v/>
      </c>
      <c r="M117" s="23">
        <f>IF((H117/$H$8)&gt;=$M$8,1,0)</f>
        <v/>
      </c>
      <c r="N117" s="21">
        <f>SUM(D117:H117)</f>
        <v/>
      </c>
      <c r="O117" s="23">
        <f>ROUND(N117/2,0)</f>
        <v/>
      </c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9.5" customHeight="1" s="98">
      <c r="A118" s="47">
        <f>'Sessional + End Term Assessment'!A116</f>
        <v/>
      </c>
      <c r="B118" s="74">
        <f>'Sessional + End Term Assessment'!B116</f>
        <v/>
      </c>
      <c r="C118" s="74">
        <f>'Sessional + End Term Assessment'!C116</f>
        <v/>
      </c>
      <c r="D118" s="21">
        <f>'MID Term 1'!D115+'MID Term 2'!D115</f>
        <v/>
      </c>
      <c r="E118" s="21">
        <f>'MID Term 1'!H115+'MID Term 2'!E115</f>
        <v/>
      </c>
      <c r="F118" s="21">
        <f>'MID Term 1'!L115+'MID Term 2'!F115</f>
        <v/>
      </c>
      <c r="G118" s="21">
        <f>'MID Term 1'!P115+'MID Term 2'!J115</f>
        <v/>
      </c>
      <c r="H118" s="21">
        <f>'MID Term 1'!Q115+'MID Term 2'!N115</f>
        <v/>
      </c>
      <c r="I118" s="23">
        <f>IF((D118/$D$8)&gt;=$I$8,1,0)</f>
        <v/>
      </c>
      <c r="J118" s="23">
        <f>IF((E118/$E$8)&gt;=$J$8,1,0)</f>
        <v/>
      </c>
      <c r="K118" s="23">
        <f>IF((F118/$F$8)&gt;=$K$8,1,0)</f>
        <v/>
      </c>
      <c r="L118" s="23">
        <f>IF((G118/$G$8)&gt;=$L$8,1,0)</f>
        <v/>
      </c>
      <c r="M118" s="23">
        <f>IF((H118/$H$8)&gt;=$M$8,1,0)</f>
        <v/>
      </c>
      <c r="N118" s="21">
        <f>SUM(D118:H118)</f>
        <v/>
      </c>
      <c r="O118" s="23">
        <f>ROUND(N118/2,0)</f>
        <v/>
      </c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9.5" customHeight="1" s="98">
      <c r="A119" s="47">
        <f>'Sessional + End Term Assessment'!A117</f>
        <v/>
      </c>
      <c r="B119" s="74">
        <f>'Sessional + End Term Assessment'!B117</f>
        <v/>
      </c>
      <c r="C119" s="74">
        <f>'Sessional + End Term Assessment'!C117</f>
        <v/>
      </c>
      <c r="D119" s="21">
        <f>'MID Term 1'!D116+'MID Term 2'!D116</f>
        <v/>
      </c>
      <c r="E119" s="21">
        <f>'MID Term 1'!H116+'MID Term 2'!E116</f>
        <v/>
      </c>
      <c r="F119" s="21">
        <f>'MID Term 1'!L116+'MID Term 2'!F116</f>
        <v/>
      </c>
      <c r="G119" s="21">
        <f>'MID Term 1'!P116+'MID Term 2'!J116</f>
        <v/>
      </c>
      <c r="H119" s="21">
        <f>'MID Term 1'!Q116+'MID Term 2'!N116</f>
        <v/>
      </c>
      <c r="I119" s="23">
        <f>IF((D119/$D$8)&gt;=$I$8,1,0)</f>
        <v/>
      </c>
      <c r="J119" s="23">
        <f>IF((E119/$E$8)&gt;=$J$8,1,0)</f>
        <v/>
      </c>
      <c r="K119" s="23">
        <f>IF((F119/$F$8)&gt;=$K$8,1,0)</f>
        <v/>
      </c>
      <c r="L119" s="23">
        <f>IF((G119/$G$8)&gt;=$L$8,1,0)</f>
        <v/>
      </c>
      <c r="M119" s="23">
        <f>IF((H119/$H$8)&gt;=$M$8,1,0)</f>
        <v/>
      </c>
      <c r="N119" s="21">
        <f>SUM(D119:H119)</f>
        <v/>
      </c>
      <c r="O119" s="23">
        <f>ROUND(N119/2,0)</f>
        <v/>
      </c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9.5" customHeight="1" s="98">
      <c r="A120" s="47">
        <f>'Sessional + End Term Assessment'!A118</f>
        <v/>
      </c>
      <c r="B120" s="74">
        <f>'Sessional + End Term Assessment'!B118</f>
        <v/>
      </c>
      <c r="C120" s="74">
        <f>'Sessional + End Term Assessment'!C118</f>
        <v/>
      </c>
      <c r="D120" s="21">
        <f>'MID Term 1'!D117+'MID Term 2'!D117</f>
        <v/>
      </c>
      <c r="E120" s="21">
        <f>'MID Term 1'!H117+'MID Term 2'!E117</f>
        <v/>
      </c>
      <c r="F120" s="21">
        <f>'MID Term 1'!L117+'MID Term 2'!F117</f>
        <v/>
      </c>
      <c r="G120" s="21">
        <f>'MID Term 1'!P117+'MID Term 2'!J117</f>
        <v/>
      </c>
      <c r="H120" s="21">
        <f>'MID Term 1'!Q117+'MID Term 2'!N117</f>
        <v/>
      </c>
      <c r="I120" s="23">
        <f>IF((D120/$D$8)&gt;=$I$8,1,0)</f>
        <v/>
      </c>
      <c r="J120" s="23">
        <f>IF((E120/$E$8)&gt;=$J$8,1,0)</f>
        <v/>
      </c>
      <c r="K120" s="23">
        <f>IF((F120/$F$8)&gt;=$K$8,1,0)</f>
        <v/>
      </c>
      <c r="L120" s="23">
        <f>IF((G120/$G$8)&gt;=$L$8,1,0)</f>
        <v/>
      </c>
      <c r="M120" s="23">
        <f>IF((H120/$H$8)&gt;=$M$8,1,0)</f>
        <v/>
      </c>
      <c r="N120" s="21">
        <f>SUM(D120:H120)</f>
        <v/>
      </c>
      <c r="O120" s="23">
        <f>ROUND(N120/2,0)</f>
        <v/>
      </c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9.5" customHeight="1" s="98">
      <c r="A121" s="47">
        <f>'Sessional + End Term Assessment'!A119</f>
        <v/>
      </c>
      <c r="B121" s="74">
        <f>'Sessional + End Term Assessment'!B119</f>
        <v/>
      </c>
      <c r="C121" s="74">
        <f>'Sessional + End Term Assessment'!C119</f>
        <v/>
      </c>
      <c r="D121" s="21">
        <f>'MID Term 1'!D118+'MID Term 2'!D118</f>
        <v/>
      </c>
      <c r="E121" s="21">
        <f>'MID Term 1'!H118+'MID Term 2'!E118</f>
        <v/>
      </c>
      <c r="F121" s="21">
        <f>'MID Term 1'!L118+'MID Term 2'!F118</f>
        <v/>
      </c>
      <c r="G121" s="21">
        <f>'MID Term 1'!P118+'MID Term 2'!J118</f>
        <v/>
      </c>
      <c r="H121" s="21">
        <f>'MID Term 1'!Q118+'MID Term 2'!N118</f>
        <v/>
      </c>
      <c r="I121" s="23">
        <f>IF((D121/$D$8)&gt;=$I$8,1,0)</f>
        <v/>
      </c>
      <c r="J121" s="23">
        <f>IF((E121/$E$8)&gt;=$J$8,1,0)</f>
        <v/>
      </c>
      <c r="K121" s="23">
        <f>IF((F121/$F$8)&gt;=$K$8,1,0)</f>
        <v/>
      </c>
      <c r="L121" s="23">
        <f>IF((G121/$G$8)&gt;=$L$8,1,0)</f>
        <v/>
      </c>
      <c r="M121" s="23">
        <f>IF((H121/$H$8)&gt;=$M$8,1,0)</f>
        <v/>
      </c>
      <c r="N121" s="21">
        <f>SUM(D121:H121)</f>
        <v/>
      </c>
      <c r="O121" s="23">
        <f>ROUND(N121/2,0)</f>
        <v/>
      </c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9.5" customHeight="1" s="98">
      <c r="A122" s="47">
        <f>'Sessional + End Term Assessment'!A120</f>
        <v/>
      </c>
      <c r="B122" s="74">
        <f>'Sessional + End Term Assessment'!B120</f>
        <v/>
      </c>
      <c r="C122" s="74">
        <f>'Sessional + End Term Assessment'!C120</f>
        <v/>
      </c>
      <c r="D122" s="21">
        <f>'MID Term 1'!D119+'MID Term 2'!D119</f>
        <v/>
      </c>
      <c r="E122" s="21">
        <f>'MID Term 1'!H119+'MID Term 2'!E119</f>
        <v/>
      </c>
      <c r="F122" s="21">
        <f>'MID Term 1'!L119+'MID Term 2'!F119</f>
        <v/>
      </c>
      <c r="G122" s="21">
        <f>'MID Term 1'!P119+'MID Term 2'!J119</f>
        <v/>
      </c>
      <c r="H122" s="21">
        <f>'MID Term 1'!Q119+'MID Term 2'!N119</f>
        <v/>
      </c>
      <c r="I122" s="23">
        <f>IF((D122/$D$8)&gt;=$I$8,1,0)</f>
        <v/>
      </c>
      <c r="J122" s="23">
        <f>IF((E122/$E$8)&gt;=$J$8,1,0)</f>
        <v/>
      </c>
      <c r="K122" s="23">
        <f>IF((F122/$F$8)&gt;=$K$8,1,0)</f>
        <v/>
      </c>
      <c r="L122" s="23">
        <f>IF((G122/$G$8)&gt;=$L$8,1,0)</f>
        <v/>
      </c>
      <c r="M122" s="23">
        <f>IF((H122/$H$8)&gt;=$M$8,1,0)</f>
        <v/>
      </c>
      <c r="N122" s="21">
        <f>SUM(D122:H122)</f>
        <v/>
      </c>
      <c r="O122" s="23">
        <f>ROUND(N122/2,0)</f>
        <v/>
      </c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9.5" customHeight="1" s="98">
      <c r="A123" s="47">
        <f>'Sessional + End Term Assessment'!A121</f>
        <v/>
      </c>
      <c r="B123" s="74">
        <f>'Sessional + End Term Assessment'!B121</f>
        <v/>
      </c>
      <c r="C123" s="74">
        <f>'Sessional + End Term Assessment'!C121</f>
        <v/>
      </c>
      <c r="D123" s="21">
        <f>'MID Term 1'!D120+'MID Term 2'!D120</f>
        <v/>
      </c>
      <c r="E123" s="21">
        <f>'MID Term 1'!H120+'MID Term 2'!E120</f>
        <v/>
      </c>
      <c r="F123" s="21">
        <f>'MID Term 1'!L120+'MID Term 2'!F120</f>
        <v/>
      </c>
      <c r="G123" s="21">
        <f>'MID Term 1'!P120+'MID Term 2'!J120</f>
        <v/>
      </c>
      <c r="H123" s="21">
        <f>'MID Term 1'!Q120+'MID Term 2'!N120</f>
        <v/>
      </c>
      <c r="I123" s="23">
        <f>IF((D123/$D$8)&gt;=$I$8,1,0)</f>
        <v/>
      </c>
      <c r="J123" s="23">
        <f>IF((E123/$E$8)&gt;=$J$8,1,0)</f>
        <v/>
      </c>
      <c r="K123" s="23">
        <f>IF((F123/$F$8)&gt;=$K$8,1,0)</f>
        <v/>
      </c>
      <c r="L123" s="23">
        <f>IF((G123/$G$8)&gt;=$L$8,1,0)</f>
        <v/>
      </c>
      <c r="M123" s="23">
        <f>IF((H123/$H$8)&gt;=$M$8,1,0)</f>
        <v/>
      </c>
      <c r="N123" s="21">
        <f>SUM(D123:H123)</f>
        <v/>
      </c>
      <c r="O123" s="23">
        <f>ROUND(N123/2,0)</f>
        <v/>
      </c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9.5" customHeight="1" s="98">
      <c r="A124" s="47">
        <f>'Sessional + End Term Assessment'!A122</f>
        <v/>
      </c>
      <c r="B124" s="74">
        <f>'Sessional + End Term Assessment'!B122</f>
        <v/>
      </c>
      <c r="C124" s="74">
        <f>'Sessional + End Term Assessment'!C122</f>
        <v/>
      </c>
      <c r="D124" s="21">
        <f>'MID Term 1'!D121+'MID Term 2'!D121</f>
        <v/>
      </c>
      <c r="E124" s="21">
        <f>'MID Term 1'!H121+'MID Term 2'!E121</f>
        <v/>
      </c>
      <c r="F124" s="21">
        <f>'MID Term 1'!L121+'MID Term 2'!F121</f>
        <v/>
      </c>
      <c r="G124" s="21">
        <f>'MID Term 1'!P121+'MID Term 2'!J121</f>
        <v/>
      </c>
      <c r="H124" s="21">
        <f>'MID Term 1'!Q121+'MID Term 2'!N121</f>
        <v/>
      </c>
      <c r="I124" s="23">
        <f>IF((D124/$D$8)&gt;=$I$8,1,0)</f>
        <v/>
      </c>
      <c r="J124" s="23">
        <f>IF((E124/$E$8)&gt;=$J$8,1,0)</f>
        <v/>
      </c>
      <c r="K124" s="23">
        <f>IF((F124/$F$8)&gt;=$K$8,1,0)</f>
        <v/>
      </c>
      <c r="L124" s="23">
        <f>IF((G124/$G$8)&gt;=$L$8,1,0)</f>
        <v/>
      </c>
      <c r="M124" s="23">
        <f>IF((H124/$H$8)&gt;=$M$8,1,0)</f>
        <v/>
      </c>
      <c r="N124" s="21">
        <f>SUM(D124:H124)</f>
        <v/>
      </c>
      <c r="O124" s="23">
        <f>ROUND(N124/2,0)</f>
        <v/>
      </c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9.5" customHeight="1" s="98">
      <c r="A125" s="47">
        <f>'Sessional + End Term Assessment'!A123</f>
        <v/>
      </c>
      <c r="B125" s="74">
        <f>'Sessional + End Term Assessment'!B123</f>
        <v/>
      </c>
      <c r="C125" s="74">
        <f>'Sessional + End Term Assessment'!C123</f>
        <v/>
      </c>
      <c r="D125" s="21">
        <f>'MID Term 1'!D122+'MID Term 2'!D122</f>
        <v/>
      </c>
      <c r="E125" s="21">
        <f>'MID Term 1'!H122+'MID Term 2'!E122</f>
        <v/>
      </c>
      <c r="F125" s="21">
        <f>'MID Term 1'!L122+'MID Term 2'!F122</f>
        <v/>
      </c>
      <c r="G125" s="21">
        <f>'MID Term 1'!P122+'MID Term 2'!J122</f>
        <v/>
      </c>
      <c r="H125" s="21">
        <f>'MID Term 1'!Q122+'MID Term 2'!N122</f>
        <v/>
      </c>
      <c r="I125" s="23">
        <f>IF((D125/$D$8)&gt;=$I$8,1,0)</f>
        <v/>
      </c>
      <c r="J125" s="23">
        <f>IF((E125/$E$8)&gt;=$J$8,1,0)</f>
        <v/>
      </c>
      <c r="K125" s="23">
        <f>IF((F125/$F$8)&gt;=$K$8,1,0)</f>
        <v/>
      </c>
      <c r="L125" s="23">
        <f>IF((G125/$G$8)&gt;=$L$8,1,0)</f>
        <v/>
      </c>
      <c r="M125" s="23">
        <f>IF((H125/$H$8)&gt;=$M$8,1,0)</f>
        <v/>
      </c>
      <c r="N125" s="21">
        <f>SUM(D125:H125)</f>
        <v/>
      </c>
      <c r="O125" s="23">
        <f>ROUND(N125/2,0)</f>
        <v/>
      </c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9.5" customHeight="1" s="98">
      <c r="A126" s="47">
        <f>'Sessional + End Term Assessment'!A124</f>
        <v/>
      </c>
      <c r="B126" s="74">
        <f>'Sessional + End Term Assessment'!B124</f>
        <v/>
      </c>
      <c r="C126" s="74">
        <f>'Sessional + End Term Assessment'!C124</f>
        <v/>
      </c>
      <c r="D126" s="21">
        <f>'MID Term 1'!D123+'MID Term 2'!D123</f>
        <v/>
      </c>
      <c r="E126" s="21">
        <f>'MID Term 1'!H123+'MID Term 2'!E123</f>
        <v/>
      </c>
      <c r="F126" s="21">
        <f>'MID Term 1'!L123+'MID Term 2'!F123</f>
        <v/>
      </c>
      <c r="G126" s="21">
        <f>'MID Term 1'!P123+'MID Term 2'!J123</f>
        <v/>
      </c>
      <c r="H126" s="21">
        <f>'MID Term 1'!Q123+'MID Term 2'!N123</f>
        <v/>
      </c>
      <c r="I126" s="23">
        <f>IF((D126/$D$8)&gt;=$I$8,1,0)</f>
        <v/>
      </c>
      <c r="J126" s="23">
        <f>IF((E126/$E$8)&gt;=$J$8,1,0)</f>
        <v/>
      </c>
      <c r="K126" s="23">
        <f>IF((F126/$F$8)&gt;=$K$8,1,0)</f>
        <v/>
      </c>
      <c r="L126" s="23">
        <f>IF((G126/$G$8)&gt;=$L$8,1,0)</f>
        <v/>
      </c>
      <c r="M126" s="23">
        <f>IF((H126/$H$8)&gt;=$M$8,1,0)</f>
        <v/>
      </c>
      <c r="N126" s="21">
        <f>SUM(D126:H126)</f>
        <v/>
      </c>
      <c r="O126" s="23">
        <f>ROUND(N126/2,0)</f>
        <v/>
      </c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9.5" customHeight="1" s="98">
      <c r="A127" s="47">
        <f>'Sessional + End Term Assessment'!A125</f>
        <v/>
      </c>
      <c r="B127" s="74">
        <f>'Sessional + End Term Assessment'!B125</f>
        <v/>
      </c>
      <c r="C127" s="74">
        <f>'Sessional + End Term Assessment'!C125</f>
        <v/>
      </c>
      <c r="D127" s="21">
        <f>'MID Term 1'!D124+'MID Term 2'!D124</f>
        <v/>
      </c>
      <c r="E127" s="21">
        <f>'MID Term 1'!H124+'MID Term 2'!E124</f>
        <v/>
      </c>
      <c r="F127" s="21">
        <f>'MID Term 1'!L124+'MID Term 2'!F124</f>
        <v/>
      </c>
      <c r="G127" s="21">
        <f>'MID Term 1'!P124+'MID Term 2'!J124</f>
        <v/>
      </c>
      <c r="H127" s="21">
        <f>'MID Term 1'!Q124+'MID Term 2'!N124</f>
        <v/>
      </c>
      <c r="I127" s="23">
        <f>IF((D127/$D$8)&gt;=$I$8,1,0)</f>
        <v/>
      </c>
      <c r="J127" s="23">
        <f>IF((E127/$E$8)&gt;=$J$8,1,0)</f>
        <v/>
      </c>
      <c r="K127" s="23">
        <f>IF((F127/$F$8)&gt;=$K$8,1,0)</f>
        <v/>
      </c>
      <c r="L127" s="23">
        <f>IF((G127/$G$8)&gt;=$L$8,1,0)</f>
        <v/>
      </c>
      <c r="M127" s="23">
        <f>IF((H127/$H$8)&gt;=$M$8,1,0)</f>
        <v/>
      </c>
      <c r="N127" s="21">
        <f>SUM(D127:H127)</f>
        <v/>
      </c>
      <c r="O127" s="23">
        <f>ROUND(N127/2,0)</f>
        <v/>
      </c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9.5" customHeight="1" s="98">
      <c r="A128" s="47">
        <f>'Sessional + End Term Assessment'!A126</f>
        <v/>
      </c>
      <c r="B128" s="74">
        <f>'Sessional + End Term Assessment'!B126</f>
        <v/>
      </c>
      <c r="C128" s="74">
        <f>'Sessional + End Term Assessment'!C126</f>
        <v/>
      </c>
      <c r="D128" s="21">
        <f>'MID Term 1'!D125+'MID Term 2'!D125</f>
        <v/>
      </c>
      <c r="E128" s="21">
        <f>'MID Term 1'!H125+'MID Term 2'!E125</f>
        <v/>
      </c>
      <c r="F128" s="21">
        <f>'MID Term 1'!L125+'MID Term 2'!F125</f>
        <v/>
      </c>
      <c r="G128" s="21">
        <f>'MID Term 1'!P125+'MID Term 2'!J125</f>
        <v/>
      </c>
      <c r="H128" s="21">
        <f>'MID Term 1'!Q125+'MID Term 2'!N125</f>
        <v/>
      </c>
      <c r="I128" s="23">
        <f>IF((D128/$D$8)&gt;=$I$8,1,0)</f>
        <v/>
      </c>
      <c r="J128" s="23">
        <f>IF((E128/$E$8)&gt;=$J$8,1,0)</f>
        <v/>
      </c>
      <c r="K128" s="23">
        <f>IF((F128/$F$8)&gt;=$K$8,1,0)</f>
        <v/>
      </c>
      <c r="L128" s="23">
        <f>IF((G128/$G$8)&gt;=$L$8,1,0)</f>
        <v/>
      </c>
      <c r="M128" s="23">
        <f>IF((H128/$H$8)&gt;=$M$8,1,0)</f>
        <v/>
      </c>
      <c r="N128" s="21">
        <f>SUM(D128:H128)</f>
        <v/>
      </c>
      <c r="O128" s="23">
        <f>ROUND(N128/2,0)</f>
        <v/>
      </c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9.5" customHeight="1" s="98">
      <c r="A129" s="47">
        <f>'Sessional + End Term Assessment'!A127</f>
        <v/>
      </c>
      <c r="B129" s="74">
        <f>'Sessional + End Term Assessment'!B127</f>
        <v/>
      </c>
      <c r="C129" s="74">
        <f>'Sessional + End Term Assessment'!C127</f>
        <v/>
      </c>
      <c r="D129" s="21">
        <f>'MID Term 1'!D126+'MID Term 2'!D126</f>
        <v/>
      </c>
      <c r="E129" s="21">
        <f>'MID Term 1'!H126+'MID Term 2'!E126</f>
        <v/>
      </c>
      <c r="F129" s="21">
        <f>'MID Term 1'!L126+'MID Term 2'!F126</f>
        <v/>
      </c>
      <c r="G129" s="21">
        <f>'MID Term 1'!P126+'MID Term 2'!J126</f>
        <v/>
      </c>
      <c r="H129" s="21">
        <f>'MID Term 1'!Q126+'MID Term 2'!N126</f>
        <v/>
      </c>
      <c r="I129" s="23">
        <f>IF((D129/$D$8)&gt;=$I$8,1,0)</f>
        <v/>
      </c>
      <c r="J129" s="23">
        <f>IF((E129/$E$8)&gt;=$J$8,1,0)</f>
        <v/>
      </c>
      <c r="K129" s="23">
        <f>IF((F129/$F$8)&gt;=$K$8,1,0)</f>
        <v/>
      </c>
      <c r="L129" s="23">
        <f>IF((G129/$G$8)&gt;=$L$8,1,0)</f>
        <v/>
      </c>
      <c r="M129" s="23">
        <f>IF((H129/$H$8)&gt;=$M$8,1,0)</f>
        <v/>
      </c>
      <c r="N129" s="21">
        <f>SUM(D129:H129)</f>
        <v/>
      </c>
      <c r="O129" s="23">
        <f>ROUND(N129/2,0)</f>
        <v/>
      </c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24" t="n"/>
    </row>
    <row r="130" ht="19.5" customHeight="1" s="98">
      <c r="A130" s="47">
        <f>'Sessional + End Term Assessment'!A128</f>
        <v/>
      </c>
      <c r="B130" s="74">
        <f>'Sessional + End Term Assessment'!B128</f>
        <v/>
      </c>
      <c r="C130" s="74">
        <f>'Sessional + End Term Assessment'!C128</f>
        <v/>
      </c>
      <c r="D130" s="21">
        <f>'MID Term 1'!D127+'MID Term 2'!D127</f>
        <v/>
      </c>
      <c r="E130" s="21">
        <f>'MID Term 1'!H127+'MID Term 2'!E127</f>
        <v/>
      </c>
      <c r="F130" s="21">
        <f>'MID Term 1'!L127+'MID Term 2'!F127</f>
        <v/>
      </c>
      <c r="G130" s="21">
        <f>'MID Term 1'!P127+'MID Term 2'!J127</f>
        <v/>
      </c>
      <c r="H130" s="21">
        <f>'MID Term 1'!Q127+'MID Term 2'!N127</f>
        <v/>
      </c>
      <c r="I130" s="23">
        <f>IF((D130/$D$8)&gt;=$I$8,1,0)</f>
        <v/>
      </c>
      <c r="J130" s="23">
        <f>IF((E130/$E$8)&gt;=$J$8,1,0)</f>
        <v/>
      </c>
      <c r="K130" s="23">
        <f>IF((F130/$F$8)&gt;=$K$8,1,0)</f>
        <v/>
      </c>
      <c r="L130" s="23">
        <f>IF((G130/$G$8)&gt;=$L$8,1,0)</f>
        <v/>
      </c>
      <c r="M130" s="23">
        <f>IF((H130/$H$8)&gt;=$M$8,1,0)</f>
        <v/>
      </c>
      <c r="N130" s="21">
        <f>SUM(D130:H130)</f>
        <v/>
      </c>
      <c r="O130" s="23">
        <f>ROUND(N130/2,0)</f>
        <v/>
      </c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24" t="n"/>
    </row>
    <row r="131" ht="19.5" customHeight="1" s="98">
      <c r="A131" s="47">
        <f>'Sessional + End Term Assessment'!A129</f>
        <v/>
      </c>
      <c r="B131" s="74">
        <f>'Sessional + End Term Assessment'!B129</f>
        <v/>
      </c>
      <c r="C131" s="74">
        <f>'Sessional + End Term Assessment'!C129</f>
        <v/>
      </c>
      <c r="D131" s="21">
        <f>'MID Term 1'!D128+'MID Term 2'!D128</f>
        <v/>
      </c>
      <c r="E131" s="21">
        <f>'MID Term 1'!H128+'MID Term 2'!E128</f>
        <v/>
      </c>
      <c r="F131" s="21">
        <f>'MID Term 1'!L128+'MID Term 2'!F128</f>
        <v/>
      </c>
      <c r="G131" s="21">
        <f>'MID Term 1'!P128+'MID Term 2'!J128</f>
        <v/>
      </c>
      <c r="H131" s="21">
        <f>'MID Term 1'!Q128+'MID Term 2'!N128</f>
        <v/>
      </c>
      <c r="I131" s="23">
        <f>IF((D131/$D$8)&gt;=$I$8,1,0)</f>
        <v/>
      </c>
      <c r="J131" s="23">
        <f>IF((E131/$E$8)&gt;=$J$8,1,0)</f>
        <v/>
      </c>
      <c r="K131" s="23">
        <f>IF((F131/$F$8)&gt;=$K$8,1,0)</f>
        <v/>
      </c>
      <c r="L131" s="23">
        <f>IF((G131/$G$8)&gt;=$L$8,1,0)</f>
        <v/>
      </c>
      <c r="M131" s="23">
        <f>IF((H131/$H$8)&gt;=$M$8,1,0)</f>
        <v/>
      </c>
      <c r="N131" s="21">
        <f>SUM(D131:H131)</f>
        <v/>
      </c>
      <c r="O131" s="23">
        <f>ROUND(N131/2,0)</f>
        <v/>
      </c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24" t="n"/>
    </row>
    <row r="132" ht="19.5" customHeight="1" s="98">
      <c r="A132" s="47">
        <f>'Sessional + End Term Assessment'!A130</f>
        <v/>
      </c>
      <c r="B132" s="74">
        <f>'Sessional + End Term Assessment'!B130</f>
        <v/>
      </c>
      <c r="C132" s="74">
        <f>'Sessional + End Term Assessment'!C130</f>
        <v/>
      </c>
      <c r="D132" s="21">
        <f>'MID Term 1'!D129+'MID Term 2'!D129</f>
        <v/>
      </c>
      <c r="E132" s="21">
        <f>'MID Term 1'!H129+'MID Term 2'!E129</f>
        <v/>
      </c>
      <c r="F132" s="21">
        <f>'MID Term 1'!L129+'MID Term 2'!F129</f>
        <v/>
      </c>
      <c r="G132" s="21">
        <f>'MID Term 1'!P129+'MID Term 2'!J129</f>
        <v/>
      </c>
      <c r="H132" s="21">
        <f>'MID Term 1'!Q129+'MID Term 2'!N129</f>
        <v/>
      </c>
      <c r="I132" s="23">
        <f>IF((D132/$D$8)&gt;=$I$8,1,0)</f>
        <v/>
      </c>
      <c r="J132" s="23">
        <f>IF((E132/$E$8)&gt;=$J$8,1,0)</f>
        <v/>
      </c>
      <c r="K132" s="23">
        <f>IF((F132/$F$8)&gt;=$K$8,1,0)</f>
        <v/>
      </c>
      <c r="L132" s="23">
        <f>IF((G132/$G$8)&gt;=$L$8,1,0)</f>
        <v/>
      </c>
      <c r="M132" s="23">
        <f>IF((H132/$H$8)&gt;=$M$8,1,0)</f>
        <v/>
      </c>
      <c r="N132" s="21">
        <f>SUM(D132:H132)</f>
        <v/>
      </c>
      <c r="O132" s="23">
        <f>ROUND(N132/2,0)</f>
        <v/>
      </c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24" t="n"/>
    </row>
    <row r="133" ht="19.5" customHeight="1" s="98">
      <c r="A133" s="47">
        <f>'Sessional + End Term Assessment'!A131</f>
        <v/>
      </c>
      <c r="B133" s="74">
        <f>'Sessional + End Term Assessment'!B131</f>
        <v/>
      </c>
      <c r="C133" s="74">
        <f>'Sessional + End Term Assessment'!C131</f>
        <v/>
      </c>
      <c r="D133" s="21">
        <f>'MID Term 1'!D130+'MID Term 2'!D130</f>
        <v/>
      </c>
      <c r="E133" s="21">
        <f>'MID Term 1'!H130+'MID Term 2'!E130</f>
        <v/>
      </c>
      <c r="F133" s="21">
        <f>'MID Term 1'!L130+'MID Term 2'!F130</f>
        <v/>
      </c>
      <c r="G133" s="21">
        <f>'MID Term 1'!P130+'MID Term 2'!J130</f>
        <v/>
      </c>
      <c r="H133" s="21">
        <f>'MID Term 1'!Q130+'MID Term 2'!N130</f>
        <v/>
      </c>
      <c r="I133" s="23">
        <f>IF((D133/$D$8)&gt;=$I$8,1,0)</f>
        <v/>
      </c>
      <c r="J133" s="23">
        <f>IF((E133/$E$8)&gt;=$J$8,1,0)</f>
        <v/>
      </c>
      <c r="K133" s="23">
        <f>IF((F133/$F$8)&gt;=$K$8,1,0)</f>
        <v/>
      </c>
      <c r="L133" s="23">
        <f>IF((G133/$G$8)&gt;=$L$8,1,0)</f>
        <v/>
      </c>
      <c r="M133" s="23">
        <f>IF((H133/$H$8)&gt;=$M$8,1,0)</f>
        <v/>
      </c>
      <c r="N133" s="21">
        <f>SUM(D133:H133)</f>
        <v/>
      </c>
      <c r="O133" s="23">
        <f>ROUND(N133/2,0)</f>
        <v/>
      </c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24" t="n"/>
    </row>
    <row r="134" ht="19.5" customHeight="1" s="98">
      <c r="A134" s="47">
        <f>'Sessional + End Term Assessment'!A132</f>
        <v/>
      </c>
      <c r="B134" s="74">
        <f>'Sessional + End Term Assessment'!B132</f>
        <v/>
      </c>
      <c r="C134" s="74">
        <f>'Sessional + End Term Assessment'!C132</f>
        <v/>
      </c>
      <c r="D134" s="21">
        <f>'MID Term 1'!D131+'MID Term 2'!D131</f>
        <v/>
      </c>
      <c r="E134" s="21">
        <f>'MID Term 1'!H131+'MID Term 2'!E131</f>
        <v/>
      </c>
      <c r="F134" s="21">
        <f>'MID Term 1'!L131+'MID Term 2'!F131</f>
        <v/>
      </c>
      <c r="G134" s="21">
        <f>'MID Term 1'!P131+'MID Term 2'!J131</f>
        <v/>
      </c>
      <c r="H134" s="21">
        <f>'MID Term 1'!Q131+'MID Term 2'!N131</f>
        <v/>
      </c>
      <c r="I134" s="23">
        <f>IF((D134/$D$8)&gt;=$I$8,1,0)</f>
        <v/>
      </c>
      <c r="J134" s="23">
        <f>IF((E134/$E$8)&gt;=$J$8,1,0)</f>
        <v/>
      </c>
      <c r="K134" s="23">
        <f>IF((F134/$F$8)&gt;=$K$8,1,0)</f>
        <v/>
      </c>
      <c r="L134" s="23">
        <f>IF((G134/$G$8)&gt;=$L$8,1,0)</f>
        <v/>
      </c>
      <c r="M134" s="23">
        <f>IF((H134/$H$8)&gt;=$M$8,1,0)</f>
        <v/>
      </c>
      <c r="N134" s="21">
        <f>SUM(D134:H134)</f>
        <v/>
      </c>
      <c r="O134" s="23">
        <f>ROUND(N134/2,0)</f>
        <v/>
      </c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24" t="n"/>
    </row>
    <row r="135" ht="19.5" customHeight="1" s="98">
      <c r="A135" s="47">
        <f>'Sessional + End Term Assessment'!A133</f>
        <v/>
      </c>
      <c r="B135" s="74">
        <f>'Sessional + End Term Assessment'!B133</f>
        <v/>
      </c>
      <c r="C135" s="74">
        <f>'Sessional + End Term Assessment'!C133</f>
        <v/>
      </c>
      <c r="D135" s="21">
        <f>'MID Term 1'!D132+'MID Term 2'!D132</f>
        <v/>
      </c>
      <c r="E135" s="21">
        <f>'MID Term 1'!H132+'MID Term 2'!E132</f>
        <v/>
      </c>
      <c r="F135" s="21">
        <f>'MID Term 1'!L132+'MID Term 2'!F132</f>
        <v/>
      </c>
      <c r="G135" s="21">
        <f>'MID Term 1'!P132+'MID Term 2'!J132</f>
        <v/>
      </c>
      <c r="H135" s="21">
        <f>'MID Term 1'!Q132+'MID Term 2'!N132</f>
        <v/>
      </c>
      <c r="I135" s="23">
        <f>IF((D135/$D$8)&gt;=$I$8,1,0)</f>
        <v/>
      </c>
      <c r="J135" s="23">
        <f>IF((E135/$E$8)&gt;=$J$8,1,0)</f>
        <v/>
      </c>
      <c r="K135" s="23">
        <f>IF((F135/$F$8)&gt;=$K$8,1,0)</f>
        <v/>
      </c>
      <c r="L135" s="23">
        <f>IF((G135/$G$8)&gt;=$L$8,1,0)</f>
        <v/>
      </c>
      <c r="M135" s="23">
        <f>IF((H135/$H$8)&gt;=$M$8,1,0)</f>
        <v/>
      </c>
      <c r="N135" s="21">
        <f>SUM(D135:H135)</f>
        <v/>
      </c>
      <c r="O135" s="23">
        <f>ROUND(N135/2,0)</f>
        <v/>
      </c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24" t="n"/>
    </row>
    <row r="136" ht="19.5" customHeight="1" s="98">
      <c r="A136" s="47">
        <f>'Sessional + End Term Assessment'!A134</f>
        <v/>
      </c>
      <c r="B136" s="74">
        <f>'Sessional + End Term Assessment'!B134</f>
        <v/>
      </c>
      <c r="C136" s="74">
        <f>'Sessional + End Term Assessment'!C134</f>
        <v/>
      </c>
      <c r="D136" s="21">
        <f>'MID Term 1'!D133+'MID Term 2'!D133</f>
        <v/>
      </c>
      <c r="E136" s="21">
        <f>'MID Term 1'!H133+'MID Term 2'!E133</f>
        <v/>
      </c>
      <c r="F136" s="21">
        <f>'MID Term 1'!L133+'MID Term 2'!F133</f>
        <v/>
      </c>
      <c r="G136" s="21">
        <f>'MID Term 1'!P133+'MID Term 2'!J133</f>
        <v/>
      </c>
      <c r="H136" s="21">
        <f>'MID Term 1'!Q133+'MID Term 2'!N133</f>
        <v/>
      </c>
      <c r="I136" s="23">
        <f>IF((D136/$D$8)&gt;=$I$8,1,0)</f>
        <v/>
      </c>
      <c r="J136" s="23">
        <f>IF((E136/$E$8)&gt;=$J$8,1,0)</f>
        <v/>
      </c>
      <c r="K136" s="23">
        <f>IF((F136/$F$8)&gt;=$K$8,1,0)</f>
        <v/>
      </c>
      <c r="L136" s="23">
        <f>IF((G136/$G$8)&gt;=$L$8,1,0)</f>
        <v/>
      </c>
      <c r="M136" s="23">
        <f>IF((H136/$H$8)&gt;=$M$8,1,0)</f>
        <v/>
      </c>
      <c r="N136" s="21">
        <f>SUM(D136:H136)</f>
        <v/>
      </c>
      <c r="O136" s="23">
        <f>ROUND(N136/2,0)</f>
        <v/>
      </c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24" t="n"/>
    </row>
    <row r="137" ht="19.5" customHeight="1" s="98">
      <c r="A137" s="47">
        <f>'Sessional + End Term Assessment'!A135</f>
        <v/>
      </c>
      <c r="B137" s="74">
        <f>'Sessional + End Term Assessment'!B135</f>
        <v/>
      </c>
      <c r="C137" s="74">
        <f>'Sessional + End Term Assessment'!C135</f>
        <v/>
      </c>
      <c r="D137" s="21">
        <f>'MID Term 1'!D134+'MID Term 2'!D134</f>
        <v/>
      </c>
      <c r="E137" s="21">
        <f>'MID Term 1'!H134+'MID Term 2'!E134</f>
        <v/>
      </c>
      <c r="F137" s="21">
        <f>'MID Term 1'!L134+'MID Term 2'!F134</f>
        <v/>
      </c>
      <c r="G137" s="21">
        <f>'MID Term 1'!P134+'MID Term 2'!J134</f>
        <v/>
      </c>
      <c r="H137" s="21">
        <f>'MID Term 1'!Q134+'MID Term 2'!N134</f>
        <v/>
      </c>
      <c r="I137" s="23">
        <f>IF((D137/$D$8)&gt;=$I$8,1,0)</f>
        <v/>
      </c>
      <c r="J137" s="23">
        <f>IF((E137/$E$8)&gt;=$J$8,1,0)</f>
        <v/>
      </c>
      <c r="K137" s="23">
        <f>IF((F137/$F$8)&gt;=$K$8,1,0)</f>
        <v/>
      </c>
      <c r="L137" s="23">
        <f>IF((G137/$G$8)&gt;=$L$8,1,0)</f>
        <v/>
      </c>
      <c r="M137" s="23">
        <f>IF((H137/$H$8)&gt;=$M$8,1,0)</f>
        <v/>
      </c>
      <c r="N137" s="21">
        <f>SUM(D137:H137)</f>
        <v/>
      </c>
      <c r="O137" s="23">
        <f>ROUND(N137/2,0)</f>
        <v/>
      </c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24" t="n"/>
    </row>
    <row r="138" ht="19.5" customHeight="1" s="98">
      <c r="A138" s="47">
        <f>'Sessional + End Term Assessment'!A136</f>
        <v/>
      </c>
      <c r="B138" s="74">
        <f>'Sessional + End Term Assessment'!B136</f>
        <v/>
      </c>
      <c r="C138" s="74">
        <f>'Sessional + End Term Assessment'!C136</f>
        <v/>
      </c>
      <c r="D138" s="21">
        <f>'MID Term 1'!D135+'MID Term 2'!D135</f>
        <v/>
      </c>
      <c r="E138" s="21">
        <f>'MID Term 1'!H135+'MID Term 2'!E135</f>
        <v/>
      </c>
      <c r="F138" s="21">
        <f>'MID Term 1'!L135+'MID Term 2'!F135</f>
        <v/>
      </c>
      <c r="G138" s="21">
        <f>'MID Term 1'!P135+'MID Term 2'!J135</f>
        <v/>
      </c>
      <c r="H138" s="21">
        <f>'MID Term 1'!Q135+'MID Term 2'!N135</f>
        <v/>
      </c>
      <c r="I138" s="23">
        <f>IF((D138/$D$8)&gt;=$I$8,1,0)</f>
        <v/>
      </c>
      <c r="J138" s="23">
        <f>IF((E138/$E$8)&gt;=$J$8,1,0)</f>
        <v/>
      </c>
      <c r="K138" s="23">
        <f>IF((F138/$F$8)&gt;=$K$8,1,0)</f>
        <v/>
      </c>
      <c r="L138" s="23">
        <f>IF((G138/$G$8)&gt;=$L$8,1,0)</f>
        <v/>
      </c>
      <c r="M138" s="23">
        <f>IF((H138/$H$8)&gt;=$M$8,1,0)</f>
        <v/>
      </c>
      <c r="N138" s="21">
        <f>SUM(D138:H138)</f>
        <v/>
      </c>
      <c r="O138" s="23">
        <f>ROUND(N138/2,0)</f>
        <v/>
      </c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24" t="n"/>
    </row>
    <row r="139" ht="19.5" customHeight="1" s="98">
      <c r="A139" s="47">
        <f>'Sessional + End Term Assessment'!A137</f>
        <v/>
      </c>
      <c r="B139" s="74">
        <f>'Sessional + End Term Assessment'!B137</f>
        <v/>
      </c>
      <c r="C139" s="74">
        <f>'Sessional + End Term Assessment'!C137</f>
        <v/>
      </c>
      <c r="D139" s="21">
        <f>'MID Term 1'!D136+'MID Term 2'!D136</f>
        <v/>
      </c>
      <c r="E139" s="21">
        <f>'MID Term 1'!H136+'MID Term 2'!E136</f>
        <v/>
      </c>
      <c r="F139" s="21">
        <f>'MID Term 1'!L136+'MID Term 2'!F136</f>
        <v/>
      </c>
      <c r="G139" s="21">
        <f>'MID Term 1'!P136+'MID Term 2'!J136</f>
        <v/>
      </c>
      <c r="H139" s="21">
        <f>'MID Term 1'!Q136+'MID Term 2'!N136</f>
        <v/>
      </c>
      <c r="I139" s="23">
        <f>IF((D139/$D$8)&gt;=$I$8,1,0)</f>
        <v/>
      </c>
      <c r="J139" s="23">
        <f>IF((E139/$E$8)&gt;=$J$8,1,0)</f>
        <v/>
      </c>
      <c r="K139" s="23">
        <f>IF((F139/$F$8)&gt;=$K$8,1,0)</f>
        <v/>
      </c>
      <c r="L139" s="23">
        <f>IF((G139/$G$8)&gt;=$L$8,1,0)</f>
        <v/>
      </c>
      <c r="M139" s="23">
        <f>IF((H139/$H$8)&gt;=$M$8,1,0)</f>
        <v/>
      </c>
      <c r="N139" s="21">
        <f>SUM(D139:H139)</f>
        <v/>
      </c>
      <c r="O139" s="23">
        <f>ROUND(N139/2,0)</f>
        <v/>
      </c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24" t="n"/>
    </row>
    <row r="140" ht="19.5" customHeight="1" s="98">
      <c r="A140" s="47">
        <f>'Sessional + End Term Assessment'!A138</f>
        <v/>
      </c>
      <c r="B140" s="74">
        <f>'Sessional + End Term Assessment'!B138</f>
        <v/>
      </c>
      <c r="C140" s="74">
        <f>'Sessional + End Term Assessment'!C138</f>
        <v/>
      </c>
      <c r="D140" s="21">
        <f>'MID Term 1'!D137+'MID Term 2'!D137</f>
        <v/>
      </c>
      <c r="E140" s="21">
        <f>'MID Term 1'!H137+'MID Term 2'!E137</f>
        <v/>
      </c>
      <c r="F140" s="21">
        <f>'MID Term 1'!L137+'MID Term 2'!F137</f>
        <v/>
      </c>
      <c r="G140" s="21">
        <f>'MID Term 1'!P137+'MID Term 2'!J137</f>
        <v/>
      </c>
      <c r="H140" s="21">
        <f>'MID Term 1'!Q137+'MID Term 2'!N137</f>
        <v/>
      </c>
      <c r="I140" s="23">
        <f>IF((D140/$D$8)&gt;=$I$8,1,0)</f>
        <v/>
      </c>
      <c r="J140" s="23">
        <f>IF((E140/$E$8)&gt;=$J$8,1,0)</f>
        <v/>
      </c>
      <c r="K140" s="23">
        <f>IF((F140/$F$8)&gt;=$K$8,1,0)</f>
        <v/>
      </c>
      <c r="L140" s="23">
        <f>IF((G140/$G$8)&gt;=$L$8,1,0)</f>
        <v/>
      </c>
      <c r="M140" s="23">
        <f>IF((H140/$H$8)&gt;=$M$8,1,0)</f>
        <v/>
      </c>
      <c r="N140" s="21">
        <f>SUM(D140:H140)</f>
        <v/>
      </c>
      <c r="O140" s="23">
        <f>ROUND(N140/2,0)</f>
        <v/>
      </c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24" t="n"/>
    </row>
    <row r="141" ht="19.5" customHeight="1" s="98">
      <c r="A141" s="47">
        <f>'Sessional + End Term Assessment'!A139</f>
        <v/>
      </c>
      <c r="B141" s="74">
        <f>'Sessional + End Term Assessment'!B139</f>
        <v/>
      </c>
      <c r="C141" s="74">
        <f>'Sessional + End Term Assessment'!C139</f>
        <v/>
      </c>
      <c r="D141" s="21">
        <f>'MID Term 1'!D138+'MID Term 2'!D138</f>
        <v/>
      </c>
      <c r="E141" s="21">
        <f>'MID Term 1'!H138+'MID Term 2'!E138</f>
        <v/>
      </c>
      <c r="F141" s="21">
        <f>'MID Term 1'!L138+'MID Term 2'!F138</f>
        <v/>
      </c>
      <c r="G141" s="21">
        <f>'MID Term 1'!P138+'MID Term 2'!J138</f>
        <v/>
      </c>
      <c r="H141" s="21">
        <f>'MID Term 1'!Q138+'MID Term 2'!N138</f>
        <v/>
      </c>
      <c r="I141" s="23">
        <f>IF((D141/$D$8)&gt;=$I$8,1,0)</f>
        <v/>
      </c>
      <c r="J141" s="23">
        <f>IF((E141/$E$8)&gt;=$J$8,1,0)</f>
        <v/>
      </c>
      <c r="K141" s="23">
        <f>IF((F141/$F$8)&gt;=$K$8,1,0)</f>
        <v/>
      </c>
      <c r="L141" s="23">
        <f>IF((G141/$G$8)&gt;=$L$8,1,0)</f>
        <v/>
      </c>
      <c r="M141" s="23">
        <f>IF((H141/$H$8)&gt;=$M$8,1,0)</f>
        <v/>
      </c>
      <c r="N141" s="21">
        <f>SUM(D141:H141)</f>
        <v/>
      </c>
      <c r="O141" s="23">
        <f>ROUND(N141/2,0)</f>
        <v/>
      </c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24" t="n"/>
    </row>
    <row r="142" ht="19.5" customHeight="1" s="98">
      <c r="A142" s="47">
        <f>'Sessional + End Term Assessment'!A140</f>
        <v/>
      </c>
      <c r="B142" s="74">
        <f>'Sessional + End Term Assessment'!B140</f>
        <v/>
      </c>
      <c r="C142" s="74">
        <f>'Sessional + End Term Assessment'!C140</f>
        <v/>
      </c>
      <c r="D142" s="21">
        <f>'MID Term 1'!D139+'MID Term 2'!D139</f>
        <v/>
      </c>
      <c r="E142" s="21">
        <f>'MID Term 1'!H139+'MID Term 2'!E139</f>
        <v/>
      </c>
      <c r="F142" s="21">
        <f>'MID Term 1'!L139+'MID Term 2'!F139</f>
        <v/>
      </c>
      <c r="G142" s="21">
        <f>'MID Term 1'!P139+'MID Term 2'!J139</f>
        <v/>
      </c>
      <c r="H142" s="21">
        <f>'MID Term 1'!Q139+'MID Term 2'!N139</f>
        <v/>
      </c>
      <c r="I142" s="23">
        <f>IF((D142/$D$8)&gt;=$I$8,1,0)</f>
        <v/>
      </c>
      <c r="J142" s="23">
        <f>IF((E142/$E$8)&gt;=$J$8,1,0)</f>
        <v/>
      </c>
      <c r="K142" s="23">
        <f>IF((F142/$F$8)&gt;=$K$8,1,0)</f>
        <v/>
      </c>
      <c r="L142" s="23">
        <f>IF((G142/$G$8)&gt;=$L$8,1,0)</f>
        <v/>
      </c>
      <c r="M142" s="23">
        <f>IF((H142/$H$8)&gt;=$M$8,1,0)</f>
        <v/>
      </c>
      <c r="N142" s="21">
        <f>SUM(D142:H142)</f>
        <v/>
      </c>
      <c r="O142" s="23">
        <f>ROUND(N142/2,0)</f>
        <v/>
      </c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24" t="n"/>
    </row>
    <row r="143" ht="19.5" customHeight="1" s="98">
      <c r="A143" s="47">
        <f>'Sessional + End Term Assessment'!A141</f>
        <v/>
      </c>
      <c r="B143" s="74">
        <f>'Sessional + End Term Assessment'!B141</f>
        <v/>
      </c>
      <c r="C143" s="74">
        <f>'Sessional + End Term Assessment'!C141</f>
        <v/>
      </c>
      <c r="D143" s="21">
        <f>'MID Term 1'!D140+'MID Term 2'!D140</f>
        <v/>
      </c>
      <c r="E143" s="21">
        <f>'MID Term 1'!H140+'MID Term 2'!E140</f>
        <v/>
      </c>
      <c r="F143" s="21">
        <f>'MID Term 1'!L140+'MID Term 2'!F140</f>
        <v/>
      </c>
      <c r="G143" s="21">
        <f>'MID Term 1'!P140+'MID Term 2'!J140</f>
        <v/>
      </c>
      <c r="H143" s="21">
        <f>'MID Term 1'!Q140+'MID Term 2'!N140</f>
        <v/>
      </c>
      <c r="I143" s="23">
        <f>IF((D143/$D$8)&gt;=$I$8,1,0)</f>
        <v/>
      </c>
      <c r="J143" s="23">
        <f>IF((E143/$E$8)&gt;=$J$8,1,0)</f>
        <v/>
      </c>
      <c r="K143" s="23">
        <f>IF((F143/$F$8)&gt;=$K$8,1,0)</f>
        <v/>
      </c>
      <c r="L143" s="23">
        <f>IF((G143/$G$8)&gt;=$L$8,1,0)</f>
        <v/>
      </c>
      <c r="M143" s="23">
        <f>IF((H143/$H$8)&gt;=$M$8,1,0)</f>
        <v/>
      </c>
      <c r="N143" s="21">
        <f>SUM(D143:H143)</f>
        <v/>
      </c>
      <c r="O143" s="23">
        <f>ROUND(N143/2,0)</f>
        <v/>
      </c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24" t="n"/>
    </row>
    <row r="144" ht="19.5" customHeight="1" s="98">
      <c r="A144" s="47">
        <f>'Sessional + End Term Assessment'!A142</f>
        <v/>
      </c>
      <c r="B144" s="74">
        <f>'Sessional + End Term Assessment'!B142</f>
        <v/>
      </c>
      <c r="C144" s="74">
        <f>'Sessional + End Term Assessment'!C142</f>
        <v/>
      </c>
      <c r="D144" s="21">
        <f>'MID Term 1'!D141+'MID Term 2'!D141</f>
        <v/>
      </c>
      <c r="E144" s="21">
        <f>'MID Term 1'!H141+'MID Term 2'!E141</f>
        <v/>
      </c>
      <c r="F144" s="21">
        <f>'MID Term 1'!L141+'MID Term 2'!F141</f>
        <v/>
      </c>
      <c r="G144" s="21">
        <f>'MID Term 1'!P141+'MID Term 2'!J141</f>
        <v/>
      </c>
      <c r="H144" s="21">
        <f>'MID Term 1'!Q141+'MID Term 2'!N141</f>
        <v/>
      </c>
      <c r="I144" s="23">
        <f>IF((D144/$D$8)&gt;=$I$8,1,0)</f>
        <v/>
      </c>
      <c r="J144" s="23">
        <f>IF((E144/$E$8)&gt;=$J$8,1,0)</f>
        <v/>
      </c>
      <c r="K144" s="23">
        <f>IF((F144/$F$8)&gt;=$K$8,1,0)</f>
        <v/>
      </c>
      <c r="L144" s="23">
        <f>IF((G144/$G$8)&gt;=$L$8,1,0)</f>
        <v/>
      </c>
      <c r="M144" s="23">
        <f>IF((H144/$H$8)&gt;=$M$8,1,0)</f>
        <v/>
      </c>
      <c r="N144" s="21">
        <f>SUM(D144:H144)</f>
        <v/>
      </c>
      <c r="O144" s="23">
        <f>ROUND(N144/2,0)</f>
        <v/>
      </c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24" t="n"/>
    </row>
    <row r="145" ht="19.5" customHeight="1" s="98">
      <c r="A145" s="47">
        <f>'Sessional + End Term Assessment'!A143</f>
        <v/>
      </c>
      <c r="B145" s="74">
        <f>'Sessional + End Term Assessment'!B143</f>
        <v/>
      </c>
      <c r="C145" s="74">
        <f>'Sessional + End Term Assessment'!C143</f>
        <v/>
      </c>
      <c r="D145" s="21">
        <f>'MID Term 1'!D142+'MID Term 2'!D142</f>
        <v/>
      </c>
      <c r="E145" s="21">
        <f>'MID Term 1'!H142+'MID Term 2'!E142</f>
        <v/>
      </c>
      <c r="F145" s="21">
        <f>'MID Term 1'!L142+'MID Term 2'!F142</f>
        <v/>
      </c>
      <c r="G145" s="21">
        <f>'MID Term 1'!P142+'MID Term 2'!J142</f>
        <v/>
      </c>
      <c r="H145" s="21">
        <f>'MID Term 1'!Q142+'MID Term 2'!N142</f>
        <v/>
      </c>
      <c r="I145" s="23">
        <f>IF((D145/$D$8)&gt;=$I$8,1,0)</f>
        <v/>
      </c>
      <c r="J145" s="23">
        <f>IF((E145/$E$8)&gt;=$J$8,1,0)</f>
        <v/>
      </c>
      <c r="K145" s="23">
        <f>IF((F145/$F$8)&gt;=$K$8,1,0)</f>
        <v/>
      </c>
      <c r="L145" s="23">
        <f>IF((G145/$G$8)&gt;=$L$8,1,0)</f>
        <v/>
      </c>
      <c r="M145" s="23">
        <f>IF((H145/$H$8)&gt;=$M$8,1,0)</f>
        <v/>
      </c>
      <c r="N145" s="21">
        <f>SUM(D145:H145)</f>
        <v/>
      </c>
      <c r="O145" s="23">
        <f>ROUND(N145/2,0)</f>
        <v/>
      </c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24" t="n"/>
    </row>
    <row r="146" ht="19.5" customHeight="1" s="98">
      <c r="A146" s="47">
        <f>'Sessional + End Term Assessment'!A144</f>
        <v/>
      </c>
      <c r="B146" s="74">
        <f>'Sessional + End Term Assessment'!B144</f>
        <v/>
      </c>
      <c r="C146" s="74">
        <f>'Sessional + End Term Assessment'!C144</f>
        <v/>
      </c>
      <c r="D146" s="21">
        <f>'MID Term 1'!D143+'MID Term 2'!D143</f>
        <v/>
      </c>
      <c r="E146" s="21">
        <f>'MID Term 1'!H143+'MID Term 2'!E143</f>
        <v/>
      </c>
      <c r="F146" s="21">
        <f>'MID Term 1'!L143+'MID Term 2'!F143</f>
        <v/>
      </c>
      <c r="G146" s="21">
        <f>'MID Term 1'!P143+'MID Term 2'!J143</f>
        <v/>
      </c>
      <c r="H146" s="21">
        <f>'MID Term 1'!Q143+'MID Term 2'!N143</f>
        <v/>
      </c>
      <c r="I146" s="23">
        <f>IF((D146/$D$8)&gt;=$I$8,1,0)</f>
        <v/>
      </c>
      <c r="J146" s="23">
        <f>IF((E146/$E$8)&gt;=$J$8,1,0)</f>
        <v/>
      </c>
      <c r="K146" s="23">
        <f>IF((F146/$F$8)&gt;=$K$8,1,0)</f>
        <v/>
      </c>
      <c r="L146" s="23">
        <f>IF((G146/$G$8)&gt;=$L$8,1,0)</f>
        <v/>
      </c>
      <c r="M146" s="23">
        <f>IF((H146/$H$8)&gt;=$M$8,1,0)</f>
        <v/>
      </c>
      <c r="N146" s="21">
        <f>SUM(D146:H146)</f>
        <v/>
      </c>
      <c r="O146" s="23">
        <f>ROUND(N146/2,0)</f>
        <v/>
      </c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24" t="n"/>
    </row>
    <row r="147" ht="19.5" customHeight="1" s="98">
      <c r="A147" s="47">
        <f>'Sessional + End Term Assessment'!A145</f>
        <v/>
      </c>
      <c r="B147" s="74">
        <f>'Sessional + End Term Assessment'!B145</f>
        <v/>
      </c>
      <c r="C147" s="74">
        <f>'Sessional + End Term Assessment'!C145</f>
        <v/>
      </c>
      <c r="D147" s="21">
        <f>'MID Term 1'!D144+'MID Term 2'!D144</f>
        <v/>
      </c>
      <c r="E147" s="21">
        <f>'MID Term 1'!H144+'MID Term 2'!E144</f>
        <v/>
      </c>
      <c r="F147" s="21">
        <f>'MID Term 1'!L144+'MID Term 2'!F144</f>
        <v/>
      </c>
      <c r="G147" s="21">
        <f>'MID Term 1'!P144+'MID Term 2'!J144</f>
        <v/>
      </c>
      <c r="H147" s="21">
        <f>'MID Term 1'!Q144+'MID Term 2'!N144</f>
        <v/>
      </c>
      <c r="I147" s="23">
        <f>IF((D147/$D$8)&gt;=$I$8,1,0)</f>
        <v/>
      </c>
      <c r="J147" s="23">
        <f>IF((E147/$E$8)&gt;=$J$8,1,0)</f>
        <v/>
      </c>
      <c r="K147" s="23">
        <f>IF((F147/$F$8)&gt;=$K$8,1,0)</f>
        <v/>
      </c>
      <c r="L147" s="23">
        <f>IF((G147/$G$8)&gt;=$L$8,1,0)</f>
        <v/>
      </c>
      <c r="M147" s="23">
        <f>IF((H147/$H$8)&gt;=$M$8,1,0)</f>
        <v/>
      </c>
      <c r="N147" s="21">
        <f>SUM(D147:H147)</f>
        <v/>
      </c>
      <c r="O147" s="23">
        <f>ROUND(N147/2,0)</f>
        <v/>
      </c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24" t="n"/>
    </row>
    <row r="148" ht="19.5" customHeight="1" s="98">
      <c r="A148" s="47">
        <f>'Sessional + End Term Assessment'!A146</f>
        <v/>
      </c>
      <c r="B148" s="74">
        <f>'Sessional + End Term Assessment'!B146</f>
        <v/>
      </c>
      <c r="C148" s="74">
        <f>'Sessional + End Term Assessment'!C146</f>
        <v/>
      </c>
      <c r="D148" s="21">
        <f>'MID Term 1'!D145+'MID Term 2'!D145</f>
        <v/>
      </c>
      <c r="E148" s="21">
        <f>'MID Term 1'!H145+'MID Term 2'!E145</f>
        <v/>
      </c>
      <c r="F148" s="21">
        <f>'MID Term 1'!L145+'MID Term 2'!F145</f>
        <v/>
      </c>
      <c r="G148" s="21">
        <f>'MID Term 1'!P145+'MID Term 2'!J145</f>
        <v/>
      </c>
      <c r="H148" s="21">
        <f>'MID Term 1'!Q145+'MID Term 2'!N145</f>
        <v/>
      </c>
      <c r="I148" s="23">
        <f>IF((D148/$D$8)&gt;=$I$8,1,0)</f>
        <v/>
      </c>
      <c r="J148" s="23">
        <f>IF((E148/$E$8)&gt;=$J$8,1,0)</f>
        <v/>
      </c>
      <c r="K148" s="23">
        <f>IF((F148/$F$8)&gt;=$K$8,1,0)</f>
        <v/>
      </c>
      <c r="L148" s="23">
        <f>IF((G148/$G$8)&gt;=$L$8,1,0)</f>
        <v/>
      </c>
      <c r="M148" s="23">
        <f>IF((H148/$H$8)&gt;=$M$8,1,0)</f>
        <v/>
      </c>
      <c r="N148" s="21">
        <f>SUM(D148:H148)</f>
        <v/>
      </c>
      <c r="O148" s="23">
        <f>ROUND(N148/2,0)</f>
        <v/>
      </c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24" t="n"/>
    </row>
    <row r="149" ht="19.5" customHeight="1" s="98">
      <c r="A149" s="47">
        <f>'Sessional + End Term Assessment'!A147</f>
        <v/>
      </c>
      <c r="B149" s="74">
        <f>'Sessional + End Term Assessment'!B147</f>
        <v/>
      </c>
      <c r="C149" s="74">
        <f>'Sessional + End Term Assessment'!C147</f>
        <v/>
      </c>
      <c r="D149" s="21">
        <f>'MID Term 1'!D146+'MID Term 2'!D146</f>
        <v/>
      </c>
      <c r="E149" s="21">
        <f>'MID Term 1'!H146+'MID Term 2'!E146</f>
        <v/>
      </c>
      <c r="F149" s="21">
        <f>'MID Term 1'!L146+'MID Term 2'!F146</f>
        <v/>
      </c>
      <c r="G149" s="21">
        <f>'MID Term 1'!P146+'MID Term 2'!J146</f>
        <v/>
      </c>
      <c r="H149" s="21">
        <f>'MID Term 1'!Q146+'MID Term 2'!N146</f>
        <v/>
      </c>
      <c r="I149" s="23">
        <f>IF((D149/$D$8)&gt;=$I$8,1,0)</f>
        <v/>
      </c>
      <c r="J149" s="23">
        <f>IF((E149/$E$8)&gt;=$J$8,1,0)</f>
        <v/>
      </c>
      <c r="K149" s="23">
        <f>IF((F149/$F$8)&gt;=$K$8,1,0)</f>
        <v/>
      </c>
      <c r="L149" s="23">
        <f>IF((G149/$G$8)&gt;=$L$8,1,0)</f>
        <v/>
      </c>
      <c r="M149" s="23">
        <f>IF((H149/$H$8)&gt;=$M$8,1,0)</f>
        <v/>
      </c>
      <c r="N149" s="21">
        <f>SUM(D149:H149)</f>
        <v/>
      </c>
      <c r="O149" s="23">
        <f>ROUND(N149/2,0)</f>
        <v/>
      </c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24" t="n"/>
    </row>
    <row r="150" ht="19.5" customHeight="1" s="98">
      <c r="A150" s="47">
        <f>'Sessional + End Term Assessment'!A148</f>
        <v/>
      </c>
      <c r="B150" s="74">
        <f>'Sessional + End Term Assessment'!B148</f>
        <v/>
      </c>
      <c r="C150" s="74">
        <f>'Sessional + End Term Assessment'!C148</f>
        <v/>
      </c>
      <c r="D150" s="21">
        <f>'MID Term 1'!D147+'MID Term 2'!D147</f>
        <v/>
      </c>
      <c r="E150" s="21">
        <f>'MID Term 1'!H147+'MID Term 2'!E147</f>
        <v/>
      </c>
      <c r="F150" s="21">
        <f>'MID Term 1'!L147+'MID Term 2'!F147</f>
        <v/>
      </c>
      <c r="G150" s="21">
        <f>'MID Term 1'!P147+'MID Term 2'!J147</f>
        <v/>
      </c>
      <c r="H150" s="21">
        <f>'MID Term 1'!Q147+'MID Term 2'!N147</f>
        <v/>
      </c>
      <c r="I150" s="23">
        <f>IF((D150/$D$8)&gt;=$I$8,1,0)</f>
        <v/>
      </c>
      <c r="J150" s="23">
        <f>IF((E150/$E$8)&gt;=$J$8,1,0)</f>
        <v/>
      </c>
      <c r="K150" s="23">
        <f>IF((F150/$F$8)&gt;=$K$8,1,0)</f>
        <v/>
      </c>
      <c r="L150" s="23">
        <f>IF((G150/$G$8)&gt;=$L$8,1,0)</f>
        <v/>
      </c>
      <c r="M150" s="23">
        <f>IF((H150/$H$8)&gt;=$M$8,1,0)</f>
        <v/>
      </c>
      <c r="N150" s="21">
        <f>SUM(D150:H150)</f>
        <v/>
      </c>
      <c r="O150" s="23">
        <f>ROUND(N150/2,0)</f>
        <v/>
      </c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24" t="n"/>
    </row>
    <row r="151" ht="19.5" customHeight="1" s="98">
      <c r="A151" s="47">
        <f>'Sessional + End Term Assessment'!A149</f>
        <v/>
      </c>
      <c r="B151" s="74">
        <f>'Sessional + End Term Assessment'!B149</f>
        <v/>
      </c>
      <c r="C151" s="74">
        <f>'Sessional + End Term Assessment'!C149</f>
        <v/>
      </c>
      <c r="D151" s="21">
        <f>'MID Term 1'!D148+'MID Term 2'!D148</f>
        <v/>
      </c>
      <c r="E151" s="21">
        <f>'MID Term 1'!H148+'MID Term 2'!E148</f>
        <v/>
      </c>
      <c r="F151" s="21">
        <f>'MID Term 1'!L148+'MID Term 2'!F148</f>
        <v/>
      </c>
      <c r="G151" s="21">
        <f>'MID Term 1'!P148+'MID Term 2'!J148</f>
        <v/>
      </c>
      <c r="H151" s="21">
        <f>'MID Term 1'!Q148+'MID Term 2'!N148</f>
        <v/>
      </c>
      <c r="I151" s="23">
        <f>IF((D151/$D$8)&gt;=$I$8,1,0)</f>
        <v/>
      </c>
      <c r="J151" s="23">
        <f>IF((E151/$E$8)&gt;=$J$8,1,0)</f>
        <v/>
      </c>
      <c r="K151" s="23">
        <f>IF((F151/$F$8)&gt;=$K$8,1,0)</f>
        <v/>
      </c>
      <c r="L151" s="23">
        <f>IF((G151/$G$8)&gt;=$L$8,1,0)</f>
        <v/>
      </c>
      <c r="M151" s="23">
        <f>IF((H151/$H$8)&gt;=$M$8,1,0)</f>
        <v/>
      </c>
      <c r="N151" s="21">
        <f>SUM(D151:H151)</f>
        <v/>
      </c>
      <c r="O151" s="23">
        <f>ROUND(N151/2,0)</f>
        <v/>
      </c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24" t="n"/>
    </row>
    <row r="152" ht="19.5" customHeight="1" s="98">
      <c r="A152" s="47">
        <f>'Sessional + End Term Assessment'!A150</f>
        <v/>
      </c>
      <c r="B152" s="74">
        <f>'Sessional + End Term Assessment'!B150</f>
        <v/>
      </c>
      <c r="C152" s="74">
        <f>'Sessional + End Term Assessment'!C150</f>
        <v/>
      </c>
      <c r="D152" s="21">
        <f>'MID Term 1'!D149+'MID Term 2'!D149</f>
        <v/>
      </c>
      <c r="E152" s="21">
        <f>'MID Term 1'!H149+'MID Term 2'!E149</f>
        <v/>
      </c>
      <c r="F152" s="21">
        <f>'MID Term 1'!L149+'MID Term 2'!F149</f>
        <v/>
      </c>
      <c r="G152" s="21">
        <f>'MID Term 1'!P149+'MID Term 2'!J149</f>
        <v/>
      </c>
      <c r="H152" s="21">
        <f>'MID Term 1'!Q149+'MID Term 2'!N149</f>
        <v/>
      </c>
      <c r="I152" s="23">
        <f>IF((D152/$D$8)&gt;=$I$8,1,0)</f>
        <v/>
      </c>
      <c r="J152" s="23">
        <f>IF((E152/$E$8)&gt;=$J$8,1,0)</f>
        <v/>
      </c>
      <c r="K152" s="23">
        <f>IF((F152/$F$8)&gt;=$K$8,1,0)</f>
        <v/>
      </c>
      <c r="L152" s="23">
        <f>IF((G152/$G$8)&gt;=$L$8,1,0)</f>
        <v/>
      </c>
      <c r="M152" s="23">
        <f>IF((H152/$H$8)&gt;=$M$8,1,0)</f>
        <v/>
      </c>
      <c r="N152" s="21">
        <f>SUM(D152:H152)</f>
        <v/>
      </c>
      <c r="O152" s="23">
        <f>ROUND(N152/2,0)</f>
        <v/>
      </c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24" t="n"/>
    </row>
    <row r="153" ht="19.5" customHeight="1" s="98">
      <c r="A153" s="47">
        <f>'Sessional + End Term Assessment'!A151</f>
        <v/>
      </c>
      <c r="B153" s="74">
        <f>'Sessional + End Term Assessment'!B151</f>
        <v/>
      </c>
      <c r="C153" s="74">
        <f>'Sessional + End Term Assessment'!C151</f>
        <v/>
      </c>
      <c r="D153" s="21">
        <f>'MID Term 1'!D150+'MID Term 2'!D150</f>
        <v/>
      </c>
      <c r="E153" s="21">
        <f>'MID Term 1'!H150+'MID Term 2'!E150</f>
        <v/>
      </c>
      <c r="F153" s="21">
        <f>'MID Term 1'!L150+'MID Term 2'!F150</f>
        <v/>
      </c>
      <c r="G153" s="21">
        <f>'MID Term 1'!P150+'MID Term 2'!J150</f>
        <v/>
      </c>
      <c r="H153" s="21">
        <f>'MID Term 1'!Q150+'MID Term 2'!N150</f>
        <v/>
      </c>
      <c r="I153" s="23">
        <f>IF((D153/$D$8)&gt;=$I$8,1,0)</f>
        <v/>
      </c>
      <c r="J153" s="23">
        <f>IF((E153/$E$8)&gt;=$J$8,1,0)</f>
        <v/>
      </c>
      <c r="K153" s="23">
        <f>IF((F153/$F$8)&gt;=$K$8,1,0)</f>
        <v/>
      </c>
      <c r="L153" s="23">
        <f>IF((G153/$G$8)&gt;=$L$8,1,0)</f>
        <v/>
      </c>
      <c r="M153" s="23">
        <f>IF((H153/$H$8)&gt;=$M$8,1,0)</f>
        <v/>
      </c>
      <c r="N153" s="21">
        <f>SUM(D153:H153)</f>
        <v/>
      </c>
      <c r="O153" s="23">
        <f>ROUND(N153/2,0)</f>
        <v/>
      </c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24" t="n"/>
    </row>
    <row r="154" ht="19.5" customHeight="1" s="98">
      <c r="A154" s="47">
        <f>'Sessional + End Term Assessment'!A152</f>
        <v/>
      </c>
      <c r="B154" s="74">
        <f>'Sessional + End Term Assessment'!B152</f>
        <v/>
      </c>
      <c r="C154" s="74">
        <f>'Sessional + End Term Assessment'!C152</f>
        <v/>
      </c>
      <c r="D154" s="21">
        <f>'MID Term 1'!D151+'MID Term 2'!D151</f>
        <v/>
      </c>
      <c r="E154" s="21">
        <f>'MID Term 1'!H151+'MID Term 2'!E151</f>
        <v/>
      </c>
      <c r="F154" s="21">
        <f>'MID Term 1'!L151+'MID Term 2'!F151</f>
        <v/>
      </c>
      <c r="G154" s="21">
        <f>'MID Term 1'!P151+'MID Term 2'!J151</f>
        <v/>
      </c>
      <c r="H154" s="21">
        <f>'MID Term 1'!Q151+'MID Term 2'!N151</f>
        <v/>
      </c>
      <c r="I154" s="23">
        <f>IF((D154/$D$8)&gt;=$I$8,1,0)</f>
        <v/>
      </c>
      <c r="J154" s="23">
        <f>IF((E154/$E$8)&gt;=$J$8,1,0)</f>
        <v/>
      </c>
      <c r="K154" s="23">
        <f>IF((F154/$F$8)&gt;=$K$8,1,0)</f>
        <v/>
      </c>
      <c r="L154" s="23">
        <f>IF((G154/$G$8)&gt;=$L$8,1,0)</f>
        <v/>
      </c>
      <c r="M154" s="23">
        <f>IF((H154/$H$8)&gt;=$M$8,1,0)</f>
        <v/>
      </c>
      <c r="N154" s="21">
        <f>SUM(D154:H154)</f>
        <v/>
      </c>
      <c r="O154" s="23">
        <f>ROUND(N154/2,0)</f>
        <v/>
      </c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24" t="n"/>
    </row>
    <row r="155" ht="19.5" customHeight="1" s="98">
      <c r="A155" s="47">
        <f>'Sessional + End Term Assessment'!A153</f>
        <v/>
      </c>
      <c r="B155" s="74">
        <f>'Sessional + End Term Assessment'!B153</f>
        <v/>
      </c>
      <c r="C155" s="74">
        <f>'Sessional + End Term Assessment'!C153</f>
        <v/>
      </c>
      <c r="D155" s="21">
        <f>'MID Term 1'!D152+'MID Term 2'!D152</f>
        <v/>
      </c>
      <c r="E155" s="21">
        <f>'MID Term 1'!H152+'MID Term 2'!E152</f>
        <v/>
      </c>
      <c r="F155" s="21">
        <f>'MID Term 1'!L152+'MID Term 2'!F152</f>
        <v/>
      </c>
      <c r="G155" s="21">
        <f>'MID Term 1'!P152+'MID Term 2'!J152</f>
        <v/>
      </c>
      <c r="H155" s="21">
        <f>'MID Term 1'!Q152+'MID Term 2'!N152</f>
        <v/>
      </c>
      <c r="I155" s="23">
        <f>IF((D155/$D$8)&gt;=$I$8,1,0)</f>
        <v/>
      </c>
      <c r="J155" s="23">
        <f>IF((E155/$E$8)&gt;=$J$8,1,0)</f>
        <v/>
      </c>
      <c r="K155" s="23">
        <f>IF((F155/$F$8)&gt;=$K$8,1,0)</f>
        <v/>
      </c>
      <c r="L155" s="23">
        <f>IF((G155/$G$8)&gt;=$L$8,1,0)</f>
        <v/>
      </c>
      <c r="M155" s="23">
        <f>IF((H155/$H$8)&gt;=$M$8,1,0)</f>
        <v/>
      </c>
      <c r="N155" s="21">
        <f>SUM(D155:H155)</f>
        <v/>
      </c>
      <c r="O155" s="23">
        <f>ROUND(N155/2,0)</f>
        <v/>
      </c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24" t="n"/>
    </row>
    <row r="156" ht="19.5" customHeight="1" s="98">
      <c r="A156" s="47">
        <f>'Sessional + End Term Assessment'!A154</f>
        <v/>
      </c>
      <c r="B156" s="74">
        <f>'Sessional + End Term Assessment'!B154</f>
        <v/>
      </c>
      <c r="C156" s="74">
        <f>'Sessional + End Term Assessment'!C154</f>
        <v/>
      </c>
      <c r="D156" s="21">
        <f>'MID Term 1'!D153+'MID Term 2'!D153</f>
        <v/>
      </c>
      <c r="E156" s="21">
        <f>'MID Term 1'!H153+'MID Term 2'!E153</f>
        <v/>
      </c>
      <c r="F156" s="21">
        <f>'MID Term 1'!L153+'MID Term 2'!F153</f>
        <v/>
      </c>
      <c r="G156" s="21">
        <f>'MID Term 1'!P153+'MID Term 2'!J153</f>
        <v/>
      </c>
      <c r="H156" s="21">
        <f>'MID Term 1'!Q153+'MID Term 2'!N153</f>
        <v/>
      </c>
      <c r="I156" s="23">
        <f>IF((D156/$D$8)&gt;=$I$8,1,0)</f>
        <v/>
      </c>
      <c r="J156" s="23">
        <f>IF((E156/$E$8)&gt;=$J$8,1,0)</f>
        <v/>
      </c>
      <c r="K156" s="23">
        <f>IF((F156/$F$8)&gt;=$K$8,1,0)</f>
        <v/>
      </c>
      <c r="L156" s="23">
        <f>IF((G156/$G$8)&gt;=$L$8,1,0)</f>
        <v/>
      </c>
      <c r="M156" s="23">
        <f>IF((H156/$H$8)&gt;=$M$8,1,0)</f>
        <v/>
      </c>
      <c r="N156" s="21">
        <f>SUM(D156:H156)</f>
        <v/>
      </c>
      <c r="O156" s="23">
        <f>ROUND(N156/2,0)</f>
        <v/>
      </c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24" t="n"/>
    </row>
    <row r="157" ht="19.5" customHeight="1" s="98">
      <c r="A157" s="47">
        <f>'Sessional + End Term Assessment'!A155</f>
        <v/>
      </c>
      <c r="B157" s="74">
        <f>'Sessional + End Term Assessment'!B155</f>
        <v/>
      </c>
      <c r="C157" s="74">
        <f>'Sessional + End Term Assessment'!C155</f>
        <v/>
      </c>
      <c r="D157" s="21">
        <f>'MID Term 1'!D154+'MID Term 2'!D154</f>
        <v/>
      </c>
      <c r="E157" s="21">
        <f>'MID Term 1'!H154+'MID Term 2'!E154</f>
        <v/>
      </c>
      <c r="F157" s="21">
        <f>'MID Term 1'!L154+'MID Term 2'!F154</f>
        <v/>
      </c>
      <c r="G157" s="21">
        <f>'MID Term 1'!P154+'MID Term 2'!J154</f>
        <v/>
      </c>
      <c r="H157" s="21">
        <f>'MID Term 1'!Q154+'MID Term 2'!N154</f>
        <v/>
      </c>
      <c r="I157" s="23">
        <f>IF((D157/$D$8)&gt;=$I$8,1,0)</f>
        <v/>
      </c>
      <c r="J157" s="23">
        <f>IF((E157/$E$8)&gt;=$J$8,1,0)</f>
        <v/>
      </c>
      <c r="K157" s="23">
        <f>IF((F157/$F$8)&gt;=$K$8,1,0)</f>
        <v/>
      </c>
      <c r="L157" s="23">
        <f>IF((G157/$G$8)&gt;=$L$8,1,0)</f>
        <v/>
      </c>
      <c r="M157" s="23">
        <f>IF((H157/$H$8)&gt;=$M$8,1,0)</f>
        <v/>
      </c>
      <c r="N157" s="21">
        <f>SUM(D157:H157)</f>
        <v/>
      </c>
      <c r="O157" s="23">
        <f>ROUND(N157/2,0)</f>
        <v/>
      </c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24" t="n"/>
    </row>
    <row r="158" ht="19.5" customHeight="1" s="98">
      <c r="A158" s="47">
        <f>'Sessional + End Term Assessment'!A156</f>
        <v/>
      </c>
      <c r="B158" s="74">
        <f>'Sessional + End Term Assessment'!B156</f>
        <v/>
      </c>
      <c r="C158" s="74">
        <f>'Sessional + End Term Assessment'!C156</f>
        <v/>
      </c>
      <c r="D158" s="21">
        <f>'MID Term 1'!D155+'MID Term 2'!D155</f>
        <v/>
      </c>
      <c r="E158" s="21">
        <f>'MID Term 1'!H155+'MID Term 2'!E155</f>
        <v/>
      </c>
      <c r="F158" s="21">
        <f>'MID Term 1'!L155+'MID Term 2'!F155</f>
        <v/>
      </c>
      <c r="G158" s="21">
        <f>'MID Term 1'!P155+'MID Term 2'!J155</f>
        <v/>
      </c>
      <c r="H158" s="21">
        <f>'MID Term 1'!Q155+'MID Term 2'!N155</f>
        <v/>
      </c>
      <c r="I158" s="23">
        <f>IF((D158/$D$8)&gt;=$I$8,1,0)</f>
        <v/>
      </c>
      <c r="J158" s="23">
        <f>IF((E158/$E$8)&gt;=$J$8,1,0)</f>
        <v/>
      </c>
      <c r="K158" s="23">
        <f>IF((F158/$F$8)&gt;=$K$8,1,0)</f>
        <v/>
      </c>
      <c r="L158" s="23">
        <f>IF((G158/$G$8)&gt;=$L$8,1,0)</f>
        <v/>
      </c>
      <c r="M158" s="23">
        <f>IF((H158/$H$8)&gt;=$M$8,1,0)</f>
        <v/>
      </c>
      <c r="N158" s="21">
        <f>SUM(D158:H158)</f>
        <v/>
      </c>
      <c r="O158" s="23">
        <f>ROUND(N158/2,0)</f>
        <v/>
      </c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24" t="n"/>
    </row>
    <row r="159" ht="19.5" customHeight="1" s="98">
      <c r="A159" s="47">
        <f>'Sessional + End Term Assessment'!A157</f>
        <v/>
      </c>
      <c r="B159" s="74">
        <f>'Sessional + End Term Assessment'!B157</f>
        <v/>
      </c>
      <c r="C159" s="74">
        <f>'Sessional + End Term Assessment'!C157</f>
        <v/>
      </c>
      <c r="D159" s="21">
        <f>'MID Term 1'!D156+'MID Term 2'!D156</f>
        <v/>
      </c>
      <c r="E159" s="21">
        <f>'MID Term 1'!H156+'MID Term 2'!E156</f>
        <v/>
      </c>
      <c r="F159" s="21">
        <f>'MID Term 1'!L156+'MID Term 2'!F156</f>
        <v/>
      </c>
      <c r="G159" s="21">
        <f>'MID Term 1'!P156+'MID Term 2'!J156</f>
        <v/>
      </c>
      <c r="H159" s="21">
        <f>'MID Term 1'!Q156+'MID Term 2'!N156</f>
        <v/>
      </c>
      <c r="I159" s="23">
        <f>IF((D159/$D$8)&gt;=$I$8,1,0)</f>
        <v/>
      </c>
      <c r="J159" s="23">
        <f>IF((E159/$E$8)&gt;=$J$8,1,0)</f>
        <v/>
      </c>
      <c r="K159" s="23">
        <f>IF((F159/$F$8)&gt;=$K$8,1,0)</f>
        <v/>
      </c>
      <c r="L159" s="23">
        <f>IF((G159/$G$8)&gt;=$L$8,1,0)</f>
        <v/>
      </c>
      <c r="M159" s="23">
        <f>IF((H159/$H$8)&gt;=$M$8,1,0)</f>
        <v/>
      </c>
      <c r="N159" s="21">
        <f>SUM(D159:H159)</f>
        <v/>
      </c>
      <c r="O159" s="23">
        <f>ROUND(N159/2,0)</f>
        <v/>
      </c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24" t="n"/>
    </row>
    <row r="160" ht="19.5" customHeight="1" s="98">
      <c r="A160" s="47">
        <f>'Sessional + End Term Assessment'!A158</f>
        <v/>
      </c>
      <c r="B160" s="74">
        <f>'Sessional + End Term Assessment'!B158</f>
        <v/>
      </c>
      <c r="C160" s="74">
        <f>'Sessional + End Term Assessment'!C158</f>
        <v/>
      </c>
      <c r="D160" s="21">
        <f>'MID Term 1'!D157+'MID Term 2'!D157</f>
        <v/>
      </c>
      <c r="E160" s="21">
        <f>'MID Term 1'!H157+'MID Term 2'!E157</f>
        <v/>
      </c>
      <c r="F160" s="21">
        <f>'MID Term 1'!L157+'MID Term 2'!F157</f>
        <v/>
      </c>
      <c r="G160" s="21">
        <f>'MID Term 1'!P157+'MID Term 2'!J157</f>
        <v/>
      </c>
      <c r="H160" s="21">
        <f>'MID Term 1'!Q157+'MID Term 2'!N157</f>
        <v/>
      </c>
      <c r="I160" s="23">
        <f>IF((D160/$D$8)&gt;=$I$8,1,0)</f>
        <v/>
      </c>
      <c r="J160" s="23">
        <f>IF((E160/$E$8)&gt;=$J$8,1,0)</f>
        <v/>
      </c>
      <c r="K160" s="23">
        <f>IF((F160/$F$8)&gt;=$K$8,1,0)</f>
        <v/>
      </c>
      <c r="L160" s="23">
        <f>IF((G160/$G$8)&gt;=$L$8,1,0)</f>
        <v/>
      </c>
      <c r="M160" s="23">
        <f>IF((H160/$H$8)&gt;=$M$8,1,0)</f>
        <v/>
      </c>
      <c r="N160" s="21">
        <f>SUM(D160:H160)</f>
        <v/>
      </c>
      <c r="O160" s="23">
        <f>ROUND(N160/2,0)</f>
        <v/>
      </c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24" t="n"/>
    </row>
    <row r="161" ht="19.5" customHeight="1" s="98">
      <c r="A161" s="47">
        <f>'Sessional + End Term Assessment'!A159</f>
        <v/>
      </c>
      <c r="B161" s="74">
        <f>'Sessional + End Term Assessment'!B159</f>
        <v/>
      </c>
      <c r="C161" s="74">
        <f>'Sessional + End Term Assessment'!C159</f>
        <v/>
      </c>
      <c r="D161" s="21">
        <f>'MID Term 1'!D158+'MID Term 2'!D158</f>
        <v/>
      </c>
      <c r="E161" s="21">
        <f>'MID Term 1'!H158+'MID Term 2'!E158</f>
        <v/>
      </c>
      <c r="F161" s="21">
        <f>'MID Term 1'!L158+'MID Term 2'!F158</f>
        <v/>
      </c>
      <c r="G161" s="21">
        <f>'MID Term 1'!P158+'MID Term 2'!J158</f>
        <v/>
      </c>
      <c r="H161" s="21">
        <f>'MID Term 1'!Q158+'MID Term 2'!N158</f>
        <v/>
      </c>
      <c r="I161" s="23">
        <f>IF((D161/$D$8)&gt;=$I$8,1,0)</f>
        <v/>
      </c>
      <c r="J161" s="23">
        <f>IF((E161/$E$8)&gt;=$J$8,1,0)</f>
        <v/>
      </c>
      <c r="K161" s="23">
        <f>IF((F161/$F$8)&gt;=$K$8,1,0)</f>
        <v/>
      </c>
      <c r="L161" s="23">
        <f>IF((G161/$G$8)&gt;=$L$8,1,0)</f>
        <v/>
      </c>
      <c r="M161" s="23">
        <f>IF((H161/$H$8)&gt;=$M$8,1,0)</f>
        <v/>
      </c>
      <c r="N161" s="21">
        <f>SUM(D161:H161)</f>
        <v/>
      </c>
      <c r="O161" s="23">
        <f>ROUND(N161/2,0)</f>
        <v/>
      </c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24" t="n"/>
    </row>
    <row r="162" ht="19.5" customHeight="1" s="98">
      <c r="A162" s="47">
        <f>'Sessional + End Term Assessment'!A160</f>
        <v/>
      </c>
      <c r="B162" s="74">
        <f>'Sessional + End Term Assessment'!B160</f>
        <v/>
      </c>
      <c r="C162" s="74">
        <f>'Sessional + End Term Assessment'!C160</f>
        <v/>
      </c>
      <c r="D162" s="21">
        <f>'MID Term 1'!D159+'MID Term 2'!D159</f>
        <v/>
      </c>
      <c r="E162" s="21">
        <f>'MID Term 1'!H159+'MID Term 2'!E159</f>
        <v/>
      </c>
      <c r="F162" s="21">
        <f>'MID Term 1'!L159+'MID Term 2'!F159</f>
        <v/>
      </c>
      <c r="G162" s="21">
        <f>'MID Term 1'!P159+'MID Term 2'!J159</f>
        <v/>
      </c>
      <c r="H162" s="21">
        <f>'MID Term 1'!Q159+'MID Term 2'!N159</f>
        <v/>
      </c>
      <c r="I162" s="23">
        <f>IF((D162/$D$8)&gt;=$I$8,1,0)</f>
        <v/>
      </c>
      <c r="J162" s="23">
        <f>IF((E162/$E$8)&gt;=$J$8,1,0)</f>
        <v/>
      </c>
      <c r="K162" s="23">
        <f>IF((F162/$F$8)&gt;=$K$8,1,0)</f>
        <v/>
      </c>
      <c r="L162" s="23">
        <f>IF((G162/$G$8)&gt;=$L$8,1,0)</f>
        <v/>
      </c>
      <c r="M162" s="23">
        <f>IF((H162/$H$8)&gt;=$M$8,1,0)</f>
        <v/>
      </c>
      <c r="N162" s="21">
        <f>SUM(D162:H162)</f>
        <v/>
      </c>
      <c r="O162" s="23">
        <f>ROUND(N162/2,0)</f>
        <v/>
      </c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24" t="n"/>
    </row>
    <row r="163" ht="19.5" customHeight="1" s="98">
      <c r="A163" s="47">
        <f>'Sessional + End Term Assessment'!A161</f>
        <v/>
      </c>
      <c r="B163" s="74">
        <f>'Sessional + End Term Assessment'!B161</f>
        <v/>
      </c>
      <c r="C163" s="74">
        <f>'Sessional + End Term Assessment'!C161</f>
        <v/>
      </c>
      <c r="D163" s="21">
        <f>'MID Term 1'!D160+'MID Term 2'!D160</f>
        <v/>
      </c>
      <c r="E163" s="21">
        <f>'MID Term 1'!H160+'MID Term 2'!E160</f>
        <v/>
      </c>
      <c r="F163" s="21">
        <f>'MID Term 1'!L160+'MID Term 2'!F160</f>
        <v/>
      </c>
      <c r="G163" s="21">
        <f>'MID Term 1'!P160+'MID Term 2'!J160</f>
        <v/>
      </c>
      <c r="H163" s="21">
        <f>'MID Term 1'!Q160+'MID Term 2'!N160</f>
        <v/>
      </c>
      <c r="I163" s="23">
        <f>IF((D163/$D$8)&gt;=$I$8,1,0)</f>
        <v/>
      </c>
      <c r="J163" s="23">
        <f>IF((E163/$E$8)&gt;=$J$8,1,0)</f>
        <v/>
      </c>
      <c r="K163" s="23">
        <f>IF((F163/$F$8)&gt;=$K$8,1,0)</f>
        <v/>
      </c>
      <c r="L163" s="23">
        <f>IF((G163/$G$8)&gt;=$L$8,1,0)</f>
        <v/>
      </c>
      <c r="M163" s="23">
        <f>IF((H163/$H$8)&gt;=$M$8,1,0)</f>
        <v/>
      </c>
      <c r="N163" s="21">
        <f>SUM(D163:H163)</f>
        <v/>
      </c>
      <c r="O163" s="23">
        <f>ROUND(N163/2,0)</f>
        <v/>
      </c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24" t="n"/>
    </row>
    <row r="164" ht="19.5" customHeight="1" s="98">
      <c r="A164" s="47">
        <f>'Sessional + End Term Assessment'!A162</f>
        <v/>
      </c>
      <c r="B164" s="74">
        <f>'Sessional + End Term Assessment'!B162</f>
        <v/>
      </c>
      <c r="C164" s="74">
        <f>'Sessional + End Term Assessment'!C162</f>
        <v/>
      </c>
      <c r="D164" s="21">
        <f>'MID Term 1'!D161+'MID Term 2'!D161</f>
        <v/>
      </c>
      <c r="E164" s="21">
        <f>'MID Term 1'!H161+'MID Term 2'!E161</f>
        <v/>
      </c>
      <c r="F164" s="21">
        <f>'MID Term 1'!L161+'MID Term 2'!F161</f>
        <v/>
      </c>
      <c r="G164" s="21">
        <f>'MID Term 1'!P161+'MID Term 2'!J161</f>
        <v/>
      </c>
      <c r="H164" s="21">
        <f>'MID Term 1'!Q161+'MID Term 2'!N161</f>
        <v/>
      </c>
      <c r="I164" s="23">
        <f>IF((D164/$D$8)&gt;=$I$8,1,0)</f>
        <v/>
      </c>
      <c r="J164" s="23">
        <f>IF((E164/$E$8)&gt;=$J$8,1,0)</f>
        <v/>
      </c>
      <c r="K164" s="23">
        <f>IF((F164/$F$8)&gt;=$K$8,1,0)</f>
        <v/>
      </c>
      <c r="L164" s="23">
        <f>IF((G164/$G$8)&gt;=$L$8,1,0)</f>
        <v/>
      </c>
      <c r="M164" s="23">
        <f>IF((H164/$H$8)&gt;=$M$8,1,0)</f>
        <v/>
      </c>
      <c r="N164" s="21">
        <f>SUM(D164:H164)</f>
        <v/>
      </c>
      <c r="O164" s="23">
        <f>ROUND(N164/2,0)</f>
        <v/>
      </c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24" t="n"/>
    </row>
    <row r="165" ht="19.5" customHeight="1" s="98">
      <c r="A165" s="47">
        <f>'Sessional + End Term Assessment'!A163</f>
        <v/>
      </c>
      <c r="B165" s="74">
        <f>'Sessional + End Term Assessment'!B163</f>
        <v/>
      </c>
      <c r="C165" s="74">
        <f>'Sessional + End Term Assessment'!C163</f>
        <v/>
      </c>
      <c r="D165" s="21">
        <f>'MID Term 1'!D162+'MID Term 2'!D162</f>
        <v/>
      </c>
      <c r="E165" s="21">
        <f>'MID Term 1'!H162+'MID Term 2'!E162</f>
        <v/>
      </c>
      <c r="F165" s="21">
        <f>'MID Term 1'!L162+'MID Term 2'!F162</f>
        <v/>
      </c>
      <c r="G165" s="21">
        <f>'MID Term 1'!P162+'MID Term 2'!J162</f>
        <v/>
      </c>
      <c r="H165" s="21">
        <f>'MID Term 1'!Q162+'MID Term 2'!N162</f>
        <v/>
      </c>
      <c r="I165" s="23">
        <f>IF((D165/$D$8)&gt;=$I$8,1,0)</f>
        <v/>
      </c>
      <c r="J165" s="23">
        <f>IF((E165/$E$8)&gt;=$J$8,1,0)</f>
        <v/>
      </c>
      <c r="K165" s="23">
        <f>IF((F165/$F$8)&gt;=$K$8,1,0)</f>
        <v/>
      </c>
      <c r="L165" s="23">
        <f>IF((G165/$G$8)&gt;=$L$8,1,0)</f>
        <v/>
      </c>
      <c r="M165" s="23">
        <f>IF((H165/$H$8)&gt;=$M$8,1,0)</f>
        <v/>
      </c>
      <c r="N165" s="21">
        <f>SUM(D165:H165)</f>
        <v/>
      </c>
      <c r="O165" s="23">
        <f>ROUND(N165/2,0)</f>
        <v/>
      </c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24" t="n"/>
    </row>
    <row r="166" ht="19.5" customHeight="1" s="98">
      <c r="A166" s="47">
        <f>'Sessional + End Term Assessment'!A164</f>
        <v/>
      </c>
      <c r="B166" s="74">
        <f>'Sessional + End Term Assessment'!B164</f>
        <v/>
      </c>
      <c r="C166" s="74">
        <f>'Sessional + End Term Assessment'!C164</f>
        <v/>
      </c>
      <c r="D166" s="21">
        <f>'MID Term 1'!D163+'MID Term 2'!D163</f>
        <v/>
      </c>
      <c r="E166" s="21">
        <f>'MID Term 1'!H163+'MID Term 2'!E163</f>
        <v/>
      </c>
      <c r="F166" s="21">
        <f>'MID Term 1'!L163+'MID Term 2'!F163</f>
        <v/>
      </c>
      <c r="G166" s="21">
        <f>'MID Term 1'!P163+'MID Term 2'!J163</f>
        <v/>
      </c>
      <c r="H166" s="21">
        <f>'MID Term 1'!Q163+'MID Term 2'!N163</f>
        <v/>
      </c>
      <c r="I166" s="23">
        <f>IF((D166/$D$8)&gt;=$I$8,1,0)</f>
        <v/>
      </c>
      <c r="J166" s="23">
        <f>IF((E166/$E$8)&gt;=$J$8,1,0)</f>
        <v/>
      </c>
      <c r="K166" s="23">
        <f>IF((F166/$F$8)&gt;=$K$8,1,0)</f>
        <v/>
      </c>
      <c r="L166" s="23">
        <f>IF((G166/$G$8)&gt;=$L$8,1,0)</f>
        <v/>
      </c>
      <c r="M166" s="23">
        <f>IF((H166/$H$8)&gt;=$M$8,1,0)</f>
        <v/>
      </c>
      <c r="N166" s="21">
        <f>SUM(D166:H166)</f>
        <v/>
      </c>
      <c r="O166" s="23">
        <f>ROUND(N166/2,0)</f>
        <v/>
      </c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24" t="n"/>
    </row>
    <row r="167" ht="19.5" customHeight="1" s="98">
      <c r="A167" s="47">
        <f>'Sessional + End Term Assessment'!A165</f>
        <v/>
      </c>
      <c r="B167" s="74">
        <f>'Sessional + End Term Assessment'!B165</f>
        <v/>
      </c>
      <c r="C167" s="74">
        <f>'Sessional + End Term Assessment'!C165</f>
        <v/>
      </c>
      <c r="D167" s="21">
        <f>'MID Term 1'!D164+'MID Term 2'!D164</f>
        <v/>
      </c>
      <c r="E167" s="21">
        <f>'MID Term 1'!H164+'MID Term 2'!E164</f>
        <v/>
      </c>
      <c r="F167" s="21">
        <f>'MID Term 1'!L164+'MID Term 2'!F164</f>
        <v/>
      </c>
      <c r="G167" s="21">
        <f>'MID Term 1'!P164+'MID Term 2'!J164</f>
        <v/>
      </c>
      <c r="H167" s="21">
        <f>'MID Term 1'!Q164+'MID Term 2'!N164</f>
        <v/>
      </c>
      <c r="I167" s="23">
        <f>IF((D167/$D$8)&gt;=$I$8,1,0)</f>
        <v/>
      </c>
      <c r="J167" s="23">
        <f>IF((E167/$E$8)&gt;=$J$8,1,0)</f>
        <v/>
      </c>
      <c r="K167" s="23">
        <f>IF((F167/$F$8)&gt;=$K$8,1,0)</f>
        <v/>
      </c>
      <c r="L167" s="23">
        <f>IF((G167/$G$8)&gt;=$L$8,1,0)</f>
        <v/>
      </c>
      <c r="M167" s="23">
        <f>IF((H167/$H$8)&gt;=$M$8,1,0)</f>
        <v/>
      </c>
      <c r="N167" s="21">
        <f>SUM(D167:H167)</f>
        <v/>
      </c>
      <c r="O167" s="23">
        <f>ROUND(N167/2,0)</f>
        <v/>
      </c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24" t="n"/>
    </row>
    <row r="168" ht="19.5" customHeight="1" s="98">
      <c r="A168" s="47">
        <f>'Sessional + End Term Assessment'!A166</f>
        <v/>
      </c>
      <c r="B168" s="74">
        <f>'Sessional + End Term Assessment'!B166</f>
        <v/>
      </c>
      <c r="C168" s="74">
        <f>'Sessional + End Term Assessment'!C166</f>
        <v/>
      </c>
      <c r="D168" s="21">
        <f>'MID Term 1'!D165+'MID Term 2'!D165</f>
        <v/>
      </c>
      <c r="E168" s="21">
        <f>'MID Term 1'!H165+'MID Term 2'!E165</f>
        <v/>
      </c>
      <c r="F168" s="21">
        <f>'MID Term 1'!L165+'MID Term 2'!F165</f>
        <v/>
      </c>
      <c r="G168" s="21">
        <f>'MID Term 1'!P165+'MID Term 2'!J165</f>
        <v/>
      </c>
      <c r="H168" s="21">
        <f>'MID Term 1'!Q165+'MID Term 2'!N165</f>
        <v/>
      </c>
      <c r="I168" s="23">
        <f>IF((D168/$D$8)&gt;=$I$8,1,0)</f>
        <v/>
      </c>
      <c r="J168" s="23">
        <f>IF((E168/$E$8)&gt;=$J$8,1,0)</f>
        <v/>
      </c>
      <c r="K168" s="23">
        <f>IF((F168/$F$8)&gt;=$K$8,1,0)</f>
        <v/>
      </c>
      <c r="L168" s="23">
        <f>IF((G168/$G$8)&gt;=$L$8,1,0)</f>
        <v/>
      </c>
      <c r="M168" s="23">
        <f>IF((H168/$H$8)&gt;=$M$8,1,0)</f>
        <v/>
      </c>
      <c r="N168" s="21">
        <f>SUM(D168:H168)</f>
        <v/>
      </c>
      <c r="O168" s="23">
        <f>ROUND(N168/2,0)</f>
        <v/>
      </c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24" t="n"/>
    </row>
    <row r="169" ht="19.5" customHeight="1" s="98">
      <c r="A169" s="47">
        <f>'Sessional + End Term Assessment'!A167</f>
        <v/>
      </c>
      <c r="B169" s="74">
        <f>'Sessional + End Term Assessment'!B167</f>
        <v/>
      </c>
      <c r="C169" s="74">
        <f>'Sessional + End Term Assessment'!C167</f>
        <v/>
      </c>
      <c r="D169" s="21">
        <f>'MID Term 1'!D166+'MID Term 2'!D166</f>
        <v/>
      </c>
      <c r="E169" s="21">
        <f>'MID Term 1'!H166+'MID Term 2'!E166</f>
        <v/>
      </c>
      <c r="F169" s="21">
        <f>'MID Term 1'!L166+'MID Term 2'!F166</f>
        <v/>
      </c>
      <c r="G169" s="21">
        <f>'MID Term 1'!P166+'MID Term 2'!J166</f>
        <v/>
      </c>
      <c r="H169" s="21">
        <f>'MID Term 1'!Q166+'MID Term 2'!N166</f>
        <v/>
      </c>
      <c r="I169" s="23">
        <f>IF((D169/$D$8)&gt;=$I$8,1,0)</f>
        <v/>
      </c>
      <c r="J169" s="23">
        <f>IF((E169/$E$8)&gt;=$J$8,1,0)</f>
        <v/>
      </c>
      <c r="K169" s="23">
        <f>IF((F169/$F$8)&gt;=$K$8,1,0)</f>
        <v/>
      </c>
      <c r="L169" s="23">
        <f>IF((G169/$G$8)&gt;=$L$8,1,0)</f>
        <v/>
      </c>
      <c r="M169" s="23">
        <f>IF((H169/$H$8)&gt;=$M$8,1,0)</f>
        <v/>
      </c>
      <c r="N169" s="21">
        <f>SUM(D169:H169)</f>
        <v/>
      </c>
      <c r="O169" s="23">
        <f>ROUND(N169/2,0)</f>
        <v/>
      </c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24" t="n"/>
    </row>
    <row r="170" ht="19.5" customHeight="1" s="98">
      <c r="A170" s="47">
        <f>'Sessional + End Term Assessment'!A168</f>
        <v/>
      </c>
      <c r="B170" s="74">
        <f>'Sessional + End Term Assessment'!B168</f>
        <v/>
      </c>
      <c r="C170" s="74">
        <f>'Sessional + End Term Assessment'!C168</f>
        <v/>
      </c>
      <c r="D170" s="21">
        <f>'MID Term 1'!D167+'MID Term 2'!D167</f>
        <v/>
      </c>
      <c r="E170" s="21">
        <f>'MID Term 1'!H167+'MID Term 2'!E167</f>
        <v/>
      </c>
      <c r="F170" s="21">
        <f>'MID Term 1'!L167+'MID Term 2'!F167</f>
        <v/>
      </c>
      <c r="G170" s="21">
        <f>'MID Term 1'!P167+'MID Term 2'!J167</f>
        <v/>
      </c>
      <c r="H170" s="21">
        <f>'MID Term 1'!Q167+'MID Term 2'!N167</f>
        <v/>
      </c>
      <c r="I170" s="23">
        <f>IF((D170/$D$8)&gt;=$I$8,1,0)</f>
        <v/>
      </c>
      <c r="J170" s="23">
        <f>IF((E170/$E$8)&gt;=$J$8,1,0)</f>
        <v/>
      </c>
      <c r="K170" s="23">
        <f>IF((F170/$F$8)&gt;=$K$8,1,0)</f>
        <v/>
      </c>
      <c r="L170" s="23">
        <f>IF((G170/$G$8)&gt;=$L$8,1,0)</f>
        <v/>
      </c>
      <c r="M170" s="23">
        <f>IF((H170/$H$8)&gt;=$M$8,1,0)</f>
        <v/>
      </c>
      <c r="N170" s="21">
        <f>SUM(D170:H170)</f>
        <v/>
      </c>
      <c r="O170" s="23">
        <f>ROUND(N170/2,0)</f>
        <v/>
      </c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24" t="n"/>
    </row>
    <row r="171" ht="19.5" customHeight="1" s="98">
      <c r="A171" s="47">
        <f>'Sessional + End Term Assessment'!A169</f>
        <v/>
      </c>
      <c r="B171" s="74">
        <f>'Sessional + End Term Assessment'!B169</f>
        <v/>
      </c>
      <c r="C171" s="74">
        <f>'Sessional + End Term Assessment'!C169</f>
        <v/>
      </c>
      <c r="D171" s="21">
        <f>'MID Term 1'!D168+'MID Term 2'!D168</f>
        <v/>
      </c>
      <c r="E171" s="21">
        <f>'MID Term 1'!H168+'MID Term 2'!E168</f>
        <v/>
      </c>
      <c r="F171" s="21">
        <f>'MID Term 1'!L168+'MID Term 2'!F168</f>
        <v/>
      </c>
      <c r="G171" s="21">
        <f>'MID Term 1'!P168+'MID Term 2'!J168</f>
        <v/>
      </c>
      <c r="H171" s="21">
        <f>'MID Term 1'!Q168+'MID Term 2'!N168</f>
        <v/>
      </c>
      <c r="I171" s="23">
        <f>IF((D171/$D$8)&gt;=$I$8,1,0)</f>
        <v/>
      </c>
      <c r="J171" s="23">
        <f>IF((E171/$E$8)&gt;=$J$8,1,0)</f>
        <v/>
      </c>
      <c r="K171" s="23">
        <f>IF((F171/$F$8)&gt;=$K$8,1,0)</f>
        <v/>
      </c>
      <c r="L171" s="23">
        <f>IF((G171/$G$8)&gt;=$L$8,1,0)</f>
        <v/>
      </c>
      <c r="M171" s="23">
        <f>IF((H171/$H$8)&gt;=$M$8,1,0)</f>
        <v/>
      </c>
      <c r="N171" s="21">
        <f>SUM(D171:H171)</f>
        <v/>
      </c>
      <c r="O171" s="23">
        <f>ROUND(N171/2,0)</f>
        <v/>
      </c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24" t="n"/>
    </row>
    <row r="172" ht="19.5" customHeight="1" s="98">
      <c r="A172" s="47">
        <f>'Sessional + End Term Assessment'!A170</f>
        <v/>
      </c>
      <c r="B172" s="74">
        <f>'Sessional + End Term Assessment'!B170</f>
        <v/>
      </c>
      <c r="C172" s="74">
        <f>'Sessional + End Term Assessment'!C170</f>
        <v/>
      </c>
      <c r="D172" s="21">
        <f>'MID Term 1'!D169+'MID Term 2'!D169</f>
        <v/>
      </c>
      <c r="E172" s="21">
        <f>'MID Term 1'!H169+'MID Term 2'!E169</f>
        <v/>
      </c>
      <c r="F172" s="21">
        <f>'MID Term 1'!L169+'MID Term 2'!F169</f>
        <v/>
      </c>
      <c r="G172" s="21">
        <f>'MID Term 1'!P169+'MID Term 2'!J169</f>
        <v/>
      </c>
      <c r="H172" s="21">
        <f>'MID Term 1'!Q169+'MID Term 2'!N169</f>
        <v/>
      </c>
      <c r="I172" s="23">
        <f>IF((D172/$D$8)&gt;=$I$8,1,0)</f>
        <v/>
      </c>
      <c r="J172" s="23">
        <f>IF((E172/$E$8)&gt;=$J$8,1,0)</f>
        <v/>
      </c>
      <c r="K172" s="23">
        <f>IF((F172/$F$8)&gt;=$K$8,1,0)</f>
        <v/>
      </c>
      <c r="L172" s="23">
        <f>IF((G172/$G$8)&gt;=$L$8,1,0)</f>
        <v/>
      </c>
      <c r="M172" s="23">
        <f>IF((H172/$H$8)&gt;=$M$8,1,0)</f>
        <v/>
      </c>
      <c r="N172" s="21">
        <f>SUM(D172:H172)</f>
        <v/>
      </c>
      <c r="O172" s="23">
        <f>ROUND(N172/2,0)</f>
        <v/>
      </c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24" t="n"/>
    </row>
    <row r="173" ht="19.5" customHeight="1" s="98">
      <c r="A173" s="47">
        <f>'Sessional + End Term Assessment'!A171</f>
        <v/>
      </c>
      <c r="B173" s="74">
        <f>'Sessional + End Term Assessment'!B171</f>
        <v/>
      </c>
      <c r="C173" s="74">
        <f>'Sessional + End Term Assessment'!C171</f>
        <v/>
      </c>
      <c r="D173" s="21">
        <f>'MID Term 1'!D170+'MID Term 2'!D170</f>
        <v/>
      </c>
      <c r="E173" s="21">
        <f>'MID Term 1'!H170+'MID Term 2'!E170</f>
        <v/>
      </c>
      <c r="F173" s="21">
        <f>'MID Term 1'!L170+'MID Term 2'!F170</f>
        <v/>
      </c>
      <c r="G173" s="21">
        <f>'MID Term 1'!P170+'MID Term 2'!J170</f>
        <v/>
      </c>
      <c r="H173" s="21">
        <f>'MID Term 1'!Q170+'MID Term 2'!N170</f>
        <v/>
      </c>
      <c r="I173" s="23">
        <f>IF((D173/$D$8)&gt;=$I$8,1,0)</f>
        <v/>
      </c>
      <c r="J173" s="23">
        <f>IF((E173/$E$8)&gt;=$J$8,1,0)</f>
        <v/>
      </c>
      <c r="K173" s="23">
        <f>IF((F173/$F$8)&gt;=$K$8,1,0)</f>
        <v/>
      </c>
      <c r="L173" s="23">
        <f>IF((G173/$G$8)&gt;=$L$8,1,0)</f>
        <v/>
      </c>
      <c r="M173" s="23">
        <f>IF((H173/$H$8)&gt;=$M$8,1,0)</f>
        <v/>
      </c>
      <c r="N173" s="21">
        <f>SUM(D173:H173)</f>
        <v/>
      </c>
      <c r="O173" s="23">
        <f>ROUND(N173/2,0)</f>
        <v/>
      </c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24" t="n"/>
    </row>
    <row r="174" ht="19.5" customHeight="1" s="98">
      <c r="A174" s="47">
        <f>'Sessional + End Term Assessment'!A172</f>
        <v/>
      </c>
      <c r="B174" s="74">
        <f>'Sessional + End Term Assessment'!B172</f>
        <v/>
      </c>
      <c r="C174" s="74">
        <f>'Sessional + End Term Assessment'!C172</f>
        <v/>
      </c>
      <c r="D174" s="21">
        <f>'MID Term 1'!D171+'MID Term 2'!D171</f>
        <v/>
      </c>
      <c r="E174" s="21">
        <f>'MID Term 1'!H171+'MID Term 2'!E171</f>
        <v/>
      </c>
      <c r="F174" s="21">
        <f>'MID Term 1'!L171+'MID Term 2'!F171</f>
        <v/>
      </c>
      <c r="G174" s="21">
        <f>'MID Term 1'!P171+'MID Term 2'!J171</f>
        <v/>
      </c>
      <c r="H174" s="21">
        <f>'MID Term 1'!Q171+'MID Term 2'!N171</f>
        <v/>
      </c>
      <c r="I174" s="23">
        <f>IF((D174/$D$8)&gt;=$I$8,1,0)</f>
        <v/>
      </c>
      <c r="J174" s="23">
        <f>IF((E174/$E$8)&gt;=$J$8,1,0)</f>
        <v/>
      </c>
      <c r="K174" s="23">
        <f>IF((F174/$F$8)&gt;=$K$8,1,0)</f>
        <v/>
      </c>
      <c r="L174" s="23">
        <f>IF((G174/$G$8)&gt;=$L$8,1,0)</f>
        <v/>
      </c>
      <c r="M174" s="23">
        <f>IF((H174/$H$8)&gt;=$M$8,1,0)</f>
        <v/>
      </c>
      <c r="N174" s="21">
        <f>SUM(D174:H174)</f>
        <v/>
      </c>
      <c r="O174" s="23">
        <f>ROUND(N174/2,0)</f>
        <v/>
      </c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24" t="n"/>
    </row>
    <row r="175" ht="19.5" customHeight="1" s="98">
      <c r="A175" s="47">
        <f>'Sessional + End Term Assessment'!A173</f>
        <v/>
      </c>
      <c r="B175" s="74">
        <f>'Sessional + End Term Assessment'!B173</f>
        <v/>
      </c>
      <c r="C175" s="74">
        <f>'Sessional + End Term Assessment'!C173</f>
        <v/>
      </c>
      <c r="D175" s="21">
        <f>'MID Term 1'!D172+'MID Term 2'!D172</f>
        <v/>
      </c>
      <c r="E175" s="21">
        <f>'MID Term 1'!H172+'MID Term 2'!E172</f>
        <v/>
      </c>
      <c r="F175" s="21">
        <f>'MID Term 1'!L172+'MID Term 2'!F172</f>
        <v/>
      </c>
      <c r="G175" s="21">
        <f>'MID Term 1'!P172+'MID Term 2'!J172</f>
        <v/>
      </c>
      <c r="H175" s="21">
        <f>'MID Term 1'!Q172+'MID Term 2'!N172</f>
        <v/>
      </c>
      <c r="I175" s="23">
        <f>IF((D175/$D$8)&gt;=$I$8,1,0)</f>
        <v/>
      </c>
      <c r="J175" s="23">
        <f>IF((E175/$E$8)&gt;=$J$8,1,0)</f>
        <v/>
      </c>
      <c r="K175" s="23">
        <f>IF((F175/$F$8)&gt;=$K$8,1,0)</f>
        <v/>
      </c>
      <c r="L175" s="23">
        <f>IF((G175/$G$8)&gt;=$L$8,1,0)</f>
        <v/>
      </c>
      <c r="M175" s="23">
        <f>IF((H175/$H$8)&gt;=$M$8,1,0)</f>
        <v/>
      </c>
      <c r="N175" s="21">
        <f>SUM(D175:H175)</f>
        <v/>
      </c>
      <c r="O175" s="23">
        <f>ROUND(N175/2,0)</f>
        <v/>
      </c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24" t="n"/>
    </row>
    <row r="176" ht="19.5" customHeight="1" s="98">
      <c r="A176" s="47">
        <f>'Sessional + End Term Assessment'!A174</f>
        <v/>
      </c>
      <c r="B176" s="74">
        <f>'Sessional + End Term Assessment'!B174</f>
        <v/>
      </c>
      <c r="C176" s="74">
        <f>'Sessional + End Term Assessment'!C174</f>
        <v/>
      </c>
      <c r="D176" s="21">
        <f>'MID Term 1'!D173+'MID Term 2'!D173</f>
        <v/>
      </c>
      <c r="E176" s="21">
        <f>'MID Term 1'!H173+'MID Term 2'!E173</f>
        <v/>
      </c>
      <c r="F176" s="21">
        <f>'MID Term 1'!L173+'MID Term 2'!F173</f>
        <v/>
      </c>
      <c r="G176" s="21">
        <f>'MID Term 1'!P173+'MID Term 2'!J173</f>
        <v/>
      </c>
      <c r="H176" s="21">
        <f>'MID Term 1'!Q173+'MID Term 2'!N173</f>
        <v/>
      </c>
      <c r="I176" s="23">
        <f>IF((D176/$D$8)&gt;=$I$8,1,0)</f>
        <v/>
      </c>
      <c r="J176" s="23">
        <f>IF((E176/$E$8)&gt;=$J$8,1,0)</f>
        <v/>
      </c>
      <c r="K176" s="23">
        <f>IF((F176/$F$8)&gt;=$K$8,1,0)</f>
        <v/>
      </c>
      <c r="L176" s="23">
        <f>IF((G176/$G$8)&gt;=$L$8,1,0)</f>
        <v/>
      </c>
      <c r="M176" s="23">
        <f>IF((H176/$H$8)&gt;=$M$8,1,0)</f>
        <v/>
      </c>
      <c r="N176" s="21">
        <f>SUM(D176:H176)</f>
        <v/>
      </c>
      <c r="O176" s="23">
        <f>ROUND(N176/2,0)</f>
        <v/>
      </c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24" t="n"/>
    </row>
    <row r="177" ht="19.5" customHeight="1" s="98">
      <c r="A177" s="47">
        <f>'Sessional + End Term Assessment'!A175</f>
        <v/>
      </c>
      <c r="B177" s="74">
        <f>'Sessional + End Term Assessment'!B175</f>
        <v/>
      </c>
      <c r="C177" s="74">
        <f>'Sessional + End Term Assessment'!C175</f>
        <v/>
      </c>
      <c r="D177" s="21">
        <f>'MID Term 1'!D174+'MID Term 2'!D174</f>
        <v/>
      </c>
      <c r="E177" s="21">
        <f>'MID Term 1'!H174+'MID Term 2'!E174</f>
        <v/>
      </c>
      <c r="F177" s="21">
        <f>'MID Term 1'!L174+'MID Term 2'!F174</f>
        <v/>
      </c>
      <c r="G177" s="21">
        <f>'MID Term 1'!P174+'MID Term 2'!J174</f>
        <v/>
      </c>
      <c r="H177" s="21">
        <f>'MID Term 1'!Q174+'MID Term 2'!N174</f>
        <v/>
      </c>
      <c r="I177" s="23">
        <f>IF((D177/$D$8)&gt;=$I$8,1,0)</f>
        <v/>
      </c>
      <c r="J177" s="23">
        <f>IF((E177/$E$8)&gt;=$J$8,1,0)</f>
        <v/>
      </c>
      <c r="K177" s="23">
        <f>IF((F177/$F$8)&gt;=$K$8,1,0)</f>
        <v/>
      </c>
      <c r="L177" s="23">
        <f>IF((G177/$G$8)&gt;=$L$8,1,0)</f>
        <v/>
      </c>
      <c r="M177" s="23">
        <f>IF((H177/$H$8)&gt;=$M$8,1,0)</f>
        <v/>
      </c>
      <c r="N177" s="21">
        <f>SUM(D177:H177)</f>
        <v/>
      </c>
      <c r="O177" s="23">
        <f>ROUND(N177/2,0)</f>
        <v/>
      </c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24" t="n"/>
    </row>
    <row r="178" ht="19.5" customHeight="1" s="98">
      <c r="A178" s="47">
        <f>'Sessional + End Term Assessment'!A176</f>
        <v/>
      </c>
      <c r="B178" s="74">
        <f>'Sessional + End Term Assessment'!B176</f>
        <v/>
      </c>
      <c r="C178" s="74">
        <f>'Sessional + End Term Assessment'!C176</f>
        <v/>
      </c>
      <c r="D178" s="21">
        <f>'MID Term 1'!D175+'MID Term 2'!D175</f>
        <v/>
      </c>
      <c r="E178" s="21">
        <f>'MID Term 1'!H175+'MID Term 2'!E175</f>
        <v/>
      </c>
      <c r="F178" s="21">
        <f>'MID Term 1'!L175+'MID Term 2'!F175</f>
        <v/>
      </c>
      <c r="G178" s="21">
        <f>'MID Term 1'!P175+'MID Term 2'!J175</f>
        <v/>
      </c>
      <c r="H178" s="21">
        <f>'MID Term 1'!Q175+'MID Term 2'!N175</f>
        <v/>
      </c>
      <c r="I178" s="23">
        <f>IF((D178/$D$8)&gt;=$I$8,1,0)</f>
        <v/>
      </c>
      <c r="J178" s="23">
        <f>IF((E178/$E$8)&gt;=$J$8,1,0)</f>
        <v/>
      </c>
      <c r="K178" s="23">
        <f>IF((F178/$F$8)&gt;=$K$8,1,0)</f>
        <v/>
      </c>
      <c r="L178" s="23">
        <f>IF((G178/$G$8)&gt;=$L$8,1,0)</f>
        <v/>
      </c>
      <c r="M178" s="23">
        <f>IF((H178/$H$8)&gt;=$M$8,1,0)</f>
        <v/>
      </c>
      <c r="N178" s="21">
        <f>SUM(D178:H178)</f>
        <v/>
      </c>
      <c r="O178" s="23">
        <f>ROUND(N178/2,0)</f>
        <v/>
      </c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24" t="n"/>
    </row>
    <row r="179" ht="19.5" customHeight="1" s="98">
      <c r="A179" s="47">
        <f>'Sessional + End Term Assessment'!A177</f>
        <v/>
      </c>
      <c r="B179" s="74">
        <f>'Sessional + End Term Assessment'!B177</f>
        <v/>
      </c>
      <c r="C179" s="74">
        <f>'Sessional + End Term Assessment'!C177</f>
        <v/>
      </c>
      <c r="D179" s="21">
        <f>'MID Term 1'!D176+'MID Term 2'!D176</f>
        <v/>
      </c>
      <c r="E179" s="21">
        <f>'MID Term 1'!H176+'MID Term 2'!E176</f>
        <v/>
      </c>
      <c r="F179" s="21">
        <f>'MID Term 1'!L176+'MID Term 2'!F176</f>
        <v/>
      </c>
      <c r="G179" s="21">
        <f>'MID Term 1'!P176+'MID Term 2'!J176</f>
        <v/>
      </c>
      <c r="H179" s="21">
        <f>'MID Term 1'!Q176+'MID Term 2'!N176</f>
        <v/>
      </c>
      <c r="I179" s="23">
        <f>IF((D179/$D$8)&gt;=$I$8,1,0)</f>
        <v/>
      </c>
      <c r="J179" s="23">
        <f>IF((E179/$E$8)&gt;=$J$8,1,0)</f>
        <v/>
      </c>
      <c r="K179" s="23">
        <f>IF((F179/$F$8)&gt;=$K$8,1,0)</f>
        <v/>
      </c>
      <c r="L179" s="23">
        <f>IF((G179/$G$8)&gt;=$L$8,1,0)</f>
        <v/>
      </c>
      <c r="M179" s="23">
        <f>IF((H179/$H$8)&gt;=$M$8,1,0)</f>
        <v/>
      </c>
      <c r="N179" s="21">
        <f>SUM(D179:H179)</f>
        <v/>
      </c>
      <c r="O179" s="23">
        <f>ROUND(N179/2,0)</f>
        <v/>
      </c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24" t="n"/>
    </row>
    <row r="180" ht="19.5" customHeight="1" s="98">
      <c r="A180" s="47">
        <f>'Sessional + End Term Assessment'!A178</f>
        <v/>
      </c>
      <c r="B180" s="74">
        <f>'Sessional + End Term Assessment'!B178</f>
        <v/>
      </c>
      <c r="C180" s="74">
        <f>'Sessional + End Term Assessment'!C178</f>
        <v/>
      </c>
      <c r="D180" s="21">
        <f>'MID Term 1'!D177+'MID Term 2'!D177</f>
        <v/>
      </c>
      <c r="E180" s="21">
        <f>'MID Term 1'!H177+'MID Term 2'!E177</f>
        <v/>
      </c>
      <c r="F180" s="21">
        <f>'MID Term 1'!L177+'MID Term 2'!F177</f>
        <v/>
      </c>
      <c r="G180" s="21">
        <f>'MID Term 1'!P177+'MID Term 2'!J177</f>
        <v/>
      </c>
      <c r="H180" s="21">
        <f>'MID Term 1'!Q177+'MID Term 2'!N177</f>
        <v/>
      </c>
      <c r="I180" s="23">
        <f>IF((D180/$D$8)&gt;=$I$8,1,0)</f>
        <v/>
      </c>
      <c r="J180" s="23">
        <f>IF((E180/$E$8)&gt;=$J$8,1,0)</f>
        <v/>
      </c>
      <c r="K180" s="23">
        <f>IF((F180/$F$8)&gt;=$K$8,1,0)</f>
        <v/>
      </c>
      <c r="L180" s="23">
        <f>IF((G180/$G$8)&gt;=$L$8,1,0)</f>
        <v/>
      </c>
      <c r="M180" s="23">
        <f>IF((H180/$H$8)&gt;=$M$8,1,0)</f>
        <v/>
      </c>
      <c r="N180" s="21">
        <f>SUM(D180:H180)</f>
        <v/>
      </c>
      <c r="O180" s="23">
        <f>ROUND(N180/2,0)</f>
        <v/>
      </c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24" t="n"/>
    </row>
    <row r="181" ht="19.5" customHeight="1" s="98">
      <c r="A181" s="47">
        <f>'Sessional + End Term Assessment'!A179</f>
        <v/>
      </c>
      <c r="B181" s="74">
        <f>'Sessional + End Term Assessment'!B179</f>
        <v/>
      </c>
      <c r="C181" s="74">
        <f>'Sessional + End Term Assessment'!C179</f>
        <v/>
      </c>
      <c r="D181" s="21">
        <f>'MID Term 1'!D178+'MID Term 2'!D178</f>
        <v/>
      </c>
      <c r="E181" s="21">
        <f>'MID Term 1'!H178+'MID Term 2'!E178</f>
        <v/>
      </c>
      <c r="F181" s="21">
        <f>'MID Term 1'!L178+'MID Term 2'!F178</f>
        <v/>
      </c>
      <c r="G181" s="21">
        <f>'MID Term 1'!P178+'MID Term 2'!J178</f>
        <v/>
      </c>
      <c r="H181" s="21">
        <f>'MID Term 1'!Q178+'MID Term 2'!N178</f>
        <v/>
      </c>
      <c r="I181" s="23">
        <f>IF((D181/$D$8)&gt;=$I$8,1,0)</f>
        <v/>
      </c>
      <c r="J181" s="23">
        <f>IF((E181/$E$8)&gt;=$J$8,1,0)</f>
        <v/>
      </c>
      <c r="K181" s="23">
        <f>IF((F181/$F$8)&gt;=$K$8,1,0)</f>
        <v/>
      </c>
      <c r="L181" s="23">
        <f>IF((G181/$G$8)&gt;=$L$8,1,0)</f>
        <v/>
      </c>
      <c r="M181" s="23">
        <f>IF((H181/$H$8)&gt;=$M$8,1,0)</f>
        <v/>
      </c>
      <c r="N181" s="21">
        <f>SUM(D181:H181)</f>
        <v/>
      </c>
      <c r="O181" s="23">
        <f>ROUND(N181/2,0)</f>
        <v/>
      </c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24" t="n"/>
    </row>
    <row r="182" ht="19.5" customHeight="1" s="98">
      <c r="A182" s="47">
        <f>'Sessional + End Term Assessment'!A180</f>
        <v/>
      </c>
      <c r="B182" s="74">
        <f>'Sessional + End Term Assessment'!B180</f>
        <v/>
      </c>
      <c r="C182" s="74">
        <f>'Sessional + End Term Assessment'!C180</f>
        <v/>
      </c>
      <c r="D182" s="21">
        <f>'MID Term 1'!D179+'MID Term 2'!D179</f>
        <v/>
      </c>
      <c r="E182" s="21">
        <f>'MID Term 1'!H179+'MID Term 2'!E179</f>
        <v/>
      </c>
      <c r="F182" s="21">
        <f>'MID Term 1'!L179+'MID Term 2'!F179</f>
        <v/>
      </c>
      <c r="G182" s="21">
        <f>'MID Term 1'!P179+'MID Term 2'!J179</f>
        <v/>
      </c>
      <c r="H182" s="21">
        <f>'MID Term 1'!Q179+'MID Term 2'!N179</f>
        <v/>
      </c>
      <c r="I182" s="23">
        <f>IF((D182/$D$8)&gt;=$I$8,1,0)</f>
        <v/>
      </c>
      <c r="J182" s="23">
        <f>IF((E182/$E$8)&gt;=$J$8,1,0)</f>
        <v/>
      </c>
      <c r="K182" s="23">
        <f>IF((F182/$F$8)&gt;=$K$8,1,0)</f>
        <v/>
      </c>
      <c r="L182" s="23">
        <f>IF((G182/$G$8)&gt;=$L$8,1,0)</f>
        <v/>
      </c>
      <c r="M182" s="23">
        <f>IF((H182/$H$8)&gt;=$M$8,1,0)</f>
        <v/>
      </c>
      <c r="N182" s="21">
        <f>SUM(D182:H182)</f>
        <v/>
      </c>
      <c r="O182" s="23">
        <f>ROUND(N182/2,0)</f>
        <v/>
      </c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24" t="n"/>
    </row>
    <row r="183" ht="19.5" customHeight="1" s="98">
      <c r="A183" s="47">
        <f>'Sessional + End Term Assessment'!A181</f>
        <v/>
      </c>
      <c r="B183" s="74">
        <f>'Sessional + End Term Assessment'!B181</f>
        <v/>
      </c>
      <c r="C183" s="74">
        <f>'Sessional + End Term Assessment'!C181</f>
        <v/>
      </c>
      <c r="D183" s="21">
        <f>'MID Term 1'!D180+'MID Term 2'!D180</f>
        <v/>
      </c>
      <c r="E183" s="21">
        <f>'MID Term 1'!H180+'MID Term 2'!E180</f>
        <v/>
      </c>
      <c r="F183" s="21">
        <f>'MID Term 1'!L180+'MID Term 2'!F180</f>
        <v/>
      </c>
      <c r="G183" s="21">
        <f>'MID Term 1'!P180+'MID Term 2'!J180</f>
        <v/>
      </c>
      <c r="H183" s="21">
        <f>'MID Term 1'!Q180+'MID Term 2'!N180</f>
        <v/>
      </c>
      <c r="I183" s="23">
        <f>IF((D183/$D$8)&gt;=$I$8,1,0)</f>
        <v/>
      </c>
      <c r="J183" s="23">
        <f>IF((E183/$E$8)&gt;=$J$8,1,0)</f>
        <v/>
      </c>
      <c r="K183" s="23">
        <f>IF((F183/$F$8)&gt;=$K$8,1,0)</f>
        <v/>
      </c>
      <c r="L183" s="23">
        <f>IF((G183/$G$8)&gt;=$L$8,1,0)</f>
        <v/>
      </c>
      <c r="M183" s="23">
        <f>IF((H183/$H$8)&gt;=$M$8,1,0)</f>
        <v/>
      </c>
      <c r="N183" s="21">
        <f>SUM(D183:H183)</f>
        <v/>
      </c>
      <c r="O183" s="23">
        <f>ROUND(N183/2,0)</f>
        <v/>
      </c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24" t="n"/>
    </row>
    <row r="184" ht="19.5" customHeight="1" s="98">
      <c r="A184" s="47">
        <f>'Sessional + End Term Assessment'!A182</f>
        <v/>
      </c>
      <c r="B184" s="74">
        <f>'Sessional + End Term Assessment'!B182</f>
        <v/>
      </c>
      <c r="C184" s="74">
        <f>'Sessional + End Term Assessment'!C182</f>
        <v/>
      </c>
      <c r="D184" s="21">
        <f>'MID Term 1'!D181+'MID Term 2'!D181</f>
        <v/>
      </c>
      <c r="E184" s="21">
        <f>'MID Term 1'!H181+'MID Term 2'!E181</f>
        <v/>
      </c>
      <c r="F184" s="21">
        <f>'MID Term 1'!L181+'MID Term 2'!F181</f>
        <v/>
      </c>
      <c r="G184" s="21">
        <f>'MID Term 1'!P181+'MID Term 2'!J181</f>
        <v/>
      </c>
      <c r="H184" s="21">
        <f>'MID Term 1'!Q181+'MID Term 2'!N181</f>
        <v/>
      </c>
      <c r="I184" s="23">
        <f>IF((D184/$D$8)&gt;=$I$8,1,0)</f>
        <v/>
      </c>
      <c r="J184" s="23">
        <f>IF((E184/$E$8)&gt;=$J$8,1,0)</f>
        <v/>
      </c>
      <c r="K184" s="23">
        <f>IF((F184/$F$8)&gt;=$K$8,1,0)</f>
        <v/>
      </c>
      <c r="L184" s="23">
        <f>IF((G184/$G$8)&gt;=$L$8,1,0)</f>
        <v/>
      </c>
      <c r="M184" s="23">
        <f>IF((H184/$H$8)&gt;=$M$8,1,0)</f>
        <v/>
      </c>
      <c r="N184" s="21">
        <f>SUM(D184:H184)</f>
        <v/>
      </c>
      <c r="O184" s="23">
        <f>ROUND(N184/2,0)</f>
        <v/>
      </c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24" t="n"/>
    </row>
    <row r="185" ht="19.5" customHeight="1" s="98">
      <c r="A185" s="47">
        <f>'Sessional + End Term Assessment'!A183</f>
        <v/>
      </c>
      <c r="B185" s="74">
        <f>'Sessional + End Term Assessment'!B183</f>
        <v/>
      </c>
      <c r="C185" s="74">
        <f>'Sessional + End Term Assessment'!C183</f>
        <v/>
      </c>
      <c r="D185" s="21">
        <f>'MID Term 1'!D182+'MID Term 2'!D182</f>
        <v/>
      </c>
      <c r="E185" s="21">
        <f>'MID Term 1'!H182+'MID Term 2'!E182</f>
        <v/>
      </c>
      <c r="F185" s="21">
        <f>'MID Term 1'!L182+'MID Term 2'!F182</f>
        <v/>
      </c>
      <c r="G185" s="21">
        <f>'MID Term 1'!P182+'MID Term 2'!J182</f>
        <v/>
      </c>
      <c r="H185" s="21">
        <f>'MID Term 1'!Q182+'MID Term 2'!N182</f>
        <v/>
      </c>
      <c r="I185" s="23">
        <f>IF((D185/$D$8)&gt;=$I$8,1,0)</f>
        <v/>
      </c>
      <c r="J185" s="23">
        <f>IF((E185/$E$8)&gt;=$J$8,1,0)</f>
        <v/>
      </c>
      <c r="K185" s="23">
        <f>IF((F185/$F$8)&gt;=$K$8,1,0)</f>
        <v/>
      </c>
      <c r="L185" s="23">
        <f>IF((G185/$G$8)&gt;=$L$8,1,0)</f>
        <v/>
      </c>
      <c r="M185" s="23">
        <f>IF((H185/$H$8)&gt;=$M$8,1,0)</f>
        <v/>
      </c>
      <c r="N185" s="21">
        <f>SUM(D185:H185)</f>
        <v/>
      </c>
      <c r="O185" s="23">
        <f>ROUND(N185/2,0)</f>
        <v/>
      </c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24" t="n"/>
    </row>
    <row r="186" ht="19.5" customHeight="1" s="98">
      <c r="A186" s="47">
        <f>'Sessional + End Term Assessment'!A184</f>
        <v/>
      </c>
      <c r="B186" s="74">
        <f>'Sessional + End Term Assessment'!B184</f>
        <v/>
      </c>
      <c r="C186" s="74">
        <f>'Sessional + End Term Assessment'!C184</f>
        <v/>
      </c>
      <c r="D186" s="21">
        <f>'MID Term 1'!D183+'MID Term 2'!D183</f>
        <v/>
      </c>
      <c r="E186" s="21">
        <f>'MID Term 1'!H183+'MID Term 2'!E183</f>
        <v/>
      </c>
      <c r="F186" s="21">
        <f>'MID Term 1'!L183+'MID Term 2'!F183</f>
        <v/>
      </c>
      <c r="G186" s="21">
        <f>'MID Term 1'!P183+'MID Term 2'!J183</f>
        <v/>
      </c>
      <c r="H186" s="21">
        <f>'MID Term 1'!Q183+'MID Term 2'!N183</f>
        <v/>
      </c>
      <c r="I186" s="23">
        <f>IF((D186/$D$8)&gt;=$I$8,1,0)</f>
        <v/>
      </c>
      <c r="J186" s="23">
        <f>IF((E186/$E$8)&gt;=$J$8,1,0)</f>
        <v/>
      </c>
      <c r="K186" s="23">
        <f>IF((F186/$F$8)&gt;=$K$8,1,0)</f>
        <v/>
      </c>
      <c r="L186" s="23">
        <f>IF((G186/$G$8)&gt;=$L$8,1,0)</f>
        <v/>
      </c>
      <c r="M186" s="23">
        <f>IF((H186/$H$8)&gt;=$M$8,1,0)</f>
        <v/>
      </c>
      <c r="N186" s="21">
        <f>SUM(D186:H186)</f>
        <v/>
      </c>
      <c r="O186" s="23">
        <f>ROUND(N186/2,0)</f>
        <v/>
      </c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24" t="n"/>
    </row>
    <row r="187" ht="19.5" customHeight="1" s="98">
      <c r="A187" s="47">
        <f>'Sessional + End Term Assessment'!A185</f>
        <v/>
      </c>
      <c r="B187" s="74">
        <f>'Sessional + End Term Assessment'!B185</f>
        <v/>
      </c>
      <c r="C187" s="74">
        <f>'Sessional + End Term Assessment'!C185</f>
        <v/>
      </c>
      <c r="D187" s="21">
        <f>'MID Term 1'!D184+'MID Term 2'!D184</f>
        <v/>
      </c>
      <c r="E187" s="21">
        <f>'MID Term 1'!H184+'MID Term 2'!E184</f>
        <v/>
      </c>
      <c r="F187" s="21">
        <f>'MID Term 1'!L184+'MID Term 2'!F184</f>
        <v/>
      </c>
      <c r="G187" s="21">
        <f>'MID Term 1'!P184+'MID Term 2'!J184</f>
        <v/>
      </c>
      <c r="H187" s="21">
        <f>'MID Term 1'!Q184+'MID Term 2'!N184</f>
        <v/>
      </c>
      <c r="I187" s="23">
        <f>IF((D187/$D$8)&gt;=$I$8,1,0)</f>
        <v/>
      </c>
      <c r="J187" s="23">
        <f>IF((E187/$E$8)&gt;=$J$8,1,0)</f>
        <v/>
      </c>
      <c r="K187" s="23">
        <f>IF((F187/$F$8)&gt;=$K$8,1,0)</f>
        <v/>
      </c>
      <c r="L187" s="23">
        <f>IF((G187/$G$8)&gt;=$L$8,1,0)</f>
        <v/>
      </c>
      <c r="M187" s="23">
        <f>IF((H187/$H$8)&gt;=$M$8,1,0)</f>
        <v/>
      </c>
      <c r="N187" s="21">
        <f>SUM(D187:H187)</f>
        <v/>
      </c>
      <c r="O187" s="23">
        <f>ROUND(N187/2,0)</f>
        <v/>
      </c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24" t="n"/>
    </row>
    <row r="188" ht="19.5" customHeight="1" s="98">
      <c r="A188" s="47">
        <f>'Sessional + End Term Assessment'!A186</f>
        <v/>
      </c>
      <c r="B188" s="74">
        <f>'Sessional + End Term Assessment'!B186</f>
        <v/>
      </c>
      <c r="C188" s="74">
        <f>'Sessional + End Term Assessment'!C186</f>
        <v/>
      </c>
      <c r="D188" s="21">
        <f>'MID Term 1'!D185+'MID Term 2'!D185</f>
        <v/>
      </c>
      <c r="E188" s="21">
        <f>'MID Term 1'!H185+'MID Term 2'!E185</f>
        <v/>
      </c>
      <c r="F188" s="21">
        <f>'MID Term 1'!L185+'MID Term 2'!F185</f>
        <v/>
      </c>
      <c r="G188" s="21">
        <f>'MID Term 1'!P185+'MID Term 2'!J185</f>
        <v/>
      </c>
      <c r="H188" s="21">
        <f>'MID Term 1'!Q185+'MID Term 2'!N185</f>
        <v/>
      </c>
      <c r="I188" s="23">
        <f>IF((D188/$D$8)&gt;=$I$8,1,0)</f>
        <v/>
      </c>
      <c r="J188" s="23">
        <f>IF((E188/$E$8)&gt;=$J$8,1,0)</f>
        <v/>
      </c>
      <c r="K188" s="23">
        <f>IF((F188/$F$8)&gt;=$K$8,1,0)</f>
        <v/>
      </c>
      <c r="L188" s="23">
        <f>IF((G188/$G$8)&gt;=$L$8,1,0)</f>
        <v/>
      </c>
      <c r="M188" s="23">
        <f>IF((H188/$H$8)&gt;=$M$8,1,0)</f>
        <v/>
      </c>
      <c r="N188" s="21">
        <f>SUM(D188:H188)</f>
        <v/>
      </c>
      <c r="O188" s="23">
        <f>ROUND(N188/2,0)</f>
        <v/>
      </c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24" t="n"/>
    </row>
    <row r="189" ht="19.5" customHeight="1" s="98">
      <c r="A189" s="47">
        <f>'Sessional + End Term Assessment'!A187</f>
        <v/>
      </c>
      <c r="B189" s="74">
        <f>'Sessional + End Term Assessment'!B187</f>
        <v/>
      </c>
      <c r="C189" s="74">
        <f>'Sessional + End Term Assessment'!C187</f>
        <v/>
      </c>
      <c r="D189" s="21">
        <f>'MID Term 1'!D186+'MID Term 2'!D186</f>
        <v/>
      </c>
      <c r="E189" s="21">
        <f>'MID Term 1'!H186+'MID Term 2'!E186</f>
        <v/>
      </c>
      <c r="F189" s="21">
        <f>'MID Term 1'!L186+'MID Term 2'!F186</f>
        <v/>
      </c>
      <c r="G189" s="21">
        <f>'MID Term 1'!P186+'MID Term 2'!J186</f>
        <v/>
      </c>
      <c r="H189" s="21">
        <f>'MID Term 1'!Q186+'MID Term 2'!N186</f>
        <v/>
      </c>
      <c r="I189" s="23">
        <f>IF((D189/$D$8)&gt;=$I$8,1,0)</f>
        <v/>
      </c>
      <c r="J189" s="23">
        <f>IF((E189/$E$8)&gt;=$J$8,1,0)</f>
        <v/>
      </c>
      <c r="K189" s="23">
        <f>IF((F189/$F$8)&gt;=$K$8,1,0)</f>
        <v/>
      </c>
      <c r="L189" s="23">
        <f>IF((G189/$G$8)&gt;=$L$8,1,0)</f>
        <v/>
      </c>
      <c r="M189" s="23">
        <f>IF((H189/$H$8)&gt;=$M$8,1,0)</f>
        <v/>
      </c>
      <c r="N189" s="21">
        <f>SUM(D189:H189)</f>
        <v/>
      </c>
      <c r="O189" s="23">
        <f>ROUND(N189/2,0)</f>
        <v/>
      </c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24" t="n"/>
    </row>
    <row r="190" ht="19.5" customHeight="1" s="98">
      <c r="A190" s="47">
        <f>'Sessional + End Term Assessment'!A188</f>
        <v/>
      </c>
      <c r="B190" s="74">
        <f>'Sessional + End Term Assessment'!B188</f>
        <v/>
      </c>
      <c r="C190" s="74">
        <f>'Sessional + End Term Assessment'!C188</f>
        <v/>
      </c>
      <c r="D190" s="21">
        <f>'MID Term 1'!D187+'MID Term 2'!D187</f>
        <v/>
      </c>
      <c r="E190" s="21">
        <f>'MID Term 1'!H187+'MID Term 2'!E187</f>
        <v/>
      </c>
      <c r="F190" s="21">
        <f>'MID Term 1'!L187+'MID Term 2'!F187</f>
        <v/>
      </c>
      <c r="G190" s="21">
        <f>'MID Term 1'!P187+'MID Term 2'!J187</f>
        <v/>
      </c>
      <c r="H190" s="21">
        <f>'MID Term 1'!Q187+'MID Term 2'!N187</f>
        <v/>
      </c>
      <c r="I190" s="23">
        <f>IF((D190/$D$8)&gt;=$I$8,1,0)</f>
        <v/>
      </c>
      <c r="J190" s="23">
        <f>IF((E190/$E$8)&gt;=$J$8,1,0)</f>
        <v/>
      </c>
      <c r="K190" s="23">
        <f>IF((F190/$F$8)&gt;=$K$8,1,0)</f>
        <v/>
      </c>
      <c r="L190" s="23">
        <f>IF((G190/$G$8)&gt;=$L$8,1,0)</f>
        <v/>
      </c>
      <c r="M190" s="23">
        <f>IF((H190/$H$8)&gt;=$M$8,1,0)</f>
        <v/>
      </c>
      <c r="N190" s="21">
        <f>SUM(D190:H190)</f>
        <v/>
      </c>
      <c r="O190" s="23">
        <f>ROUND(N190/2,0)</f>
        <v/>
      </c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24" t="n"/>
    </row>
    <row r="191" ht="19.5" customHeight="1" s="98">
      <c r="A191" s="47">
        <f>'Sessional + End Term Assessment'!A189</f>
        <v/>
      </c>
      <c r="B191" s="74">
        <f>'Sessional + End Term Assessment'!B189</f>
        <v/>
      </c>
      <c r="C191" s="74">
        <f>'Sessional + End Term Assessment'!C189</f>
        <v/>
      </c>
      <c r="D191" s="21">
        <f>'MID Term 1'!D188+'MID Term 2'!D188</f>
        <v/>
      </c>
      <c r="E191" s="21">
        <f>'MID Term 1'!H188+'MID Term 2'!E188</f>
        <v/>
      </c>
      <c r="F191" s="21">
        <f>'MID Term 1'!L188+'MID Term 2'!F188</f>
        <v/>
      </c>
      <c r="G191" s="21">
        <f>'MID Term 1'!P188+'MID Term 2'!J188</f>
        <v/>
      </c>
      <c r="H191" s="21">
        <f>'MID Term 1'!Q188+'MID Term 2'!N188</f>
        <v/>
      </c>
      <c r="I191" s="23">
        <f>IF((D191/$D$8)&gt;=$I$8,1,0)</f>
        <v/>
      </c>
      <c r="J191" s="23">
        <f>IF((E191/$E$8)&gt;=$J$8,1,0)</f>
        <v/>
      </c>
      <c r="K191" s="23">
        <f>IF((F191/$F$8)&gt;=$K$8,1,0)</f>
        <v/>
      </c>
      <c r="L191" s="23">
        <f>IF((G191/$G$8)&gt;=$L$8,1,0)</f>
        <v/>
      </c>
      <c r="M191" s="23">
        <f>IF((H191/$H$8)&gt;=$M$8,1,0)</f>
        <v/>
      </c>
      <c r="N191" s="21">
        <f>SUM(D191:H191)</f>
        <v/>
      </c>
      <c r="O191" s="23">
        <f>ROUND(N191/2,0)</f>
        <v/>
      </c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24" t="n"/>
    </row>
    <row r="192" ht="19.5" customHeight="1" s="98">
      <c r="A192" s="47">
        <f>'Sessional + End Term Assessment'!A190</f>
        <v/>
      </c>
      <c r="B192" s="74">
        <f>'Sessional + End Term Assessment'!B190</f>
        <v/>
      </c>
      <c r="C192" s="74">
        <f>'Sessional + End Term Assessment'!C190</f>
        <v/>
      </c>
      <c r="D192" s="21">
        <f>'MID Term 1'!D189+'MID Term 2'!D189</f>
        <v/>
      </c>
      <c r="E192" s="21">
        <f>'MID Term 1'!H189+'MID Term 2'!E189</f>
        <v/>
      </c>
      <c r="F192" s="21">
        <f>'MID Term 1'!L189+'MID Term 2'!F189</f>
        <v/>
      </c>
      <c r="G192" s="21">
        <f>'MID Term 1'!P189+'MID Term 2'!J189</f>
        <v/>
      </c>
      <c r="H192" s="21">
        <f>'MID Term 1'!Q189+'MID Term 2'!N189</f>
        <v/>
      </c>
      <c r="I192" s="23">
        <f>IF((D192/$D$8)&gt;=$I$8,1,0)</f>
        <v/>
      </c>
      <c r="J192" s="23">
        <f>IF((E192/$E$8)&gt;=$J$8,1,0)</f>
        <v/>
      </c>
      <c r="K192" s="23">
        <f>IF((F192/$F$8)&gt;=$K$8,1,0)</f>
        <v/>
      </c>
      <c r="L192" s="23">
        <f>IF((G192/$G$8)&gt;=$L$8,1,0)</f>
        <v/>
      </c>
      <c r="M192" s="23">
        <f>IF((H192/$H$8)&gt;=$M$8,1,0)</f>
        <v/>
      </c>
      <c r="N192" s="21">
        <f>SUM(D192:H192)</f>
        <v/>
      </c>
      <c r="O192" s="23">
        <f>ROUND(N192/2,0)</f>
        <v/>
      </c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24" t="n"/>
    </row>
    <row r="193" ht="19.5" customHeight="1" s="98">
      <c r="A193" s="47">
        <f>'Sessional + End Term Assessment'!A191</f>
        <v/>
      </c>
      <c r="B193" s="74">
        <f>'Sessional + End Term Assessment'!B191</f>
        <v/>
      </c>
      <c r="C193" s="74">
        <f>'Sessional + End Term Assessment'!C191</f>
        <v/>
      </c>
      <c r="D193" s="21">
        <f>'MID Term 1'!D190+'MID Term 2'!D190</f>
        <v/>
      </c>
      <c r="E193" s="21">
        <f>'MID Term 1'!H190+'MID Term 2'!E190</f>
        <v/>
      </c>
      <c r="F193" s="21">
        <f>'MID Term 1'!L190+'MID Term 2'!F190</f>
        <v/>
      </c>
      <c r="G193" s="21">
        <f>'MID Term 1'!P190+'MID Term 2'!J190</f>
        <v/>
      </c>
      <c r="H193" s="21">
        <f>'MID Term 1'!Q190+'MID Term 2'!N190</f>
        <v/>
      </c>
      <c r="I193" s="23">
        <f>IF((D193/$D$8)&gt;=$I$8,1,0)</f>
        <v/>
      </c>
      <c r="J193" s="23">
        <f>IF((E193/$E$8)&gt;=$J$8,1,0)</f>
        <v/>
      </c>
      <c r="K193" s="23">
        <f>IF((F193/$F$8)&gt;=$K$8,1,0)</f>
        <v/>
      </c>
      <c r="L193" s="23">
        <f>IF((G193/$G$8)&gt;=$L$8,1,0)</f>
        <v/>
      </c>
      <c r="M193" s="23">
        <f>IF((H193/$H$8)&gt;=$M$8,1,0)</f>
        <v/>
      </c>
      <c r="N193" s="21">
        <f>SUM(D193:H193)</f>
        <v/>
      </c>
      <c r="O193" s="23">
        <f>ROUND(N193/2,0)</f>
        <v/>
      </c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24" t="n"/>
    </row>
    <row r="194" ht="19.5" customHeight="1" s="98">
      <c r="A194" s="47">
        <f>'Sessional + End Term Assessment'!A192</f>
        <v/>
      </c>
      <c r="B194" s="74">
        <f>'Sessional + End Term Assessment'!B192</f>
        <v/>
      </c>
      <c r="C194" s="74">
        <f>'Sessional + End Term Assessment'!C192</f>
        <v/>
      </c>
      <c r="D194" s="21">
        <f>'MID Term 1'!D191+'MID Term 2'!D191</f>
        <v/>
      </c>
      <c r="E194" s="21">
        <f>'MID Term 1'!H191+'MID Term 2'!E191</f>
        <v/>
      </c>
      <c r="F194" s="21">
        <f>'MID Term 1'!L191+'MID Term 2'!F191</f>
        <v/>
      </c>
      <c r="G194" s="21">
        <f>'MID Term 1'!P191+'MID Term 2'!J191</f>
        <v/>
      </c>
      <c r="H194" s="21">
        <f>'MID Term 1'!Q191+'MID Term 2'!N191</f>
        <v/>
      </c>
      <c r="I194" s="23">
        <f>IF((D194/$D$8)&gt;=$I$8,1,0)</f>
        <v/>
      </c>
      <c r="J194" s="23">
        <f>IF((E194/$E$8)&gt;=$J$8,1,0)</f>
        <v/>
      </c>
      <c r="K194" s="23">
        <f>IF((F194/$F$8)&gt;=$K$8,1,0)</f>
        <v/>
      </c>
      <c r="L194" s="23">
        <f>IF((G194/$G$8)&gt;=$L$8,1,0)</f>
        <v/>
      </c>
      <c r="M194" s="23">
        <f>IF((H194/$H$8)&gt;=$M$8,1,0)</f>
        <v/>
      </c>
      <c r="N194" s="21">
        <f>SUM(D194:H194)</f>
        <v/>
      </c>
      <c r="O194" s="23">
        <f>ROUND(N194/2,0)</f>
        <v/>
      </c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24" t="n"/>
    </row>
    <row r="195" ht="19.5" customHeight="1" s="98">
      <c r="A195" s="47">
        <f>'Sessional + End Term Assessment'!A193</f>
        <v/>
      </c>
      <c r="B195" s="74">
        <f>'Sessional + End Term Assessment'!B193</f>
        <v/>
      </c>
      <c r="C195" s="74">
        <f>'Sessional + End Term Assessment'!C193</f>
        <v/>
      </c>
      <c r="D195" s="21">
        <f>'MID Term 1'!D192+'MID Term 2'!D192</f>
        <v/>
      </c>
      <c r="E195" s="21">
        <f>'MID Term 1'!H192+'MID Term 2'!E192</f>
        <v/>
      </c>
      <c r="F195" s="21">
        <f>'MID Term 1'!L192+'MID Term 2'!F192</f>
        <v/>
      </c>
      <c r="G195" s="21">
        <f>'MID Term 1'!P192+'MID Term 2'!J192</f>
        <v/>
      </c>
      <c r="H195" s="21">
        <f>'MID Term 1'!Q192+'MID Term 2'!N192</f>
        <v/>
      </c>
      <c r="I195" s="23">
        <f>IF((D195/$D$8)&gt;=$I$8,1,0)</f>
        <v/>
      </c>
      <c r="J195" s="23">
        <f>IF((E195/$E$8)&gt;=$J$8,1,0)</f>
        <v/>
      </c>
      <c r="K195" s="23">
        <f>IF((F195/$F$8)&gt;=$K$8,1,0)</f>
        <v/>
      </c>
      <c r="L195" s="23">
        <f>IF((G195/$G$8)&gt;=$L$8,1,0)</f>
        <v/>
      </c>
      <c r="M195" s="23">
        <f>IF((H195/$H$8)&gt;=$M$8,1,0)</f>
        <v/>
      </c>
      <c r="N195" s="21">
        <f>SUM(D195:H195)</f>
        <v/>
      </c>
      <c r="O195" s="23">
        <f>ROUND(N195/2,0)</f>
        <v/>
      </c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24" t="n"/>
    </row>
    <row r="196" ht="19.5" customHeight="1" s="98">
      <c r="A196" s="47">
        <f>'Sessional + End Term Assessment'!A194</f>
        <v/>
      </c>
      <c r="B196" s="74">
        <f>'Sessional + End Term Assessment'!B194</f>
        <v/>
      </c>
      <c r="C196" s="74">
        <f>'Sessional + End Term Assessment'!C194</f>
        <v/>
      </c>
      <c r="D196" s="21">
        <f>'MID Term 1'!D193+'MID Term 2'!D193</f>
        <v/>
      </c>
      <c r="E196" s="21">
        <f>'MID Term 1'!H193+'MID Term 2'!E193</f>
        <v/>
      </c>
      <c r="F196" s="21">
        <f>'MID Term 1'!L193+'MID Term 2'!F193</f>
        <v/>
      </c>
      <c r="G196" s="21">
        <f>'MID Term 1'!P193+'MID Term 2'!J193</f>
        <v/>
      </c>
      <c r="H196" s="21">
        <f>'MID Term 1'!Q193+'MID Term 2'!N193</f>
        <v/>
      </c>
      <c r="I196" s="23">
        <f>IF((D196/$D$8)&gt;=$I$8,1,0)</f>
        <v/>
      </c>
      <c r="J196" s="23">
        <f>IF((E196/$E$8)&gt;=$J$8,1,0)</f>
        <v/>
      </c>
      <c r="K196" s="23">
        <f>IF((F196/$F$8)&gt;=$K$8,1,0)</f>
        <v/>
      </c>
      <c r="L196" s="23">
        <f>IF((G196/$G$8)&gt;=$L$8,1,0)</f>
        <v/>
      </c>
      <c r="M196" s="23">
        <f>IF((H196/$H$8)&gt;=$M$8,1,0)</f>
        <v/>
      </c>
      <c r="N196" s="21">
        <f>SUM(D196:H196)</f>
        <v/>
      </c>
      <c r="O196" s="23">
        <f>ROUND(N196/2,0)</f>
        <v/>
      </c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24" t="n"/>
    </row>
    <row r="197" ht="19.5" customHeight="1" s="98">
      <c r="A197" s="47">
        <f>'Sessional + End Term Assessment'!A195</f>
        <v/>
      </c>
      <c r="B197" s="74">
        <f>'Sessional + End Term Assessment'!B195</f>
        <v/>
      </c>
      <c r="C197" s="74">
        <f>'Sessional + End Term Assessment'!C195</f>
        <v/>
      </c>
      <c r="D197" s="21">
        <f>'MID Term 1'!D194+'MID Term 2'!D194</f>
        <v/>
      </c>
      <c r="E197" s="21">
        <f>'MID Term 1'!H194+'MID Term 2'!E194</f>
        <v/>
      </c>
      <c r="F197" s="21">
        <f>'MID Term 1'!L194+'MID Term 2'!F194</f>
        <v/>
      </c>
      <c r="G197" s="21">
        <f>'MID Term 1'!P194+'MID Term 2'!J194</f>
        <v/>
      </c>
      <c r="H197" s="21">
        <f>'MID Term 1'!Q194+'MID Term 2'!N194</f>
        <v/>
      </c>
      <c r="I197" s="23">
        <f>IF((D197/$D$8)&gt;=$I$8,1,0)</f>
        <v/>
      </c>
      <c r="J197" s="23">
        <f>IF((E197/$E$8)&gt;=$J$8,1,0)</f>
        <v/>
      </c>
      <c r="K197" s="23">
        <f>IF((F197/$F$8)&gt;=$K$8,1,0)</f>
        <v/>
      </c>
      <c r="L197" s="23">
        <f>IF((G197/$G$8)&gt;=$L$8,1,0)</f>
        <v/>
      </c>
      <c r="M197" s="23">
        <f>IF((H197/$H$8)&gt;=$M$8,1,0)</f>
        <v/>
      </c>
      <c r="N197" s="21">
        <f>SUM(D197:H197)</f>
        <v/>
      </c>
      <c r="O197" s="23">
        <f>ROUND(N197/2,0)</f>
        <v/>
      </c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24" t="n"/>
    </row>
    <row r="198" ht="19.5" customHeight="1" s="98">
      <c r="A198" s="47">
        <f>'Sessional + End Term Assessment'!A196</f>
        <v/>
      </c>
      <c r="B198" s="74">
        <f>'Sessional + End Term Assessment'!B196</f>
        <v/>
      </c>
      <c r="C198" s="74">
        <f>'Sessional + End Term Assessment'!C196</f>
        <v/>
      </c>
      <c r="D198" s="21">
        <f>'MID Term 1'!D195+'MID Term 2'!D195</f>
        <v/>
      </c>
      <c r="E198" s="21">
        <f>'MID Term 1'!H195+'MID Term 2'!E195</f>
        <v/>
      </c>
      <c r="F198" s="21">
        <f>'MID Term 1'!L195+'MID Term 2'!F195</f>
        <v/>
      </c>
      <c r="G198" s="21">
        <f>'MID Term 1'!P195+'MID Term 2'!J195</f>
        <v/>
      </c>
      <c r="H198" s="21">
        <f>'MID Term 1'!Q195+'MID Term 2'!N195</f>
        <v/>
      </c>
      <c r="I198" s="23">
        <f>IF((D198/$D$8)&gt;=$I$8,1,0)</f>
        <v/>
      </c>
      <c r="J198" s="23">
        <f>IF((E198/$E$8)&gt;=$J$8,1,0)</f>
        <v/>
      </c>
      <c r="K198" s="23">
        <f>IF((F198/$F$8)&gt;=$K$8,1,0)</f>
        <v/>
      </c>
      <c r="L198" s="23">
        <f>IF((G198/$G$8)&gt;=$L$8,1,0)</f>
        <v/>
      </c>
      <c r="M198" s="23">
        <f>IF((H198/$H$8)&gt;=$M$8,1,0)</f>
        <v/>
      </c>
      <c r="N198" s="21">
        <f>SUM(D198:H198)</f>
        <v/>
      </c>
      <c r="O198" s="23">
        <f>ROUND(N198/2,0)</f>
        <v/>
      </c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24" t="n"/>
    </row>
    <row r="199" ht="19.5" customHeight="1" s="98">
      <c r="A199" s="47">
        <f>'Sessional + End Term Assessment'!A197</f>
        <v/>
      </c>
      <c r="B199" s="74">
        <f>'Sessional + End Term Assessment'!B197</f>
        <v/>
      </c>
      <c r="C199" s="74">
        <f>'Sessional + End Term Assessment'!C197</f>
        <v/>
      </c>
      <c r="D199" s="21">
        <f>'MID Term 1'!D196+'MID Term 2'!D196</f>
        <v/>
      </c>
      <c r="E199" s="21">
        <f>'MID Term 1'!H196+'MID Term 2'!E196</f>
        <v/>
      </c>
      <c r="F199" s="21">
        <f>'MID Term 1'!L196+'MID Term 2'!F196</f>
        <v/>
      </c>
      <c r="G199" s="21">
        <f>'MID Term 1'!P196+'MID Term 2'!J196</f>
        <v/>
      </c>
      <c r="H199" s="21">
        <f>'MID Term 1'!Q196+'MID Term 2'!N196</f>
        <v/>
      </c>
      <c r="I199" s="23">
        <f>IF((D199/$D$8)&gt;=$I$8,1,0)</f>
        <v/>
      </c>
      <c r="J199" s="23">
        <f>IF((E199/$E$8)&gt;=$J$8,1,0)</f>
        <v/>
      </c>
      <c r="K199" s="23">
        <f>IF((F199/$F$8)&gt;=$K$8,1,0)</f>
        <v/>
      </c>
      <c r="L199" s="23">
        <f>IF((G199/$G$8)&gt;=$L$8,1,0)</f>
        <v/>
      </c>
      <c r="M199" s="23">
        <f>IF((H199/$H$8)&gt;=$M$8,1,0)</f>
        <v/>
      </c>
      <c r="N199" s="21">
        <f>SUM(D199:H199)</f>
        <v/>
      </c>
      <c r="O199" s="23">
        <f>ROUND(N199/2,0)</f>
        <v/>
      </c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24" t="n"/>
    </row>
    <row r="200" ht="19.5" customHeight="1" s="98">
      <c r="A200" s="47">
        <f>'Sessional + End Term Assessment'!A198</f>
        <v/>
      </c>
      <c r="B200" s="74">
        <f>'Sessional + End Term Assessment'!B198</f>
        <v/>
      </c>
      <c r="C200" s="74">
        <f>'Sessional + End Term Assessment'!C198</f>
        <v/>
      </c>
      <c r="D200" s="21">
        <f>'MID Term 1'!D197+'MID Term 2'!D197</f>
        <v/>
      </c>
      <c r="E200" s="21">
        <f>'MID Term 1'!H197+'MID Term 2'!E197</f>
        <v/>
      </c>
      <c r="F200" s="21">
        <f>'MID Term 1'!L197+'MID Term 2'!F197</f>
        <v/>
      </c>
      <c r="G200" s="21">
        <f>'MID Term 1'!P197+'MID Term 2'!J197</f>
        <v/>
      </c>
      <c r="H200" s="21">
        <f>'MID Term 1'!Q197+'MID Term 2'!N197</f>
        <v/>
      </c>
      <c r="I200" s="23">
        <f>IF((D200/$D$8)&gt;=$I$8,1,0)</f>
        <v/>
      </c>
      <c r="J200" s="23">
        <f>IF((E200/$E$8)&gt;=$J$8,1,0)</f>
        <v/>
      </c>
      <c r="K200" s="23">
        <f>IF((F200/$F$8)&gt;=$K$8,1,0)</f>
        <v/>
      </c>
      <c r="L200" s="23">
        <f>IF((G200/$G$8)&gt;=$L$8,1,0)</f>
        <v/>
      </c>
      <c r="M200" s="23">
        <f>IF((H200/$H$8)&gt;=$M$8,1,0)</f>
        <v/>
      </c>
      <c r="N200" s="21">
        <f>SUM(D200:H200)</f>
        <v/>
      </c>
      <c r="O200" s="23">
        <f>ROUND(N200/2,0)</f>
        <v/>
      </c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24" t="n"/>
    </row>
    <row r="201" ht="19.5" customHeight="1" s="98">
      <c r="A201" s="47">
        <f>'Sessional + End Term Assessment'!A199</f>
        <v/>
      </c>
      <c r="B201" s="74">
        <f>'Sessional + End Term Assessment'!B199</f>
        <v/>
      </c>
      <c r="C201" s="74">
        <f>'Sessional + End Term Assessment'!C199</f>
        <v/>
      </c>
      <c r="D201" s="21">
        <f>'MID Term 1'!D198+'MID Term 2'!D198</f>
        <v/>
      </c>
      <c r="E201" s="21">
        <f>'MID Term 1'!H198+'MID Term 2'!E198</f>
        <v/>
      </c>
      <c r="F201" s="21">
        <f>'MID Term 1'!L198+'MID Term 2'!F198</f>
        <v/>
      </c>
      <c r="G201" s="21">
        <f>'MID Term 1'!P198+'MID Term 2'!J198</f>
        <v/>
      </c>
      <c r="H201" s="21">
        <f>'MID Term 1'!Q198+'MID Term 2'!N198</f>
        <v/>
      </c>
      <c r="I201" s="23">
        <f>IF((D201/$D$8)&gt;=$I$8,1,0)</f>
        <v/>
      </c>
      <c r="J201" s="23">
        <f>IF((E201/$E$8)&gt;=$J$8,1,0)</f>
        <v/>
      </c>
      <c r="K201" s="23">
        <f>IF((F201/$F$8)&gt;=$K$8,1,0)</f>
        <v/>
      </c>
      <c r="L201" s="23">
        <f>IF((G201/$G$8)&gt;=$L$8,1,0)</f>
        <v/>
      </c>
      <c r="M201" s="23">
        <f>IF((H201/$H$8)&gt;=$M$8,1,0)</f>
        <v/>
      </c>
      <c r="N201" s="21">
        <f>SUM(D201:H201)</f>
        <v/>
      </c>
      <c r="O201" s="23">
        <f>ROUND(N201/2,0)</f>
        <v/>
      </c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24" t="n"/>
    </row>
    <row r="202" ht="19.5" customHeight="1" s="98">
      <c r="A202" s="47">
        <f>'Sessional + End Term Assessment'!A200</f>
        <v/>
      </c>
      <c r="B202" s="74">
        <f>'Sessional + End Term Assessment'!B200</f>
        <v/>
      </c>
      <c r="C202" s="74">
        <f>'Sessional + End Term Assessment'!C200</f>
        <v/>
      </c>
      <c r="D202" s="21">
        <f>'MID Term 1'!D199+'MID Term 2'!D199</f>
        <v/>
      </c>
      <c r="E202" s="21">
        <f>'MID Term 1'!H199+'MID Term 2'!E199</f>
        <v/>
      </c>
      <c r="F202" s="21">
        <f>'MID Term 1'!L199+'MID Term 2'!F199</f>
        <v/>
      </c>
      <c r="G202" s="21">
        <f>'MID Term 1'!P199+'MID Term 2'!J199</f>
        <v/>
      </c>
      <c r="H202" s="21">
        <f>'MID Term 1'!Q199+'MID Term 2'!N199</f>
        <v/>
      </c>
      <c r="I202" s="23">
        <f>IF((D202/$D$8)&gt;=$I$8,1,0)</f>
        <v/>
      </c>
      <c r="J202" s="23">
        <f>IF((E202/$E$8)&gt;=$J$8,1,0)</f>
        <v/>
      </c>
      <c r="K202" s="23">
        <f>IF((F202/$F$8)&gt;=$K$8,1,0)</f>
        <v/>
      </c>
      <c r="L202" s="23">
        <f>IF((G202/$G$8)&gt;=$L$8,1,0)</f>
        <v/>
      </c>
      <c r="M202" s="23">
        <f>IF((H202/$H$8)&gt;=$M$8,1,0)</f>
        <v/>
      </c>
      <c r="N202" s="21">
        <f>SUM(D202:H202)</f>
        <v/>
      </c>
      <c r="O202" s="23">
        <f>ROUND(N202/2,0)</f>
        <v/>
      </c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24" t="n"/>
    </row>
    <row r="203" ht="19.5" customHeight="1" s="98">
      <c r="A203" s="47">
        <f>'Sessional + End Term Assessment'!A201</f>
        <v/>
      </c>
      <c r="B203" s="74">
        <f>'Sessional + End Term Assessment'!B201</f>
        <v/>
      </c>
      <c r="C203" s="74">
        <f>'Sessional + End Term Assessment'!C201</f>
        <v/>
      </c>
      <c r="D203" s="21">
        <f>'MID Term 1'!D200+'MID Term 2'!D200</f>
        <v/>
      </c>
      <c r="E203" s="21">
        <f>'MID Term 1'!H200+'MID Term 2'!E200</f>
        <v/>
      </c>
      <c r="F203" s="21">
        <f>'MID Term 1'!L200+'MID Term 2'!F200</f>
        <v/>
      </c>
      <c r="G203" s="21">
        <f>'MID Term 1'!P200+'MID Term 2'!J200</f>
        <v/>
      </c>
      <c r="H203" s="21">
        <f>'MID Term 1'!Q200+'MID Term 2'!N200</f>
        <v/>
      </c>
      <c r="I203" s="23">
        <f>IF((D203/$D$8)&gt;=$I$8,1,0)</f>
        <v/>
      </c>
      <c r="J203" s="23">
        <f>IF((E203/$E$8)&gt;=$J$8,1,0)</f>
        <v/>
      </c>
      <c r="K203" s="23">
        <f>IF((F203/$F$8)&gt;=$K$8,1,0)</f>
        <v/>
      </c>
      <c r="L203" s="23">
        <f>IF((G203/$G$8)&gt;=$L$8,1,0)</f>
        <v/>
      </c>
      <c r="M203" s="23">
        <f>IF((H203/$H$8)&gt;=$M$8,1,0)</f>
        <v/>
      </c>
      <c r="N203" s="21">
        <f>SUM(D203:H203)</f>
        <v/>
      </c>
      <c r="O203" s="23">
        <f>ROUND(N203/2,0)</f>
        <v/>
      </c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24" t="n"/>
    </row>
    <row r="204" ht="19.5" customHeight="1" s="98">
      <c r="A204" s="47">
        <f>'Sessional + End Term Assessment'!A202</f>
        <v/>
      </c>
      <c r="B204" s="74">
        <f>'Sessional + End Term Assessment'!B202</f>
        <v/>
      </c>
      <c r="C204" s="74">
        <f>'Sessional + End Term Assessment'!C202</f>
        <v/>
      </c>
      <c r="D204" s="21">
        <f>'MID Term 1'!D201+'MID Term 2'!D201</f>
        <v/>
      </c>
      <c r="E204" s="21">
        <f>'MID Term 1'!H201+'MID Term 2'!E201</f>
        <v/>
      </c>
      <c r="F204" s="21">
        <f>'MID Term 1'!L201+'MID Term 2'!F201</f>
        <v/>
      </c>
      <c r="G204" s="21">
        <f>'MID Term 1'!P201+'MID Term 2'!J201</f>
        <v/>
      </c>
      <c r="H204" s="21">
        <f>'MID Term 1'!Q201+'MID Term 2'!N201</f>
        <v/>
      </c>
      <c r="I204" s="23">
        <f>IF((D204/$D$8)&gt;=$I$8,1,0)</f>
        <v/>
      </c>
      <c r="J204" s="23">
        <f>IF((E204/$E$8)&gt;=$J$8,1,0)</f>
        <v/>
      </c>
      <c r="K204" s="23">
        <f>IF((F204/$F$8)&gt;=$K$8,1,0)</f>
        <v/>
      </c>
      <c r="L204" s="23">
        <f>IF((G204/$G$8)&gt;=$L$8,1,0)</f>
        <v/>
      </c>
      <c r="M204" s="23">
        <f>IF((H204/$H$8)&gt;=$M$8,1,0)</f>
        <v/>
      </c>
      <c r="N204" s="21">
        <f>SUM(D204:H204)</f>
        <v/>
      </c>
      <c r="O204" s="23">
        <f>ROUND(N204/2,0)</f>
        <v/>
      </c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24" t="n"/>
    </row>
    <row r="205" ht="19.5" customHeight="1" s="98">
      <c r="A205" s="47">
        <f>'Sessional + End Term Assessment'!A203</f>
        <v/>
      </c>
      <c r="B205" s="74">
        <f>'Sessional + End Term Assessment'!B203</f>
        <v/>
      </c>
      <c r="C205" s="74">
        <f>'Sessional + End Term Assessment'!C203</f>
        <v/>
      </c>
      <c r="D205" s="21">
        <f>'MID Term 1'!D202+'MID Term 2'!D202</f>
        <v/>
      </c>
      <c r="E205" s="21">
        <f>'MID Term 1'!H202+'MID Term 2'!E202</f>
        <v/>
      </c>
      <c r="F205" s="21">
        <f>'MID Term 1'!L202+'MID Term 2'!F202</f>
        <v/>
      </c>
      <c r="G205" s="21">
        <f>'MID Term 1'!P202+'MID Term 2'!J202</f>
        <v/>
      </c>
      <c r="H205" s="21">
        <f>'MID Term 1'!Q202+'MID Term 2'!N202</f>
        <v/>
      </c>
      <c r="I205" s="23">
        <f>IF((D205/$D$8)&gt;=$I$8,1,0)</f>
        <v/>
      </c>
      <c r="J205" s="23">
        <f>IF((E205/$E$8)&gt;=$J$8,1,0)</f>
        <v/>
      </c>
      <c r="K205" s="23">
        <f>IF((F205/$F$8)&gt;=$K$8,1,0)</f>
        <v/>
      </c>
      <c r="L205" s="23">
        <f>IF((G205/$G$8)&gt;=$L$8,1,0)</f>
        <v/>
      </c>
      <c r="M205" s="23">
        <f>IF((H205/$H$8)&gt;=$M$8,1,0)</f>
        <v/>
      </c>
      <c r="N205" s="21">
        <f>SUM(D205:H205)</f>
        <v/>
      </c>
      <c r="O205" s="23">
        <f>ROUND(N205/2,0)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24" t="n"/>
    </row>
    <row r="206" ht="19.5" customHeight="1" s="98">
      <c r="A206" s="47">
        <f>'Sessional + End Term Assessment'!A204</f>
        <v/>
      </c>
      <c r="B206" s="74">
        <f>'Sessional + End Term Assessment'!B204</f>
        <v/>
      </c>
      <c r="C206" s="74">
        <f>'Sessional + End Term Assessment'!C204</f>
        <v/>
      </c>
      <c r="D206" s="21">
        <f>'MID Term 1'!D203+'MID Term 2'!D203</f>
        <v/>
      </c>
      <c r="E206" s="21">
        <f>'MID Term 1'!H203+'MID Term 2'!E203</f>
        <v/>
      </c>
      <c r="F206" s="21">
        <f>'MID Term 1'!L203+'MID Term 2'!F203</f>
        <v/>
      </c>
      <c r="G206" s="21">
        <f>'MID Term 1'!P203+'MID Term 2'!J203</f>
        <v/>
      </c>
      <c r="H206" s="21">
        <f>'MID Term 1'!Q203+'MID Term 2'!N203</f>
        <v/>
      </c>
      <c r="I206" s="23">
        <f>IF((D206/$D$8)&gt;=$I$8,1,0)</f>
        <v/>
      </c>
      <c r="J206" s="23">
        <f>IF((E206/$E$8)&gt;=$J$8,1,0)</f>
        <v/>
      </c>
      <c r="K206" s="23">
        <f>IF((F206/$F$8)&gt;=$K$8,1,0)</f>
        <v/>
      </c>
      <c r="L206" s="23">
        <f>IF((G206/$G$8)&gt;=$L$8,1,0)</f>
        <v/>
      </c>
      <c r="M206" s="23">
        <f>IF((H206/$H$8)&gt;=$M$8,1,0)</f>
        <v/>
      </c>
      <c r="N206" s="21">
        <f>SUM(D206:H206)</f>
        <v/>
      </c>
      <c r="O206" s="23">
        <f>ROUND(N206/2,0)</f>
        <v/>
      </c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24" t="n"/>
    </row>
    <row r="207" ht="19.5" customHeight="1" s="98">
      <c r="A207" s="47">
        <f>'Sessional + End Term Assessment'!A205</f>
        <v/>
      </c>
      <c r="B207" s="74">
        <f>'Sessional + End Term Assessment'!B205</f>
        <v/>
      </c>
      <c r="C207" s="74">
        <f>'Sessional + End Term Assessment'!C205</f>
        <v/>
      </c>
      <c r="D207" s="21">
        <f>'MID Term 1'!D204+'MID Term 2'!D204</f>
        <v/>
      </c>
      <c r="E207" s="21">
        <f>'MID Term 1'!H204+'MID Term 2'!E204</f>
        <v/>
      </c>
      <c r="F207" s="21">
        <f>'MID Term 1'!L204+'MID Term 2'!F204</f>
        <v/>
      </c>
      <c r="G207" s="21">
        <f>'MID Term 1'!P204+'MID Term 2'!J204</f>
        <v/>
      </c>
      <c r="H207" s="21">
        <f>'MID Term 1'!Q204+'MID Term 2'!N204</f>
        <v/>
      </c>
      <c r="I207" s="23">
        <f>IF((D207/$D$8)&gt;=$I$8,1,0)</f>
        <v/>
      </c>
      <c r="J207" s="23">
        <f>IF((E207/$E$8)&gt;=$J$8,1,0)</f>
        <v/>
      </c>
      <c r="K207" s="23">
        <f>IF((F207/$F$8)&gt;=$K$8,1,0)</f>
        <v/>
      </c>
      <c r="L207" s="23">
        <f>IF((G207/$G$8)&gt;=$L$8,1,0)</f>
        <v/>
      </c>
      <c r="M207" s="23">
        <f>IF((H207/$H$8)&gt;=$M$8,1,0)</f>
        <v/>
      </c>
      <c r="N207" s="21">
        <f>SUM(D207:H207)</f>
        <v/>
      </c>
      <c r="O207" s="23">
        <f>ROUND(N207/2,0)</f>
        <v/>
      </c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24" t="n"/>
    </row>
    <row r="208" ht="19.5" customHeight="1" s="98">
      <c r="A208" s="47">
        <f>'Sessional + End Term Assessment'!A206</f>
        <v/>
      </c>
      <c r="B208" s="74">
        <f>'Sessional + End Term Assessment'!B206</f>
        <v/>
      </c>
      <c r="C208" s="74">
        <f>'Sessional + End Term Assessment'!C206</f>
        <v/>
      </c>
      <c r="D208" s="21">
        <f>'MID Term 1'!D205+'MID Term 2'!D205</f>
        <v/>
      </c>
      <c r="E208" s="21">
        <f>'MID Term 1'!H205+'MID Term 2'!E205</f>
        <v/>
      </c>
      <c r="F208" s="21">
        <f>'MID Term 1'!L205+'MID Term 2'!F205</f>
        <v/>
      </c>
      <c r="G208" s="21">
        <f>'MID Term 1'!P205+'MID Term 2'!J205</f>
        <v/>
      </c>
      <c r="H208" s="21">
        <f>'MID Term 1'!Q205+'MID Term 2'!N205</f>
        <v/>
      </c>
      <c r="I208" s="23">
        <f>IF((D208/$D$8)&gt;=$I$8,1,0)</f>
        <v/>
      </c>
      <c r="J208" s="23">
        <f>IF((E208/$E$8)&gt;=$J$8,1,0)</f>
        <v/>
      </c>
      <c r="K208" s="23">
        <f>IF((F208/$F$8)&gt;=$K$8,1,0)</f>
        <v/>
      </c>
      <c r="L208" s="23">
        <f>IF((G208/$G$8)&gt;=$L$8,1,0)</f>
        <v/>
      </c>
      <c r="M208" s="23">
        <f>IF((H208/$H$8)&gt;=$M$8,1,0)</f>
        <v/>
      </c>
      <c r="N208" s="21">
        <f>SUM(D208:H208)</f>
        <v/>
      </c>
      <c r="O208" s="23">
        <f>ROUND(N208/2,0)</f>
        <v/>
      </c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24" t="n"/>
    </row>
    <row r="209" ht="19.5" customHeight="1" s="98">
      <c r="A209" s="47">
        <f>'Sessional + End Term Assessment'!A207</f>
        <v/>
      </c>
      <c r="B209" s="74">
        <f>'Sessional + End Term Assessment'!B207</f>
        <v/>
      </c>
      <c r="C209" s="74">
        <f>'Sessional + End Term Assessment'!C207</f>
        <v/>
      </c>
      <c r="D209" s="21">
        <f>'MID Term 1'!D206+'MID Term 2'!D206</f>
        <v/>
      </c>
      <c r="E209" s="21">
        <f>'MID Term 1'!H206+'MID Term 2'!E206</f>
        <v/>
      </c>
      <c r="F209" s="21">
        <f>'MID Term 1'!L206+'MID Term 2'!F206</f>
        <v/>
      </c>
      <c r="G209" s="21">
        <f>'MID Term 1'!P206+'MID Term 2'!J206</f>
        <v/>
      </c>
      <c r="H209" s="21">
        <f>'MID Term 1'!Q206+'MID Term 2'!N206</f>
        <v/>
      </c>
      <c r="I209" s="23">
        <f>IF((D209/$D$8)&gt;=$I$8,1,0)</f>
        <v/>
      </c>
      <c r="J209" s="23">
        <f>IF((E209/$E$8)&gt;=$J$8,1,0)</f>
        <v/>
      </c>
      <c r="K209" s="23">
        <f>IF((F209/$F$8)&gt;=$K$8,1,0)</f>
        <v/>
      </c>
      <c r="L209" s="23">
        <f>IF((G209/$G$8)&gt;=$L$8,1,0)</f>
        <v/>
      </c>
      <c r="M209" s="23">
        <f>IF((H209/$H$8)&gt;=$M$8,1,0)</f>
        <v/>
      </c>
      <c r="N209" s="21">
        <f>SUM(D209:H209)</f>
        <v/>
      </c>
      <c r="O209" s="23">
        <f>ROUND(N209/2,0)</f>
        <v/>
      </c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24" t="n"/>
    </row>
    <row r="210" ht="19.5" customHeight="1" s="98">
      <c r="A210" s="47">
        <f>'Sessional + End Term Assessment'!A208</f>
        <v/>
      </c>
      <c r="B210" s="74">
        <f>'Sessional + End Term Assessment'!B208</f>
        <v/>
      </c>
      <c r="C210" s="74">
        <f>'Sessional + End Term Assessment'!C208</f>
        <v/>
      </c>
      <c r="D210" s="21">
        <f>'MID Term 1'!D207+'MID Term 2'!D207</f>
        <v/>
      </c>
      <c r="E210" s="21">
        <f>'MID Term 1'!H207+'MID Term 2'!E207</f>
        <v/>
      </c>
      <c r="F210" s="21">
        <f>'MID Term 1'!L207+'MID Term 2'!F207</f>
        <v/>
      </c>
      <c r="G210" s="21">
        <f>'MID Term 1'!P207+'MID Term 2'!J207</f>
        <v/>
      </c>
      <c r="H210" s="21">
        <f>'MID Term 1'!Q207+'MID Term 2'!N207</f>
        <v/>
      </c>
      <c r="I210" s="23">
        <f>IF((D210/$D$8)&gt;=$I$8,1,0)</f>
        <v/>
      </c>
      <c r="J210" s="23">
        <f>IF((E210/$E$8)&gt;=$J$8,1,0)</f>
        <v/>
      </c>
      <c r="K210" s="23">
        <f>IF((F210/$F$8)&gt;=$K$8,1,0)</f>
        <v/>
      </c>
      <c r="L210" s="23">
        <f>IF((G210/$G$8)&gt;=$L$8,1,0)</f>
        <v/>
      </c>
      <c r="M210" s="23">
        <f>IF((H210/$H$8)&gt;=$M$8,1,0)</f>
        <v/>
      </c>
      <c r="N210" s="21">
        <f>SUM(D210:H210)</f>
        <v/>
      </c>
      <c r="O210" s="23">
        <f>ROUND(N210/2,0)</f>
        <v/>
      </c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24" t="n"/>
    </row>
    <row r="211" ht="19.5" customHeight="1" s="98">
      <c r="A211" s="47">
        <f>'Sessional + End Term Assessment'!A209</f>
        <v/>
      </c>
      <c r="B211" s="74">
        <f>'Sessional + End Term Assessment'!B209</f>
        <v/>
      </c>
      <c r="C211" s="74">
        <f>'Sessional + End Term Assessment'!C209</f>
        <v/>
      </c>
      <c r="D211" s="21">
        <f>'MID Term 1'!D208+'MID Term 2'!D208</f>
        <v/>
      </c>
      <c r="E211" s="21">
        <f>'MID Term 1'!H208+'MID Term 2'!E208</f>
        <v/>
      </c>
      <c r="F211" s="21">
        <f>'MID Term 1'!L208+'MID Term 2'!F208</f>
        <v/>
      </c>
      <c r="G211" s="21">
        <f>'MID Term 1'!P208+'MID Term 2'!J208</f>
        <v/>
      </c>
      <c r="H211" s="21">
        <f>'MID Term 1'!Q208+'MID Term 2'!N208</f>
        <v/>
      </c>
      <c r="I211" s="23">
        <f>IF((D211/$D$8)&gt;=$I$8,1,0)</f>
        <v/>
      </c>
      <c r="J211" s="23">
        <f>IF((E211/$E$8)&gt;=$J$8,1,0)</f>
        <v/>
      </c>
      <c r="K211" s="23">
        <f>IF((F211/$F$8)&gt;=$K$8,1,0)</f>
        <v/>
      </c>
      <c r="L211" s="23">
        <f>IF((G211/$G$8)&gt;=$L$8,1,0)</f>
        <v/>
      </c>
      <c r="M211" s="23">
        <f>IF((H211/$H$8)&gt;=$M$8,1,0)</f>
        <v/>
      </c>
      <c r="N211" s="21">
        <f>SUM(D211:H211)</f>
        <v/>
      </c>
      <c r="O211" s="23">
        <f>ROUND(N211/2,0)</f>
        <v/>
      </c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24" t="n"/>
    </row>
    <row r="212" ht="19.5" customHeight="1" s="98">
      <c r="A212" s="47">
        <f>'Sessional + End Term Assessment'!A210</f>
        <v/>
      </c>
      <c r="B212" s="74">
        <f>'Sessional + End Term Assessment'!B210</f>
        <v/>
      </c>
      <c r="C212" s="74">
        <f>'Sessional + End Term Assessment'!C210</f>
        <v/>
      </c>
      <c r="D212" s="21">
        <f>'MID Term 1'!D209+'MID Term 2'!D209</f>
        <v/>
      </c>
      <c r="E212" s="21">
        <f>'MID Term 1'!H209+'MID Term 2'!E209</f>
        <v/>
      </c>
      <c r="F212" s="21">
        <f>'MID Term 1'!L209+'MID Term 2'!F209</f>
        <v/>
      </c>
      <c r="G212" s="21">
        <f>'MID Term 1'!P209+'MID Term 2'!J209</f>
        <v/>
      </c>
      <c r="H212" s="21">
        <f>'MID Term 1'!Q209+'MID Term 2'!N209</f>
        <v/>
      </c>
      <c r="I212" s="23">
        <f>IF((D212/$D$8)&gt;=$I$8,1,0)</f>
        <v/>
      </c>
      <c r="J212" s="23">
        <f>IF((E212/$E$8)&gt;=$J$8,1,0)</f>
        <v/>
      </c>
      <c r="K212" s="23">
        <f>IF((F212/$F$8)&gt;=$K$8,1,0)</f>
        <v/>
      </c>
      <c r="L212" s="23">
        <f>IF((G212/$G$8)&gt;=$L$8,1,0)</f>
        <v/>
      </c>
      <c r="M212" s="23">
        <f>IF((H212/$H$8)&gt;=$M$8,1,0)</f>
        <v/>
      </c>
      <c r="N212" s="21">
        <f>SUM(D212:H212)</f>
        <v/>
      </c>
      <c r="O212" s="23">
        <f>ROUND(N212/2,0)</f>
        <v/>
      </c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24" t="n"/>
    </row>
    <row r="213" ht="19.5" customHeight="1" s="98">
      <c r="A213" s="47">
        <f>'Sessional + End Term Assessment'!A211</f>
        <v/>
      </c>
      <c r="B213" s="74">
        <f>'Sessional + End Term Assessment'!B211</f>
        <v/>
      </c>
      <c r="C213" s="74">
        <f>'Sessional + End Term Assessment'!C211</f>
        <v/>
      </c>
      <c r="D213" s="21">
        <f>'MID Term 1'!D210+'MID Term 2'!D210</f>
        <v/>
      </c>
      <c r="E213" s="21">
        <f>'MID Term 1'!H210+'MID Term 2'!E210</f>
        <v/>
      </c>
      <c r="F213" s="21">
        <f>'MID Term 1'!L210+'MID Term 2'!F210</f>
        <v/>
      </c>
      <c r="G213" s="21">
        <f>'MID Term 1'!P210+'MID Term 2'!J210</f>
        <v/>
      </c>
      <c r="H213" s="21">
        <f>'MID Term 1'!Q210+'MID Term 2'!N210</f>
        <v/>
      </c>
      <c r="I213" s="23">
        <f>IF((D213/$D$8)&gt;=$I$8,1,0)</f>
        <v/>
      </c>
      <c r="J213" s="23">
        <f>IF((E213/$E$8)&gt;=$J$8,1,0)</f>
        <v/>
      </c>
      <c r="K213" s="23">
        <f>IF((F213/$F$8)&gt;=$K$8,1,0)</f>
        <v/>
      </c>
      <c r="L213" s="23">
        <f>IF((G213/$G$8)&gt;=$L$8,1,0)</f>
        <v/>
      </c>
      <c r="M213" s="23">
        <f>IF((H213/$H$8)&gt;=$M$8,1,0)</f>
        <v/>
      </c>
      <c r="N213" s="21">
        <f>SUM(D213:H213)</f>
        <v/>
      </c>
      <c r="O213" s="23">
        <f>ROUND(N213/2,0)</f>
        <v/>
      </c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24" t="n"/>
    </row>
    <row r="214" ht="19.5" customHeight="1" s="98">
      <c r="A214" s="47">
        <f>'Sessional + End Term Assessment'!A212</f>
        <v/>
      </c>
      <c r="B214" s="74">
        <f>'Sessional + End Term Assessment'!B212</f>
        <v/>
      </c>
      <c r="C214" s="74">
        <f>'Sessional + End Term Assessment'!C212</f>
        <v/>
      </c>
      <c r="D214" s="21">
        <f>'MID Term 1'!D211+'MID Term 2'!D211</f>
        <v/>
      </c>
      <c r="E214" s="21">
        <f>'MID Term 1'!H211+'MID Term 2'!E211</f>
        <v/>
      </c>
      <c r="F214" s="21">
        <f>'MID Term 1'!L211+'MID Term 2'!F211</f>
        <v/>
      </c>
      <c r="G214" s="21">
        <f>'MID Term 1'!P211+'MID Term 2'!J211</f>
        <v/>
      </c>
      <c r="H214" s="21">
        <f>'MID Term 1'!Q211+'MID Term 2'!N211</f>
        <v/>
      </c>
      <c r="I214" s="23">
        <f>IF((D214/$D$8)&gt;=$I$8,1,0)</f>
        <v/>
      </c>
      <c r="J214" s="23">
        <f>IF((E214/$E$8)&gt;=$J$8,1,0)</f>
        <v/>
      </c>
      <c r="K214" s="23">
        <f>IF((F214/$F$8)&gt;=$K$8,1,0)</f>
        <v/>
      </c>
      <c r="L214" s="23">
        <f>IF((G214/$G$8)&gt;=$L$8,1,0)</f>
        <v/>
      </c>
      <c r="M214" s="23">
        <f>IF((H214/$H$8)&gt;=$M$8,1,0)</f>
        <v/>
      </c>
      <c r="N214" s="21">
        <f>SUM(D214:H214)</f>
        <v/>
      </c>
      <c r="O214" s="23">
        <f>ROUND(N214/2,0)</f>
        <v/>
      </c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24" t="n"/>
    </row>
    <row r="215" ht="19.5" customHeight="1" s="98">
      <c r="A215" s="47">
        <f>'Sessional + End Term Assessment'!A213</f>
        <v/>
      </c>
      <c r="B215" s="74">
        <f>'Sessional + End Term Assessment'!B213</f>
        <v/>
      </c>
      <c r="C215" s="74">
        <f>'Sessional + End Term Assessment'!C213</f>
        <v/>
      </c>
      <c r="D215" s="21">
        <f>'MID Term 1'!D212+'MID Term 2'!D212</f>
        <v/>
      </c>
      <c r="E215" s="21">
        <f>'MID Term 1'!H212+'MID Term 2'!E212</f>
        <v/>
      </c>
      <c r="F215" s="21">
        <f>'MID Term 1'!L212+'MID Term 2'!F212</f>
        <v/>
      </c>
      <c r="G215" s="21">
        <f>'MID Term 1'!P212+'MID Term 2'!J212</f>
        <v/>
      </c>
      <c r="H215" s="21">
        <f>'MID Term 1'!Q212+'MID Term 2'!N212</f>
        <v/>
      </c>
      <c r="I215" s="23">
        <f>IF((D215/$D$8)&gt;=$I$8,1,0)</f>
        <v/>
      </c>
      <c r="J215" s="23">
        <f>IF((E215/$E$8)&gt;=$J$8,1,0)</f>
        <v/>
      </c>
      <c r="K215" s="23">
        <f>IF((F215/$F$8)&gt;=$K$8,1,0)</f>
        <v/>
      </c>
      <c r="L215" s="23">
        <f>IF((G215/$G$8)&gt;=$L$8,1,0)</f>
        <v/>
      </c>
      <c r="M215" s="23">
        <f>IF((H215/$H$8)&gt;=$M$8,1,0)</f>
        <v/>
      </c>
      <c r="N215" s="21">
        <f>SUM(D215:H215)</f>
        <v/>
      </c>
      <c r="O215" s="23">
        <f>ROUND(N215/2,0)</f>
        <v/>
      </c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24" t="n"/>
    </row>
    <row r="216" ht="19.5" customHeight="1" s="98">
      <c r="A216" s="47">
        <f>'Sessional + End Term Assessment'!A214</f>
        <v/>
      </c>
      <c r="B216" s="74">
        <f>'Sessional + End Term Assessment'!B214</f>
        <v/>
      </c>
      <c r="C216" s="74">
        <f>'Sessional + End Term Assessment'!C214</f>
        <v/>
      </c>
      <c r="D216" s="21">
        <f>'MID Term 1'!D213+'MID Term 2'!D213</f>
        <v/>
      </c>
      <c r="E216" s="21">
        <f>'MID Term 1'!H213+'MID Term 2'!E213</f>
        <v/>
      </c>
      <c r="F216" s="21">
        <f>'MID Term 1'!L213+'MID Term 2'!F213</f>
        <v/>
      </c>
      <c r="G216" s="21">
        <f>'MID Term 1'!P213+'MID Term 2'!J213</f>
        <v/>
      </c>
      <c r="H216" s="21">
        <f>'MID Term 1'!Q213+'MID Term 2'!N213</f>
        <v/>
      </c>
      <c r="I216" s="23">
        <f>IF((D216/$D$8)&gt;=$I$8,1,0)</f>
        <v/>
      </c>
      <c r="J216" s="23">
        <f>IF((E216/$E$8)&gt;=$J$8,1,0)</f>
        <v/>
      </c>
      <c r="K216" s="23">
        <f>IF((F216/$F$8)&gt;=$K$8,1,0)</f>
        <v/>
      </c>
      <c r="L216" s="23">
        <f>IF((G216/$G$8)&gt;=$L$8,1,0)</f>
        <v/>
      </c>
      <c r="M216" s="23">
        <f>IF((H216/$H$8)&gt;=$M$8,1,0)</f>
        <v/>
      </c>
      <c r="N216" s="21">
        <f>SUM(D216:H216)</f>
        <v/>
      </c>
      <c r="O216" s="23">
        <f>ROUND(N216/2,0)</f>
        <v/>
      </c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24" t="n"/>
    </row>
    <row r="217" ht="19.5" customHeight="1" s="98">
      <c r="A217" s="47">
        <f>'Sessional + End Term Assessment'!A215</f>
        <v/>
      </c>
      <c r="B217" s="74">
        <f>'Sessional + End Term Assessment'!B215</f>
        <v/>
      </c>
      <c r="C217" s="74">
        <f>'Sessional + End Term Assessment'!C215</f>
        <v/>
      </c>
      <c r="D217" s="21">
        <f>'MID Term 1'!D214+'MID Term 2'!D214</f>
        <v/>
      </c>
      <c r="E217" s="21">
        <f>'MID Term 1'!H214+'MID Term 2'!E214</f>
        <v/>
      </c>
      <c r="F217" s="21">
        <f>'MID Term 1'!L214+'MID Term 2'!F214</f>
        <v/>
      </c>
      <c r="G217" s="21">
        <f>'MID Term 1'!P214+'MID Term 2'!J214</f>
        <v/>
      </c>
      <c r="H217" s="21">
        <f>'MID Term 1'!Q214+'MID Term 2'!N214</f>
        <v/>
      </c>
      <c r="I217" s="23">
        <f>IF((D217/$D$8)&gt;=$I$8,1,0)</f>
        <v/>
      </c>
      <c r="J217" s="23">
        <f>IF((E217/$E$8)&gt;=$J$8,1,0)</f>
        <v/>
      </c>
      <c r="K217" s="23">
        <f>IF((F217/$F$8)&gt;=$K$8,1,0)</f>
        <v/>
      </c>
      <c r="L217" s="23">
        <f>IF((G217/$G$8)&gt;=$L$8,1,0)</f>
        <v/>
      </c>
      <c r="M217" s="23">
        <f>IF((H217/$H$8)&gt;=$M$8,1,0)</f>
        <v/>
      </c>
      <c r="N217" s="21">
        <f>SUM(D217:H217)</f>
        <v/>
      </c>
      <c r="O217" s="23">
        <f>ROUND(N217/2,0)</f>
        <v/>
      </c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24" t="n"/>
    </row>
    <row r="218" ht="19.5" customHeight="1" s="98">
      <c r="A218" s="47">
        <f>'Sessional + End Term Assessment'!A216</f>
        <v/>
      </c>
      <c r="B218" s="74">
        <f>'Sessional + End Term Assessment'!B216</f>
        <v/>
      </c>
      <c r="C218" s="74">
        <f>'Sessional + End Term Assessment'!C216</f>
        <v/>
      </c>
      <c r="D218" s="21">
        <f>'MID Term 1'!D215+'MID Term 2'!D215</f>
        <v/>
      </c>
      <c r="E218" s="21">
        <f>'MID Term 1'!H215+'MID Term 2'!E215</f>
        <v/>
      </c>
      <c r="F218" s="21">
        <f>'MID Term 1'!L215+'MID Term 2'!F215</f>
        <v/>
      </c>
      <c r="G218" s="21">
        <f>'MID Term 1'!P215+'MID Term 2'!J215</f>
        <v/>
      </c>
      <c r="H218" s="21">
        <f>'MID Term 1'!Q215+'MID Term 2'!N215</f>
        <v/>
      </c>
      <c r="I218" s="23">
        <f>IF((D218/$D$8)&gt;=$I$8,1,0)</f>
        <v/>
      </c>
      <c r="J218" s="23">
        <f>IF((E218/$E$8)&gt;=$J$8,1,0)</f>
        <v/>
      </c>
      <c r="K218" s="23">
        <f>IF((F218/$F$8)&gt;=$K$8,1,0)</f>
        <v/>
      </c>
      <c r="L218" s="23">
        <f>IF((G218/$G$8)&gt;=$L$8,1,0)</f>
        <v/>
      </c>
      <c r="M218" s="23">
        <f>IF((H218/$H$8)&gt;=$M$8,1,0)</f>
        <v/>
      </c>
      <c r="N218" s="21">
        <f>SUM(D218:H218)</f>
        <v/>
      </c>
      <c r="O218" s="23">
        <f>ROUND(N218/2,0)</f>
        <v/>
      </c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24" t="n"/>
    </row>
    <row r="219" ht="19.5" customHeight="1" s="98">
      <c r="A219" s="47">
        <f>'Sessional + End Term Assessment'!A217</f>
        <v/>
      </c>
      <c r="B219" s="74">
        <f>'Sessional + End Term Assessment'!B217</f>
        <v/>
      </c>
      <c r="C219" s="74">
        <f>'Sessional + End Term Assessment'!C217</f>
        <v/>
      </c>
      <c r="D219" s="21">
        <f>'MID Term 1'!D216+'MID Term 2'!D216</f>
        <v/>
      </c>
      <c r="E219" s="21">
        <f>'MID Term 1'!H216+'MID Term 2'!E216</f>
        <v/>
      </c>
      <c r="F219" s="21">
        <f>'MID Term 1'!L216+'MID Term 2'!F216</f>
        <v/>
      </c>
      <c r="G219" s="21">
        <f>'MID Term 1'!P216+'MID Term 2'!J216</f>
        <v/>
      </c>
      <c r="H219" s="21">
        <f>'MID Term 1'!Q216+'MID Term 2'!N216</f>
        <v/>
      </c>
      <c r="I219" s="23">
        <f>IF((D219/$D$8)&gt;=$I$8,1,0)</f>
        <v/>
      </c>
      <c r="J219" s="23">
        <f>IF((E219/$E$8)&gt;=$J$8,1,0)</f>
        <v/>
      </c>
      <c r="K219" s="23">
        <f>IF((F219/$F$8)&gt;=$K$8,1,0)</f>
        <v/>
      </c>
      <c r="L219" s="23">
        <f>IF((G219/$G$8)&gt;=$L$8,1,0)</f>
        <v/>
      </c>
      <c r="M219" s="23">
        <f>IF((H219/$H$8)&gt;=$M$8,1,0)</f>
        <v/>
      </c>
      <c r="N219" s="21">
        <f>SUM(D219:H219)</f>
        <v/>
      </c>
      <c r="O219" s="23">
        <f>ROUND(N219/2,0)</f>
        <v/>
      </c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24" t="n"/>
    </row>
    <row r="220" ht="19.5" customHeight="1" s="98">
      <c r="A220" s="47">
        <f>'Sessional + End Term Assessment'!A218</f>
        <v/>
      </c>
      <c r="B220" s="74">
        <f>'Sessional + End Term Assessment'!B218</f>
        <v/>
      </c>
      <c r="C220" s="74">
        <f>'Sessional + End Term Assessment'!C218</f>
        <v/>
      </c>
      <c r="D220" s="21">
        <f>'MID Term 1'!D217+'MID Term 2'!D217</f>
        <v/>
      </c>
      <c r="E220" s="21">
        <f>'MID Term 1'!H217+'MID Term 2'!E217</f>
        <v/>
      </c>
      <c r="F220" s="21">
        <f>'MID Term 1'!L217+'MID Term 2'!F217</f>
        <v/>
      </c>
      <c r="G220" s="21">
        <f>'MID Term 1'!P217+'MID Term 2'!J217</f>
        <v/>
      </c>
      <c r="H220" s="21">
        <f>'MID Term 1'!Q217+'MID Term 2'!N217</f>
        <v/>
      </c>
      <c r="I220" s="23">
        <f>IF((D220/$D$8)&gt;=$I$8,1,0)</f>
        <v/>
      </c>
      <c r="J220" s="23">
        <f>IF((E220/$E$8)&gt;=$J$8,1,0)</f>
        <v/>
      </c>
      <c r="K220" s="23">
        <f>IF((F220/$F$8)&gt;=$K$8,1,0)</f>
        <v/>
      </c>
      <c r="L220" s="23">
        <f>IF((G220/$G$8)&gt;=$L$8,1,0)</f>
        <v/>
      </c>
      <c r="M220" s="23">
        <f>IF((H220/$H$8)&gt;=$M$8,1,0)</f>
        <v/>
      </c>
      <c r="N220" s="21">
        <f>SUM(D220:H220)</f>
        <v/>
      </c>
      <c r="O220" s="23">
        <f>ROUND(N220/2,0)</f>
        <v/>
      </c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24" t="n"/>
    </row>
    <row r="221" ht="19.5" customHeight="1" s="98">
      <c r="A221" s="47">
        <f>'Sessional + End Term Assessment'!A219</f>
        <v/>
      </c>
      <c r="B221" s="74">
        <f>'Sessional + End Term Assessment'!B219</f>
        <v/>
      </c>
      <c r="C221" s="74">
        <f>'Sessional + End Term Assessment'!C219</f>
        <v/>
      </c>
      <c r="D221" s="21">
        <f>'MID Term 1'!D218+'MID Term 2'!D218</f>
        <v/>
      </c>
      <c r="E221" s="21">
        <f>'MID Term 1'!H218+'MID Term 2'!E218</f>
        <v/>
      </c>
      <c r="F221" s="21">
        <f>'MID Term 1'!L218+'MID Term 2'!F218</f>
        <v/>
      </c>
      <c r="G221" s="21">
        <f>'MID Term 1'!P218+'MID Term 2'!J218</f>
        <v/>
      </c>
      <c r="H221" s="21">
        <f>'MID Term 1'!Q218+'MID Term 2'!N218</f>
        <v/>
      </c>
      <c r="I221" s="23">
        <f>IF((D221/$D$8)&gt;=$I$8,1,0)</f>
        <v/>
      </c>
      <c r="J221" s="23">
        <f>IF((E221/$E$8)&gt;=$J$8,1,0)</f>
        <v/>
      </c>
      <c r="K221" s="23">
        <f>IF((F221/$F$8)&gt;=$K$8,1,0)</f>
        <v/>
      </c>
      <c r="L221" s="23">
        <f>IF((G221/$G$8)&gt;=$L$8,1,0)</f>
        <v/>
      </c>
      <c r="M221" s="23">
        <f>IF((H221/$H$8)&gt;=$M$8,1,0)</f>
        <v/>
      </c>
      <c r="N221" s="21">
        <f>SUM(D221:H221)</f>
        <v/>
      </c>
      <c r="O221" s="23">
        <f>ROUND(N221/2,0)</f>
        <v/>
      </c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24" t="n"/>
    </row>
    <row r="222" ht="19.5" customHeight="1" s="98">
      <c r="A222" s="15" t="n"/>
      <c r="B222" s="15" t="n"/>
      <c r="C222" s="15" t="inlineStr">
        <is>
          <t>Total No. of Students</t>
        </is>
      </c>
      <c r="D222" s="55" t="n">
        <v>212</v>
      </c>
      <c r="E222" s="55" t="n">
        <v>212</v>
      </c>
      <c r="F222" s="55" t="n">
        <v>212</v>
      </c>
      <c r="G222" s="55" t="n">
        <v>212</v>
      </c>
      <c r="H222" s="55" t="n">
        <v>212</v>
      </c>
      <c r="I222" s="55">
        <f>SUM(I10:I185)</f>
        <v/>
      </c>
      <c r="J222" s="55">
        <f>SUM(J10:J185)</f>
        <v/>
      </c>
      <c r="K222" s="55">
        <f>SUM(K10:K185)</f>
        <v/>
      </c>
      <c r="L222" s="55">
        <f>SUM(L10:L185)</f>
        <v/>
      </c>
      <c r="M222" s="55">
        <f>SUM(M10:M185)</f>
        <v/>
      </c>
      <c r="N222" s="55" t="n"/>
      <c r="O222" s="55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9.5" customHeight="1" s="98">
      <c r="A223" s="137" t="inlineStr">
        <is>
      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      </is>
      </c>
      <c r="B223" s="128" t="n"/>
      <c r="C223" s="128" t="n"/>
      <c r="D223" s="128" t="n"/>
      <c r="E223" s="128" t="n"/>
      <c r="F223" s="128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  <c r="O223" s="128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9.5" customHeight="1" s="98">
      <c r="A224" s="130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9.5" customHeight="1" s="98">
      <c r="A225" s="130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9.5" customHeight="1" s="98">
      <c r="A226" s="132" t="n"/>
      <c r="B226" s="133" t="n"/>
      <c r="C226" s="133" t="n"/>
      <c r="D226" s="133" t="n"/>
      <c r="E226" s="133" t="n"/>
      <c r="F226" s="133" t="n"/>
      <c r="G226" s="133" t="n"/>
      <c r="H226" s="133" t="n"/>
      <c r="I226" s="133" t="n"/>
      <c r="J226" s="133" t="n"/>
      <c r="K226" s="133" t="n"/>
      <c r="L226" s="133" t="n"/>
      <c r="M226" s="133" t="n"/>
      <c r="N226" s="133" t="n"/>
      <c r="O226" s="133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5.75" customHeight="1" s="98">
      <c r="A227" s="33" t="inlineStr">
        <is>
          <t>CO Attainment Calculation</t>
        </is>
      </c>
      <c r="B227" s="125" t="n"/>
      <c r="C227" s="126" t="n"/>
      <c r="D227" s="32" t="inlineStr">
        <is>
          <t>% of students get &gt;= Target %</t>
        </is>
      </c>
      <c r="E227" s="32" t="inlineStr">
        <is>
          <t>CO Attainment Level</t>
        </is>
      </c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9.5" customHeight="1" s="98">
      <c r="A228" s="33" t="inlineStr">
        <is>
          <t>No. of Students Attained CO23CS201.1</t>
        </is>
      </c>
      <c r="B228" s="125" t="n"/>
      <c r="C228" s="126" t="n"/>
      <c r="D228" s="33">
        <f>ROUND((I222/D222*100),0)</f>
        <v/>
      </c>
      <c r="E228" s="32">
        <f>IF(D228&gt;100,"ERROR",IF(D228&gt;=61,3,IF(D228&gt;=46,2,IF(D228&gt;=16,1,IF(D228&gt;15,0,0)))))</f>
        <v/>
      </c>
      <c r="F228" s="33">
        <f>E228*0.2</f>
        <v/>
      </c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9.5" customHeight="1" s="98">
      <c r="A229" s="33" t="inlineStr">
        <is>
          <t>No. of Students Attained CO23CS201.2</t>
        </is>
      </c>
      <c r="B229" s="125" t="n"/>
      <c r="C229" s="126" t="n"/>
      <c r="D229" s="33">
        <f>ROUND((J222/E222*100),0)</f>
        <v/>
      </c>
      <c r="E229" s="32">
        <f>IF(D229&gt;100,"ERROR",IF(D229&gt;=61,3,IF(D229&gt;=46,2,IF(D229&gt;=16,1,IF(D229&gt;15,0,0)))))</f>
        <v/>
      </c>
      <c r="F229" s="33">
        <f>E229*0.2</f>
        <v/>
      </c>
      <c r="G229" s="33" t="n"/>
      <c r="H229" s="138" t="inlineStr">
        <is>
          <t>CO Achieved</t>
        </is>
      </c>
      <c r="I229" s="139" t="n"/>
      <c r="J229" s="56">
        <f>SUM(F228:F232)</f>
        <v/>
      </c>
      <c r="K229" s="33" t="n"/>
      <c r="L229" s="33" t="n"/>
      <c r="M229" s="33" t="n"/>
      <c r="N229" s="33" t="n"/>
      <c r="O229" s="33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9.5" customHeight="1" s="98">
      <c r="A230" s="33" t="inlineStr">
        <is>
          <t>No. of Students Attained CO23CS201.3</t>
        </is>
      </c>
      <c r="B230" s="125" t="n"/>
      <c r="C230" s="126" t="n"/>
      <c r="D230" s="33">
        <f>ROUND((K222/F222*100),0)</f>
        <v/>
      </c>
      <c r="E230" s="32">
        <f>IF(D230&gt;100,"ERROR",IF(D230&gt;=61,3,IF(D230&gt;=46,2,IF(D230&gt;=16,1,IF(D230&gt;15,0,0)))))</f>
        <v/>
      </c>
      <c r="F230" s="33">
        <f>E230*0.2</f>
        <v/>
      </c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9.5" customHeight="1" s="98">
      <c r="A231" s="33" t="inlineStr">
        <is>
          <t>No. of Students Attained CO23CS201.4</t>
        </is>
      </c>
      <c r="B231" s="125" t="n"/>
      <c r="C231" s="126" t="n"/>
      <c r="D231" s="33">
        <f>ROUND((L222/G222*100),0)</f>
        <v/>
      </c>
      <c r="E231" s="32">
        <f>IF(D231&gt;100,"ERROR",IF(D231&gt;=61,3,IF(D231&gt;=46,2,IF(D231&gt;=16,1,IF(D231&gt;15,0,0)))))</f>
        <v/>
      </c>
      <c r="F231" s="33">
        <f>E231*0.2</f>
        <v/>
      </c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9.5" customHeight="1" s="98">
      <c r="A232" s="33" t="inlineStr">
        <is>
          <t>No. of Students Attained CO23CS201.5</t>
        </is>
      </c>
      <c r="B232" s="125" t="n"/>
      <c r="C232" s="126" t="n"/>
      <c r="D232" s="33">
        <f>ROUND((M222/H222*100),0)</f>
        <v/>
      </c>
      <c r="E232" s="32">
        <f>IF(D232&gt;100,"ERROR",IF(D232&gt;=61,3,IF(D232&gt;=46,2,IF(D232&gt;=16,1,IF(D232&gt;15,0,0)))))</f>
        <v/>
      </c>
      <c r="F232" s="33">
        <f>E232*0.2</f>
        <v/>
      </c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9.5" customHeight="1" s="98">
      <c r="A233" s="140" t="inlineStr">
        <is>
          <t>Rationale:
If 0-15% Students get &gt;=Target % then Attainment Level=0
If 15-45% Students get &gt;=Target % then Attainment Level=1
If 45-60% Students get &gt;=Target % then Attainment Level=2
If 60-100% Students get &gt;=Target % then Attainment Level=3</t>
        </is>
      </c>
      <c r="B233" s="128" t="n"/>
      <c r="C233" s="128" t="n"/>
      <c r="D233" s="128" t="n"/>
      <c r="E233" s="128" t="n"/>
      <c r="F233" s="128" t="n"/>
      <c r="G233" s="128" t="n"/>
      <c r="H233" s="129" t="n"/>
      <c r="I233" s="137" t="inlineStr">
        <is>
          <t>Signature Subject Teacher:</t>
        </is>
      </c>
      <c r="J233" s="128" t="n"/>
      <c r="K233" s="128" t="n"/>
      <c r="L233" s="128" t="n"/>
      <c r="M233" s="128" t="n"/>
      <c r="N233" s="128" t="n"/>
      <c r="O233" s="128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9.5" customHeight="1" s="98">
      <c r="A234" s="130" t="n"/>
      <c r="H234" s="131" t="n"/>
      <c r="I234" s="130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9.5" customHeight="1" s="98">
      <c r="A235" s="130" t="n"/>
      <c r="H235" s="131" t="n"/>
      <c r="I235" s="130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9.5" customHeight="1" s="98">
      <c r="A236" s="132" t="n"/>
      <c r="B236" s="133" t="n"/>
      <c r="C236" s="133" t="n"/>
      <c r="D236" s="133" t="n"/>
      <c r="E236" s="133" t="n"/>
      <c r="F236" s="133" t="n"/>
      <c r="G236" s="133" t="n"/>
      <c r="H236" s="134" t="n"/>
      <c r="I236" s="132" t="n"/>
      <c r="J236" s="133" t="n"/>
      <c r="K236" s="133" t="n"/>
      <c r="L236" s="133" t="n"/>
      <c r="M236" s="133" t="n"/>
      <c r="N236" s="133" t="n"/>
      <c r="O236" s="133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5.75" customHeight="1" s="98">
      <c r="C237" s="50" t="n"/>
    </row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37">
    <mergeCell ref="E5:E6"/>
    <mergeCell ref="A233:H236"/>
    <mergeCell ref="J6:J7"/>
    <mergeCell ref="F5:F6"/>
    <mergeCell ref="A3:O3"/>
    <mergeCell ref="A2:O2"/>
    <mergeCell ref="L8:L9"/>
    <mergeCell ref="I233:O236"/>
    <mergeCell ref="N8:N9"/>
    <mergeCell ref="M6:M7"/>
    <mergeCell ref="A231:C231"/>
    <mergeCell ref="A4:O4"/>
    <mergeCell ref="G5:G6"/>
    <mergeCell ref="I8:I9"/>
    <mergeCell ref="A230:C230"/>
    <mergeCell ref="K8:K9"/>
    <mergeCell ref="M8:M9"/>
    <mergeCell ref="O8:O9"/>
    <mergeCell ref="A9:C9"/>
    <mergeCell ref="L6:L7"/>
    <mergeCell ref="A229:C229"/>
    <mergeCell ref="A5:A8"/>
    <mergeCell ref="I5:M5"/>
    <mergeCell ref="O5:O7"/>
    <mergeCell ref="A232:C232"/>
    <mergeCell ref="D5:D6"/>
    <mergeCell ref="H229:I229"/>
    <mergeCell ref="B5:B8"/>
    <mergeCell ref="H5:H6"/>
    <mergeCell ref="N5:N7"/>
    <mergeCell ref="J8:J9"/>
    <mergeCell ref="I6:I7"/>
    <mergeCell ref="A1:O1"/>
    <mergeCell ref="A228:C228"/>
    <mergeCell ref="K6:K7"/>
    <mergeCell ref="A223:O226"/>
    <mergeCell ref="A227:C227"/>
  </mergeCells>
  <conditionalFormatting sqref="D10:H222 N10:O222">
    <cfRule type="containsText" priority="2" operator="containsText" dxfId="1" text="AB">
      <formula>NOT(ISERROR(SEARCH(("AB"),(D10))))</formula>
    </cfRule>
  </conditionalFormatting>
  <conditionalFormatting sqref="I10:M222">
    <cfRule type="cellIs" priority="1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51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P1"/>
    </sheetView>
  </sheetViews>
  <sheetFormatPr baseColWidth="8" defaultColWidth="12.59765625" defaultRowHeight="15" customHeight="1"/>
  <cols>
    <col width="12.3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Sessional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31.2" customHeight="1" s="98">
      <c r="A5" s="12" t="inlineStr">
        <is>
          <t>Course Outcome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</row>
    <row r="6" ht="19.5" customHeight="1" s="98">
      <c r="A6" s="12" t="inlineStr">
        <is>
          <t>CO23CS201.1</t>
        </is>
      </c>
      <c r="B6" s="23">
        <f>'Attainment Sheet Sessional'!E228*'CO-PO Mapping'!B6/3</f>
        <v/>
      </c>
      <c r="C6" s="23">
        <f>'Attainment Sheet Sessional'!E228*'CO-PO Mapping'!C6/3</f>
        <v/>
      </c>
      <c r="D6" s="23">
        <f>'Attainment Sheet Sessional'!$E228*'CO-PO Mapping'!D6/3</f>
        <v/>
      </c>
      <c r="E6" s="23">
        <f>'Attainment Sheet Sessional'!$E228*'CO-PO Mapping'!E6/3</f>
        <v/>
      </c>
      <c r="F6" s="23">
        <f>'Attainment Sheet Sessional'!$E228*'CO-PO Mapping'!F6/3</f>
        <v/>
      </c>
      <c r="G6" s="23">
        <f>'Attainment Sheet Sessional'!$E228*'CO-PO Mapping'!G6/3</f>
        <v/>
      </c>
      <c r="H6" s="23">
        <f>'Attainment Sheet Sessional'!$E228*'CO-PO Mapping'!H6/3</f>
        <v/>
      </c>
      <c r="I6" s="23">
        <f>'Attainment Sheet Sessional'!$E228*'CO-PO Mapping'!I6/3</f>
        <v/>
      </c>
      <c r="J6" s="23">
        <f>'Attainment Sheet Sessional'!$E228*'CO-PO Mapping'!J6/3</f>
        <v/>
      </c>
      <c r="K6" s="23">
        <f>'Attainment Sheet Sessional'!$E228*'CO-PO Mapping'!K6/3</f>
        <v/>
      </c>
      <c r="L6" s="23">
        <f>'Attainment Sheet Sessional'!$E228*'CO-PO Mapping'!L6/3</f>
        <v/>
      </c>
      <c r="M6" s="23">
        <f>'Attainment Sheet Sessional'!$E228*'CO-PO Mapping'!M6/3</f>
        <v/>
      </c>
      <c r="N6" s="23">
        <f>'Attainment Sheet Sessional'!$E228*'CO-PO Mapping'!N6/3</f>
        <v/>
      </c>
      <c r="O6" s="23">
        <f>'Attainment Sheet Sessional'!$E228*'CO-PO Mapping'!O6/3</f>
        <v/>
      </c>
      <c r="P6" s="23">
        <f>'Attainment Sheet Sessional'!$E228*'CO-PO Mapping'!P6/3</f>
        <v/>
      </c>
    </row>
    <row r="7" ht="19.5" customHeight="1" s="98">
      <c r="A7" s="12" t="inlineStr">
        <is>
          <t>CO23CS201.2</t>
        </is>
      </c>
      <c r="B7" s="23">
        <f>'Attainment Sheet Sessional'!E229*'CO-PO Mapping'!B7/3</f>
        <v/>
      </c>
      <c r="C7" s="23">
        <f>'Attainment Sheet Sessional'!E229*'CO-PO Mapping'!C7/3</f>
        <v/>
      </c>
      <c r="D7" s="23">
        <f>'Attainment Sheet Sessional'!$E229*'CO-PO Mapping'!D7/3</f>
        <v/>
      </c>
      <c r="E7" s="23">
        <f>'Attainment Sheet Sessional'!$E229*'CO-PO Mapping'!E7/3</f>
        <v/>
      </c>
      <c r="F7" s="23">
        <f>'Attainment Sheet Sessional'!$E229*'CO-PO Mapping'!F7/3</f>
        <v/>
      </c>
      <c r="G7" s="23">
        <f>'Attainment Sheet Sessional'!$E229*'CO-PO Mapping'!G7/3</f>
        <v/>
      </c>
      <c r="H7" s="23">
        <f>'Attainment Sheet Sessional'!$E229*'CO-PO Mapping'!H7/3</f>
        <v/>
      </c>
      <c r="I7" s="23">
        <f>'Attainment Sheet Sessional'!$E229*'CO-PO Mapping'!I7/3</f>
        <v/>
      </c>
      <c r="J7" s="23">
        <f>'Attainment Sheet Sessional'!$E229*'CO-PO Mapping'!J7/3</f>
        <v/>
      </c>
      <c r="K7" s="23">
        <f>'Attainment Sheet Sessional'!$E229*'CO-PO Mapping'!K7/3</f>
        <v/>
      </c>
      <c r="L7" s="23">
        <f>'Attainment Sheet Sessional'!$E229*'CO-PO Mapping'!L7/3</f>
        <v/>
      </c>
      <c r="M7" s="23">
        <f>'Attainment Sheet Sessional'!$E229*'CO-PO Mapping'!M7/3</f>
        <v/>
      </c>
      <c r="N7" s="23">
        <f>'Attainment Sheet Sessional'!$E229*'CO-PO Mapping'!N7/3</f>
        <v/>
      </c>
      <c r="O7" s="23">
        <f>'Attainment Sheet Sessional'!$E229*'CO-PO Mapping'!O7/3</f>
        <v/>
      </c>
      <c r="P7" s="23">
        <f>'Attainment Sheet Sessional'!$E229*'CO-PO Mapping'!P7/3</f>
        <v/>
      </c>
    </row>
    <row r="8" ht="19.5" customHeight="1" s="98">
      <c r="A8" s="12" t="inlineStr">
        <is>
          <t>CO23CS201.3</t>
        </is>
      </c>
      <c r="B8" s="23">
        <f>'Attainment Sheet Sessional'!E230*'CO-PO Mapping'!B8/3</f>
        <v/>
      </c>
      <c r="C8" s="23">
        <f>'Attainment Sheet Sessional'!E230*'CO-PO Mapping'!C8/3</f>
        <v/>
      </c>
      <c r="D8" s="23">
        <f>'Attainment Sheet Sessional'!$E230*'CO-PO Mapping'!D8/3</f>
        <v/>
      </c>
      <c r="E8" s="23">
        <f>'Attainment Sheet Sessional'!$E230*'CO-PO Mapping'!E8/3</f>
        <v/>
      </c>
      <c r="F8" s="23">
        <f>'Attainment Sheet Sessional'!$E230*'CO-PO Mapping'!F8/3</f>
        <v/>
      </c>
      <c r="G8" s="23">
        <f>'Attainment Sheet Sessional'!$E230*'CO-PO Mapping'!G8/3</f>
        <v/>
      </c>
      <c r="H8" s="23">
        <f>'Attainment Sheet Sessional'!$E230*'CO-PO Mapping'!H8/3</f>
        <v/>
      </c>
      <c r="I8" s="23">
        <f>'Attainment Sheet Sessional'!$E230*'CO-PO Mapping'!I8/3</f>
        <v/>
      </c>
      <c r="J8" s="23">
        <f>'Attainment Sheet Sessional'!$E230*'CO-PO Mapping'!J8/3</f>
        <v/>
      </c>
      <c r="K8" s="23">
        <f>'Attainment Sheet Sessional'!$E230*'CO-PO Mapping'!K8/3</f>
        <v/>
      </c>
      <c r="L8" s="23">
        <f>'Attainment Sheet Sessional'!$E230*'CO-PO Mapping'!L8/3</f>
        <v/>
      </c>
      <c r="M8" s="23">
        <f>'Attainment Sheet Sessional'!$E230*'CO-PO Mapping'!M8/3</f>
        <v/>
      </c>
      <c r="N8" s="23">
        <f>'Attainment Sheet Sessional'!$E230*'CO-PO Mapping'!N8/3</f>
        <v/>
      </c>
      <c r="O8" s="23">
        <f>'Attainment Sheet Sessional'!$E230*'CO-PO Mapping'!O8/3</f>
        <v/>
      </c>
      <c r="P8" s="23">
        <f>'Attainment Sheet Sessional'!$E230*'CO-PO Mapping'!P8/3</f>
        <v/>
      </c>
    </row>
    <row r="9" ht="19.5" customHeight="1" s="98">
      <c r="A9" s="12" t="inlineStr">
        <is>
          <t>CO23CS201.4</t>
        </is>
      </c>
      <c r="B9" s="23">
        <f>'Attainment Sheet Sessional'!E231*'CO-PO Mapping'!B9/3</f>
        <v/>
      </c>
      <c r="C9" s="23">
        <f>'Attainment Sheet Sessional'!E231*'CO-PO Mapping'!C9/3</f>
        <v/>
      </c>
      <c r="D9" s="23">
        <f>'Attainment Sheet Sessional'!$E231*'CO-PO Mapping'!D9/3</f>
        <v/>
      </c>
      <c r="E9" s="23">
        <f>'Attainment Sheet Sessional'!$E231*'CO-PO Mapping'!E9/3</f>
        <v/>
      </c>
      <c r="F9" s="23">
        <f>'Attainment Sheet Sessional'!$E231*'CO-PO Mapping'!F9/3</f>
        <v/>
      </c>
      <c r="G9" s="23">
        <f>'Attainment Sheet Sessional'!$E231*'CO-PO Mapping'!G9/3</f>
        <v/>
      </c>
      <c r="H9" s="23">
        <f>'Attainment Sheet Sessional'!$E231*'CO-PO Mapping'!H9/3</f>
        <v/>
      </c>
      <c r="I9" s="23">
        <f>'Attainment Sheet Sessional'!$E231*'CO-PO Mapping'!I9/3</f>
        <v/>
      </c>
      <c r="J9" s="23">
        <f>'Attainment Sheet Sessional'!$E231*'CO-PO Mapping'!J9/3</f>
        <v/>
      </c>
      <c r="K9" s="23">
        <f>'Attainment Sheet Sessional'!$E231*'CO-PO Mapping'!K9/3</f>
        <v/>
      </c>
      <c r="L9" s="23">
        <f>'Attainment Sheet Sessional'!$E231*'CO-PO Mapping'!L9/3</f>
        <v/>
      </c>
      <c r="M9" s="23">
        <f>'Attainment Sheet Sessional'!$E231*'CO-PO Mapping'!M9/3</f>
        <v/>
      </c>
      <c r="N9" s="23">
        <f>'Attainment Sheet Sessional'!$E231*'CO-PO Mapping'!N9/3</f>
        <v/>
      </c>
      <c r="O9" s="23">
        <f>'Attainment Sheet Sessional'!$E231*'CO-PO Mapping'!O9/3</f>
        <v/>
      </c>
      <c r="P9" s="23">
        <f>'Attainment Sheet Sessional'!$E231*'CO-PO Mapping'!P9/3</f>
        <v/>
      </c>
    </row>
    <row r="10" ht="19.5" customHeight="1" s="98">
      <c r="A10" s="12" t="inlineStr">
        <is>
          <t>CO23CS201.5</t>
        </is>
      </c>
      <c r="B10" s="23">
        <f>'Attainment Sheet Sessional'!E232*'CO-PO Mapping'!B10/3</f>
        <v/>
      </c>
      <c r="C10" s="23">
        <f>'Attainment Sheet Sessional'!E232*'CO-PO Mapping'!C10/3</f>
        <v/>
      </c>
      <c r="D10" s="23">
        <f>'Attainment Sheet Sessional'!$E232*'CO-PO Mapping'!D10/3</f>
        <v/>
      </c>
      <c r="E10" s="23">
        <f>'Attainment Sheet Sessional'!$E232*'CO-PO Mapping'!E10/3</f>
        <v/>
      </c>
      <c r="F10" s="23">
        <f>'Attainment Sheet Sessional'!$E232*'CO-PO Mapping'!F10/3</f>
        <v/>
      </c>
      <c r="G10" s="23">
        <f>'Attainment Sheet Sessional'!$E232*'CO-PO Mapping'!G10/3</f>
        <v/>
      </c>
      <c r="H10" s="23">
        <f>'Attainment Sheet Sessional'!$E232*'CO-PO Mapping'!H10/3</f>
        <v/>
      </c>
      <c r="I10" s="23">
        <f>'Attainment Sheet Sessional'!$E232*'CO-PO Mapping'!I10/3</f>
        <v/>
      </c>
      <c r="J10" s="23">
        <f>'Attainment Sheet Sessional'!$E232*'CO-PO Mapping'!J10/3</f>
        <v/>
      </c>
      <c r="K10" s="23">
        <f>'Attainment Sheet Sessional'!$E232*'CO-PO Mapping'!K10/3</f>
        <v/>
      </c>
      <c r="L10" s="23">
        <f>'Attainment Sheet Sessional'!$E232*'CO-PO Mapping'!L10/3</f>
        <v/>
      </c>
      <c r="M10" s="23">
        <f>'Attainment Sheet Sessional'!$E232*'CO-PO Mapping'!M10/3</f>
        <v/>
      </c>
      <c r="N10" s="23">
        <f>'Attainment Sheet Sessional'!$E232*'CO-PO Mapping'!N10/3</f>
        <v/>
      </c>
      <c r="O10" s="23">
        <f>'Attainment Sheet Sessional'!$E232*'CO-PO Mapping'!O10/3</f>
        <v/>
      </c>
      <c r="P10" s="23">
        <f>'Attainment Sheet Sessional'!$E232*'CO-PO Mapping'!P10/3</f>
        <v/>
      </c>
    </row>
    <row r="11" ht="19.5" customHeight="1" s="98">
      <c r="A11" s="12">
        <f>'CO-PO Mapping'!A11</f>
        <v/>
      </c>
      <c r="B11" s="23">
        <f>AVERAGE(B6:B10)</f>
        <v/>
      </c>
      <c r="C11" s="23">
        <f>AVERAGE(C6:C10)</f>
        <v/>
      </c>
      <c r="D11" s="23">
        <f>AVERAGE(D6:D10)</f>
        <v/>
      </c>
      <c r="E11" s="23">
        <f>AVERAGE(E6:E10)</f>
        <v/>
      </c>
      <c r="F11" s="23">
        <f>AVERAGE(F6:F10)</f>
        <v/>
      </c>
      <c r="G11" s="23">
        <f>AVERAGE(G6:G10)</f>
        <v/>
      </c>
      <c r="H11" s="23">
        <f>AVERAGE(H6:H10)</f>
        <v/>
      </c>
      <c r="I11" s="23">
        <f>AVERAGE(I6:I10)</f>
        <v/>
      </c>
      <c r="J11" s="23">
        <f>AVERAGE(J6:J10)</f>
        <v/>
      </c>
      <c r="K11" s="23">
        <f>AVERAGE(K6:K10)</f>
        <v/>
      </c>
      <c r="L11" s="23">
        <f>AVERAGE(L6:L10)</f>
        <v/>
      </c>
      <c r="M11" s="23">
        <f>AVERAGE(M6:M10)</f>
        <v/>
      </c>
      <c r="N11" s="23">
        <f>AVERAGE(N6:N10)</f>
        <v/>
      </c>
      <c r="O11" s="23">
        <f>AVERAGE(O6:O10)</f>
        <v/>
      </c>
      <c r="P11" s="23">
        <f>AVERAGE(P6:P10)</f>
        <v/>
      </c>
    </row>
    <row r="12" ht="39.75" customHeight="1" s="98">
      <c r="A12" s="33" t="inlineStr">
        <is>
          <t>Signature Subject Teacher</t>
        </is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6" t="n"/>
      <c r="N12" s="33" t="n"/>
      <c r="O12" s="125" t="n"/>
      <c r="P12" s="126" t="n"/>
    </row>
    <row r="16" ht="15.6" customHeight="1" s="98">
      <c r="F16" s="1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12:M12"/>
    <mergeCell ref="A4:P4"/>
    <mergeCell ref="A3:P3"/>
    <mergeCell ref="N12:P12"/>
    <mergeCell ref="A2:P2"/>
  </mergeCells>
  <pageMargins left="0.7" right="0.7" top="0.75" bottom="0.75" header="0" footer="0"/>
  <pageSetup orientation="landscape" scale="6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0"/>
  <sheetViews>
    <sheetView topLeftCell="A2" workbookViewId="0">
      <selection activeCell="L17" sqref="E17:L22"/>
    </sheetView>
  </sheetViews>
  <sheetFormatPr baseColWidth="8" defaultColWidth="12.59765625" defaultRowHeight="15" customHeight="1"/>
  <cols>
    <col width="10.89843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Course to PO &amp; PSO Attainment From All Tools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19.5" customHeight="1" s="98">
      <c r="A6" s="15" t="inlineStr">
        <is>
          <t>CO12FY201</t>
        </is>
      </c>
      <c r="B6" s="58">
        <f>AVERAGE('Attainment Tool 1 C to PO'!B6,'Attainment CO to PO Sessional'!B11)</f>
        <v/>
      </c>
      <c r="C6" s="58">
        <f>AVERAGE('Attainment Tool 1 C to PO'!C6,'Attainment CO to PO Sessional'!C11)</f>
        <v/>
      </c>
      <c r="D6" s="58">
        <f>AVERAGE('Attainment Tool 1 C to PO'!D6,'Attainment CO to PO Sessional'!D11)</f>
        <v/>
      </c>
      <c r="E6" s="58">
        <f>AVERAGE('Attainment Tool 1 C to PO'!E6,'Attainment CO to PO Sessional'!E11)</f>
        <v/>
      </c>
      <c r="F6" s="58">
        <f>AVERAGE('Attainment Tool 1 C to PO'!F6,'Attainment CO to PO Sessional'!F11)</f>
        <v/>
      </c>
      <c r="G6" s="58">
        <f>AVERAGE('Attainment Tool 1 C to PO'!G6,'Attainment CO to PO Sessional'!G11)</f>
        <v/>
      </c>
      <c r="H6" s="58">
        <f>AVERAGE('Attainment Tool 1 C to PO'!H6,'Attainment CO to PO Sessional'!H11)</f>
        <v/>
      </c>
      <c r="I6" s="58">
        <f>AVERAGE('Attainment Tool 1 C to PO'!I6,'Attainment CO to PO Sessional'!I11)</f>
        <v/>
      </c>
      <c r="J6" s="58">
        <f>AVERAGE('Attainment Tool 1 C to PO'!J6,'Attainment CO to PO Sessional'!J11)</f>
        <v/>
      </c>
      <c r="K6" s="58">
        <f>AVERAGE('Attainment Tool 1 C to PO'!K6,'Attainment CO to PO Sessional'!K11)</f>
        <v/>
      </c>
      <c r="L6" s="58">
        <f>AVERAGE('Attainment Tool 1 C to PO'!L6,'Attainment CO to PO Sessional'!L11)</f>
        <v/>
      </c>
      <c r="M6" s="58">
        <f>AVERAGE('Attainment Tool 1 C to PO'!M6,'Attainment CO to PO Sessional'!M11)</f>
        <v/>
      </c>
      <c r="N6" s="58">
        <f>AVERAGE('Attainment Tool 1 C to PO'!N6,'Attainment CO to PO Sessional'!N11)</f>
        <v/>
      </c>
      <c r="O6" s="58">
        <f>AVERAGE('Attainment Tool 1 C to PO'!O6,'Attainment CO to PO Sessional'!O11)</f>
        <v/>
      </c>
      <c r="P6" s="58">
        <f>AVERAGE('Attainment Tool 1 C to PO'!P6,'Attainment CO to PO Sessional'!P11)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98">
      <c r="A7" s="12" t="inlineStr">
        <is>
          <t>CO12FY201
(Round Off)</t>
        </is>
      </c>
      <c r="B7" s="58">
        <f>ROUND(B6,0)</f>
        <v/>
      </c>
      <c r="C7" s="58">
        <f>ROUND(C6,0)</f>
        <v/>
      </c>
      <c r="D7" s="58">
        <f>ROUND(D6,0)</f>
        <v/>
      </c>
      <c r="E7" s="58">
        <f>ROUND(E6,0)</f>
        <v/>
      </c>
      <c r="F7" s="58">
        <f>ROUND(F6,0)</f>
        <v/>
      </c>
      <c r="G7" s="58">
        <f>ROUND(G6,0)</f>
        <v/>
      </c>
      <c r="H7" s="58">
        <f>ROUND(H6,0)</f>
        <v/>
      </c>
      <c r="I7" s="58">
        <f>ROUND(I6,0)</f>
        <v/>
      </c>
      <c r="J7" s="58">
        <f>ROUND(J6,0)</f>
        <v/>
      </c>
      <c r="K7" s="58">
        <f>ROUND(K6,0)</f>
        <v/>
      </c>
      <c r="L7" s="58">
        <f>ROUND(L6,0)</f>
        <v/>
      </c>
      <c r="M7" s="58">
        <f>ROUND(M6,0)</f>
        <v/>
      </c>
      <c r="N7" s="58">
        <f>ROUND(N6,0)</f>
        <v/>
      </c>
      <c r="O7" s="58">
        <f>ROUND(O6,0)</f>
        <v/>
      </c>
      <c r="P7" s="58">
        <f>ROUND(P6,0)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.75" customHeight="1" s="98">
      <c r="A8" s="33" t="inlineStr">
        <is>
          <t>Signature Subject Teacher</t>
        </is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6" t="n"/>
      <c r="N8" s="33" t="n"/>
      <c r="O8" s="125" t="n"/>
      <c r="P8" s="126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9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98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98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98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8:M8"/>
    <mergeCell ref="A4:P4"/>
    <mergeCell ref="N8:P8"/>
    <mergeCell ref="A3:P3"/>
    <mergeCell ref="A2:P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Shruti Jain</dc:creator>
  <dcterms:created xsi:type="dcterms:W3CDTF">2018-02-21T04:44:08Z</dcterms:created>
  <dcterms:modified xsi:type="dcterms:W3CDTF">2026-07-08T10:26:19Z</dcterms:modified>
  <cp:lastModifiedBy>Kalpana Fatawat</cp:lastModifiedBy>
</cp:coreProperties>
</file>
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AttainmentTool\templates\"/>
    </mc:Choice>
  </mc:AlternateContent>
  <xr:revisionPtr revIDLastSave="0" documentId="13_ncr:1_{7FFBCDCF-E11E-43F7-92C8-77471C990E40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CO-PO Mapping" sheetId="1" r:id="rId1"/>
    <sheet name="Sessional + End Term Assessment" sheetId="2" r:id="rId2"/>
    <sheet name="Attainment of Subject Code" sheetId="3" r:id="rId3"/>
    <sheet name="Attainment Tool 1 C to PO" sheetId="4" r:id="rId4"/>
    <sheet name="MID Term 1" sheetId="5" r:id="rId5"/>
    <sheet name="REMIDAL 1" sheetId="6" r:id="rId6"/>
    <sheet name="MID Term 2" sheetId="7" r:id="rId7"/>
    <sheet name="REMIDAL 2" sheetId="8" r:id="rId8"/>
    <sheet name="Attainment Sheet Sessional" sheetId="9" r:id="rId9"/>
    <sheet name="Attainment CO to PO Sessional" sheetId="10" r:id="rId10"/>
    <sheet name="Attainment Tool C to PO FINAL" sheetId="11" r:id="rId11"/>
  </sheets>
  <definedNames>
    <definedName name="_xlnm._FilterDatabase" localSheetId="5" hidden="1">'REMIDAL 1'!$E$1:$E$32</definedName>
    <definedName name="_xlnm._FilterDatabase" localSheetId="7" hidden="1">'REMIDAL 2'!$A$2:$E$32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0" i="9" l="1"/>
  <c r="L70" i="9"/>
  <c r="K70" i="9"/>
  <c r="J70" i="9"/>
  <c r="I70" i="9"/>
  <c r="A68" i="9"/>
  <c r="B68" i="9"/>
  <c r="C68" i="9"/>
  <c r="D68" i="9"/>
  <c r="I68" i="9" s="1"/>
  <c r="E68" i="9"/>
  <c r="J68" i="9" s="1"/>
  <c r="F68" i="9"/>
  <c r="K68" i="9" s="1"/>
  <c r="G68" i="9"/>
  <c r="L68" i="9" s="1"/>
  <c r="H68" i="9"/>
  <c r="M68" i="9"/>
  <c r="A69" i="9"/>
  <c r="B69" i="9"/>
  <c r="C69" i="9"/>
  <c r="D69" i="9"/>
  <c r="I69" i="9" s="1"/>
  <c r="E69" i="9"/>
  <c r="J69" i="9" s="1"/>
  <c r="F69" i="9"/>
  <c r="K69" i="9" s="1"/>
  <c r="G69" i="9"/>
  <c r="L69" i="9" s="1"/>
  <c r="H69" i="9"/>
  <c r="M69" i="9" s="1"/>
  <c r="N69" i="9"/>
  <c r="O69" i="9"/>
  <c r="A40" i="9"/>
  <c r="B40" i="9"/>
  <c r="C40" i="9"/>
  <c r="D40" i="9"/>
  <c r="E40" i="9"/>
  <c r="F40" i="9"/>
  <c r="G40" i="9"/>
  <c r="H40" i="9"/>
  <c r="A41" i="9"/>
  <c r="B41" i="9"/>
  <c r="C41" i="9"/>
  <c r="D41" i="9"/>
  <c r="E41" i="9"/>
  <c r="F41" i="9"/>
  <c r="G41" i="9"/>
  <c r="H41" i="9"/>
  <c r="A42" i="9"/>
  <c r="B42" i="9"/>
  <c r="C42" i="9"/>
  <c r="D42" i="9"/>
  <c r="E42" i="9"/>
  <c r="F42" i="9"/>
  <c r="G42" i="9"/>
  <c r="H42" i="9"/>
  <c r="A43" i="9"/>
  <c r="B43" i="9"/>
  <c r="C43" i="9"/>
  <c r="D43" i="9"/>
  <c r="E43" i="9"/>
  <c r="F43" i="9"/>
  <c r="G43" i="9"/>
  <c r="H43" i="9"/>
  <c r="A44" i="9"/>
  <c r="B44" i="9"/>
  <c r="C44" i="9"/>
  <c r="D44" i="9"/>
  <c r="E44" i="9"/>
  <c r="F44" i="9"/>
  <c r="G44" i="9"/>
  <c r="H44" i="9"/>
  <c r="A45" i="9"/>
  <c r="B45" i="9"/>
  <c r="C45" i="9"/>
  <c r="D45" i="9"/>
  <c r="E45" i="9"/>
  <c r="F45" i="9"/>
  <c r="G45" i="9"/>
  <c r="H45" i="9"/>
  <c r="A46" i="9"/>
  <c r="B46" i="9"/>
  <c r="C46" i="9"/>
  <c r="D46" i="9"/>
  <c r="E46" i="9"/>
  <c r="F46" i="9"/>
  <c r="G46" i="9"/>
  <c r="H46" i="9"/>
  <c r="A47" i="9"/>
  <c r="B47" i="9"/>
  <c r="C47" i="9"/>
  <c r="D47" i="9"/>
  <c r="E47" i="9"/>
  <c r="F47" i="9"/>
  <c r="G47" i="9"/>
  <c r="H47" i="9"/>
  <c r="A48" i="9"/>
  <c r="B48" i="9"/>
  <c r="C48" i="9"/>
  <c r="D48" i="9"/>
  <c r="E48" i="9"/>
  <c r="F48" i="9"/>
  <c r="G48" i="9"/>
  <c r="H48" i="9"/>
  <c r="A49" i="9"/>
  <c r="B49" i="9"/>
  <c r="C49" i="9"/>
  <c r="D49" i="9"/>
  <c r="E49" i="9"/>
  <c r="F49" i="9"/>
  <c r="G49" i="9"/>
  <c r="H49" i="9"/>
  <c r="A50" i="9"/>
  <c r="B50" i="9"/>
  <c r="C50" i="9"/>
  <c r="D50" i="9"/>
  <c r="E50" i="9"/>
  <c r="F50" i="9"/>
  <c r="G50" i="9"/>
  <c r="H50" i="9"/>
  <c r="A51" i="9"/>
  <c r="B51" i="9"/>
  <c r="C51" i="9"/>
  <c r="D51" i="9"/>
  <c r="E51" i="9"/>
  <c r="F51" i="9"/>
  <c r="G51" i="9"/>
  <c r="H51" i="9"/>
  <c r="A52" i="9"/>
  <c r="B52" i="9"/>
  <c r="C52" i="9"/>
  <c r="D52" i="9"/>
  <c r="E52" i="9"/>
  <c r="F52" i="9"/>
  <c r="G52" i="9"/>
  <c r="H52" i="9"/>
  <c r="A53" i="9"/>
  <c r="B53" i="9"/>
  <c r="C53" i="9"/>
  <c r="D53" i="9"/>
  <c r="E53" i="9"/>
  <c r="F53" i="9"/>
  <c r="G53" i="9"/>
  <c r="H53" i="9"/>
  <c r="A54" i="9"/>
  <c r="B54" i="9"/>
  <c r="C54" i="9"/>
  <c r="D54" i="9"/>
  <c r="E54" i="9"/>
  <c r="F54" i="9"/>
  <c r="G54" i="9"/>
  <c r="H54" i="9"/>
  <c r="A55" i="9"/>
  <c r="B55" i="9"/>
  <c r="C55" i="9"/>
  <c r="D55" i="9"/>
  <c r="N55" i="9" s="1"/>
  <c r="O55" i="9" s="1"/>
  <c r="E55" i="9"/>
  <c r="F55" i="9"/>
  <c r="G55" i="9"/>
  <c r="H55" i="9"/>
  <c r="A56" i="9"/>
  <c r="B56" i="9"/>
  <c r="C56" i="9"/>
  <c r="D56" i="9"/>
  <c r="E56" i="9"/>
  <c r="F56" i="9"/>
  <c r="G56" i="9"/>
  <c r="H56" i="9"/>
  <c r="A57" i="9"/>
  <c r="B57" i="9"/>
  <c r="C57" i="9"/>
  <c r="D57" i="9"/>
  <c r="E57" i="9"/>
  <c r="F57" i="9"/>
  <c r="G57" i="9"/>
  <c r="H57" i="9"/>
  <c r="A58" i="9"/>
  <c r="B58" i="9"/>
  <c r="C58" i="9"/>
  <c r="D58" i="9"/>
  <c r="E58" i="9"/>
  <c r="F58" i="9"/>
  <c r="G58" i="9"/>
  <c r="H58" i="9"/>
  <c r="A59" i="9"/>
  <c r="B59" i="9"/>
  <c r="C59" i="9"/>
  <c r="D59" i="9"/>
  <c r="E59" i="9"/>
  <c r="F59" i="9"/>
  <c r="G59" i="9"/>
  <c r="H59" i="9"/>
  <c r="A60" i="9"/>
  <c r="B60" i="9"/>
  <c r="C60" i="9"/>
  <c r="D60" i="9"/>
  <c r="E60" i="9"/>
  <c r="F60" i="9"/>
  <c r="G60" i="9"/>
  <c r="H60" i="9"/>
  <c r="A61" i="9"/>
  <c r="B61" i="9"/>
  <c r="C61" i="9"/>
  <c r="D61" i="9"/>
  <c r="E61" i="9"/>
  <c r="F61" i="9"/>
  <c r="G61" i="9"/>
  <c r="H61" i="9"/>
  <c r="A62" i="9"/>
  <c r="B62" i="9"/>
  <c r="C62" i="9"/>
  <c r="D62" i="9"/>
  <c r="E62" i="9"/>
  <c r="F62" i="9"/>
  <c r="G62" i="9"/>
  <c r="H62" i="9"/>
  <c r="A63" i="9"/>
  <c r="B63" i="9"/>
  <c r="C63" i="9"/>
  <c r="D63" i="9"/>
  <c r="E63" i="9"/>
  <c r="F63" i="9"/>
  <c r="G63" i="9"/>
  <c r="H63" i="9"/>
  <c r="A64" i="9"/>
  <c r="B64" i="9"/>
  <c r="C64" i="9"/>
  <c r="D64" i="9"/>
  <c r="E64" i="9"/>
  <c r="F64" i="9"/>
  <c r="G64" i="9"/>
  <c r="H64" i="9"/>
  <c r="A65" i="9"/>
  <c r="B65" i="9"/>
  <c r="C65" i="9"/>
  <c r="D65" i="9"/>
  <c r="E65" i="9"/>
  <c r="F65" i="9"/>
  <c r="G65" i="9"/>
  <c r="H65" i="9"/>
  <c r="A66" i="9"/>
  <c r="B66" i="9"/>
  <c r="C66" i="9"/>
  <c r="D66" i="9"/>
  <c r="E66" i="9"/>
  <c r="F66" i="9"/>
  <c r="G66" i="9"/>
  <c r="H66" i="9"/>
  <c r="A67" i="9"/>
  <c r="B67" i="9"/>
  <c r="C67" i="9"/>
  <c r="D67" i="9"/>
  <c r="E67" i="9"/>
  <c r="F67" i="9"/>
  <c r="G67" i="9"/>
  <c r="H67" i="9"/>
  <c r="A33" i="8"/>
  <c r="B33" i="8"/>
  <c r="C33" i="8"/>
  <c r="D33" i="8"/>
  <c r="E33" i="8"/>
  <c r="A34" i="8"/>
  <c r="B34" i="8"/>
  <c r="C34" i="8"/>
  <c r="D34" i="8"/>
  <c r="E34" i="8"/>
  <c r="A35" i="8"/>
  <c r="B35" i="8"/>
  <c r="C35" i="8"/>
  <c r="D35" i="8"/>
  <c r="E35" i="8"/>
  <c r="A36" i="8"/>
  <c r="B36" i="8"/>
  <c r="C36" i="8"/>
  <c r="D36" i="8"/>
  <c r="E36" i="8"/>
  <c r="A37" i="8"/>
  <c r="B37" i="8"/>
  <c r="C37" i="8"/>
  <c r="D37" i="8"/>
  <c r="E37" i="8"/>
  <c r="A38" i="8"/>
  <c r="B38" i="8"/>
  <c r="C38" i="8"/>
  <c r="D38" i="8"/>
  <c r="E38" i="8"/>
  <c r="A39" i="8"/>
  <c r="B39" i="8"/>
  <c r="C39" i="8"/>
  <c r="D39" i="8"/>
  <c r="E39" i="8"/>
  <c r="A40" i="8"/>
  <c r="B40" i="8"/>
  <c r="C40" i="8"/>
  <c r="D40" i="8"/>
  <c r="E40" i="8" s="1"/>
  <c r="A41" i="8"/>
  <c r="B41" i="8"/>
  <c r="C41" i="8"/>
  <c r="D41" i="8"/>
  <c r="E41" i="8"/>
  <c r="A42" i="8"/>
  <c r="B42" i="8"/>
  <c r="C42" i="8"/>
  <c r="D42" i="8"/>
  <c r="E42" i="8" s="1"/>
  <c r="A43" i="8"/>
  <c r="B43" i="8"/>
  <c r="C43" i="8"/>
  <c r="D43" i="8"/>
  <c r="E43" i="8"/>
  <c r="A44" i="8"/>
  <c r="B44" i="8"/>
  <c r="C44" i="8"/>
  <c r="D44" i="8"/>
  <c r="E44" i="8"/>
  <c r="A45" i="8"/>
  <c r="B45" i="8"/>
  <c r="C45" i="8"/>
  <c r="D45" i="8"/>
  <c r="E45" i="8" s="1"/>
  <c r="A46" i="8"/>
  <c r="B46" i="8"/>
  <c r="C46" i="8"/>
  <c r="D46" i="8"/>
  <c r="E46" i="8"/>
  <c r="A47" i="8"/>
  <c r="B47" i="8"/>
  <c r="C47" i="8"/>
  <c r="D47" i="8"/>
  <c r="E47" i="8" s="1"/>
  <c r="A48" i="8"/>
  <c r="B48" i="8"/>
  <c r="C48" i="8"/>
  <c r="D48" i="8"/>
  <c r="E48" i="8"/>
  <c r="A49" i="8"/>
  <c r="B49" i="8"/>
  <c r="C49" i="8"/>
  <c r="D49" i="8"/>
  <c r="E49" i="8"/>
  <c r="A50" i="8"/>
  <c r="B50" i="8"/>
  <c r="C50" i="8"/>
  <c r="D50" i="8"/>
  <c r="E50" i="8"/>
  <c r="A51" i="8"/>
  <c r="B51" i="8"/>
  <c r="C51" i="8"/>
  <c r="D51" i="8"/>
  <c r="E51" i="8"/>
  <c r="A52" i="8"/>
  <c r="B52" i="8"/>
  <c r="C52" i="8"/>
  <c r="D52" i="8"/>
  <c r="E52" i="8" s="1"/>
  <c r="A53" i="8"/>
  <c r="B53" i="8"/>
  <c r="C53" i="8"/>
  <c r="D53" i="8"/>
  <c r="E53" i="8"/>
  <c r="A54" i="8"/>
  <c r="B54" i="8"/>
  <c r="C54" i="8"/>
  <c r="D54" i="8"/>
  <c r="E54" i="8"/>
  <c r="A55" i="8"/>
  <c r="B55" i="8"/>
  <c r="C55" i="8"/>
  <c r="D55" i="8"/>
  <c r="E55" i="8"/>
  <c r="A56" i="8"/>
  <c r="B56" i="8"/>
  <c r="C56" i="8"/>
  <c r="D56" i="8"/>
  <c r="E56" i="8" s="1"/>
  <c r="A57" i="8"/>
  <c r="B57" i="8"/>
  <c r="C57" i="8"/>
  <c r="D57" i="8"/>
  <c r="E57" i="8"/>
  <c r="A58" i="8"/>
  <c r="B58" i="8"/>
  <c r="C58" i="8"/>
  <c r="D58" i="8"/>
  <c r="E58" i="8" s="1"/>
  <c r="A59" i="8"/>
  <c r="B59" i="8"/>
  <c r="C59" i="8"/>
  <c r="D59" i="8"/>
  <c r="E59" i="8"/>
  <c r="A60" i="8"/>
  <c r="B60" i="8"/>
  <c r="C60" i="8"/>
  <c r="D60" i="8"/>
  <c r="E60" i="8"/>
  <c r="A61" i="8"/>
  <c r="B61" i="8"/>
  <c r="C61" i="8"/>
  <c r="D61" i="8"/>
  <c r="E61" i="8" s="1"/>
  <c r="A62" i="8"/>
  <c r="B62" i="8"/>
  <c r="C62" i="8"/>
  <c r="D62" i="8"/>
  <c r="E62" i="8"/>
  <c r="A65" i="7"/>
  <c r="B65" i="7"/>
  <c r="C65" i="7"/>
  <c r="G65" i="7"/>
  <c r="H65" i="7"/>
  <c r="I65" i="7"/>
  <c r="K65" i="7"/>
  <c r="L65" i="7"/>
  <c r="M65" i="7"/>
  <c r="O65" i="7"/>
  <c r="P65" i="7"/>
  <c r="Q65" i="7"/>
  <c r="A66" i="7"/>
  <c r="B66" i="7"/>
  <c r="C66" i="7"/>
  <c r="G66" i="7"/>
  <c r="H66" i="7"/>
  <c r="I66" i="7"/>
  <c r="K66" i="7"/>
  <c r="L66" i="7"/>
  <c r="M66" i="7"/>
  <c r="O66" i="7"/>
  <c r="P66" i="7"/>
  <c r="Q66" i="7"/>
  <c r="A37" i="7"/>
  <c r="B37" i="7"/>
  <c r="C37" i="7"/>
  <c r="G37" i="7"/>
  <c r="H37" i="7"/>
  <c r="I37" i="7"/>
  <c r="K37" i="7"/>
  <c r="L37" i="7"/>
  <c r="M37" i="7"/>
  <c r="O37" i="7"/>
  <c r="P37" i="7"/>
  <c r="Q37" i="7"/>
  <c r="A38" i="7"/>
  <c r="B38" i="7"/>
  <c r="C38" i="7"/>
  <c r="G38" i="7"/>
  <c r="H38" i="7"/>
  <c r="I38" i="7"/>
  <c r="K38" i="7"/>
  <c r="L38" i="7"/>
  <c r="M38" i="7"/>
  <c r="O38" i="7"/>
  <c r="P38" i="7"/>
  <c r="Q38" i="7"/>
  <c r="A39" i="7"/>
  <c r="B39" i="7"/>
  <c r="C39" i="7"/>
  <c r="G39" i="7"/>
  <c r="H39" i="7"/>
  <c r="I39" i="7"/>
  <c r="K39" i="7"/>
  <c r="L39" i="7"/>
  <c r="M39" i="7"/>
  <c r="O39" i="7"/>
  <c r="P39" i="7"/>
  <c r="Q39" i="7"/>
  <c r="A40" i="7"/>
  <c r="B40" i="7"/>
  <c r="C40" i="7"/>
  <c r="G40" i="7"/>
  <c r="H40" i="7"/>
  <c r="I40" i="7"/>
  <c r="K40" i="7"/>
  <c r="L40" i="7"/>
  <c r="M40" i="7"/>
  <c r="O40" i="7"/>
  <c r="P40" i="7"/>
  <c r="Q40" i="7"/>
  <c r="A41" i="7"/>
  <c r="B41" i="7"/>
  <c r="C41" i="7"/>
  <c r="G41" i="7"/>
  <c r="H41" i="7"/>
  <c r="I41" i="7"/>
  <c r="K41" i="7"/>
  <c r="L41" i="7"/>
  <c r="M41" i="7"/>
  <c r="O41" i="7"/>
  <c r="P41" i="7"/>
  <c r="Q41" i="7"/>
  <c r="A42" i="7"/>
  <c r="B42" i="7"/>
  <c r="C42" i="7"/>
  <c r="G42" i="7"/>
  <c r="H42" i="7"/>
  <c r="I42" i="7"/>
  <c r="K42" i="7"/>
  <c r="L42" i="7"/>
  <c r="M42" i="7"/>
  <c r="O42" i="7"/>
  <c r="P42" i="7"/>
  <c r="Q42" i="7"/>
  <c r="A43" i="7"/>
  <c r="B43" i="7"/>
  <c r="C43" i="7"/>
  <c r="G43" i="7"/>
  <c r="H43" i="7"/>
  <c r="I43" i="7"/>
  <c r="K43" i="7"/>
  <c r="L43" i="7"/>
  <c r="M43" i="7"/>
  <c r="O43" i="7"/>
  <c r="P43" i="7"/>
  <c r="Q43" i="7"/>
  <c r="A44" i="7"/>
  <c r="B44" i="7"/>
  <c r="C44" i="7"/>
  <c r="G44" i="7"/>
  <c r="H44" i="7"/>
  <c r="I44" i="7"/>
  <c r="K44" i="7"/>
  <c r="L44" i="7"/>
  <c r="M44" i="7"/>
  <c r="O44" i="7"/>
  <c r="P44" i="7"/>
  <c r="Q44" i="7"/>
  <c r="A45" i="7"/>
  <c r="B45" i="7"/>
  <c r="C45" i="7"/>
  <c r="G45" i="7"/>
  <c r="H45" i="7"/>
  <c r="I45" i="7"/>
  <c r="K45" i="7"/>
  <c r="L45" i="7"/>
  <c r="M45" i="7"/>
  <c r="O45" i="7"/>
  <c r="P45" i="7"/>
  <c r="Q45" i="7"/>
  <c r="A46" i="7"/>
  <c r="B46" i="7"/>
  <c r="C46" i="7"/>
  <c r="G46" i="7"/>
  <c r="H46" i="7"/>
  <c r="I46" i="7"/>
  <c r="K46" i="7"/>
  <c r="L46" i="7"/>
  <c r="M46" i="7"/>
  <c r="O46" i="7"/>
  <c r="P46" i="7"/>
  <c r="Q46" i="7"/>
  <c r="A47" i="7"/>
  <c r="B47" i="7"/>
  <c r="C47" i="7"/>
  <c r="G47" i="7"/>
  <c r="H47" i="7"/>
  <c r="I47" i="7"/>
  <c r="K47" i="7"/>
  <c r="L47" i="7"/>
  <c r="M47" i="7"/>
  <c r="O47" i="7"/>
  <c r="P47" i="7"/>
  <c r="Q47" i="7"/>
  <c r="A48" i="7"/>
  <c r="B48" i="7"/>
  <c r="C48" i="7"/>
  <c r="G48" i="7"/>
  <c r="H48" i="7"/>
  <c r="I48" i="7"/>
  <c r="K48" i="7"/>
  <c r="L48" i="7"/>
  <c r="M48" i="7"/>
  <c r="O48" i="7"/>
  <c r="P48" i="7"/>
  <c r="Q48" i="7"/>
  <c r="A49" i="7"/>
  <c r="B49" i="7"/>
  <c r="C49" i="7"/>
  <c r="G49" i="7"/>
  <c r="H49" i="7"/>
  <c r="I49" i="7"/>
  <c r="K49" i="7"/>
  <c r="L49" i="7"/>
  <c r="M49" i="7"/>
  <c r="O49" i="7"/>
  <c r="P49" i="7"/>
  <c r="Q49" i="7"/>
  <c r="A50" i="7"/>
  <c r="B50" i="7"/>
  <c r="C50" i="7"/>
  <c r="G50" i="7"/>
  <c r="H50" i="7"/>
  <c r="I50" i="7"/>
  <c r="K50" i="7"/>
  <c r="L50" i="7"/>
  <c r="M50" i="7"/>
  <c r="O50" i="7"/>
  <c r="P50" i="7"/>
  <c r="Q50" i="7"/>
  <c r="A51" i="7"/>
  <c r="B51" i="7"/>
  <c r="C51" i="7"/>
  <c r="G51" i="7"/>
  <c r="H51" i="7"/>
  <c r="I51" i="7"/>
  <c r="K51" i="7"/>
  <c r="L51" i="7"/>
  <c r="M51" i="7"/>
  <c r="O51" i="7"/>
  <c r="P51" i="7"/>
  <c r="Q51" i="7"/>
  <c r="A52" i="7"/>
  <c r="B52" i="7"/>
  <c r="C52" i="7"/>
  <c r="G52" i="7"/>
  <c r="H52" i="7"/>
  <c r="I52" i="7"/>
  <c r="K52" i="7"/>
  <c r="L52" i="7"/>
  <c r="M52" i="7"/>
  <c r="O52" i="7"/>
  <c r="P52" i="7"/>
  <c r="Q52" i="7"/>
  <c r="A53" i="7"/>
  <c r="B53" i="7"/>
  <c r="C53" i="7"/>
  <c r="G53" i="7"/>
  <c r="H53" i="7"/>
  <c r="I53" i="7"/>
  <c r="K53" i="7"/>
  <c r="L53" i="7"/>
  <c r="M53" i="7"/>
  <c r="O53" i="7"/>
  <c r="P53" i="7"/>
  <c r="Q53" i="7"/>
  <c r="A54" i="7"/>
  <c r="B54" i="7"/>
  <c r="C54" i="7"/>
  <c r="G54" i="7"/>
  <c r="H54" i="7"/>
  <c r="I54" i="7"/>
  <c r="K54" i="7"/>
  <c r="L54" i="7"/>
  <c r="M54" i="7"/>
  <c r="O54" i="7"/>
  <c r="P54" i="7"/>
  <c r="Q54" i="7"/>
  <c r="A55" i="7"/>
  <c r="B55" i="7"/>
  <c r="C55" i="7"/>
  <c r="G55" i="7"/>
  <c r="H55" i="7"/>
  <c r="I55" i="7"/>
  <c r="K55" i="7"/>
  <c r="L55" i="7"/>
  <c r="M55" i="7"/>
  <c r="O55" i="7"/>
  <c r="P55" i="7"/>
  <c r="Q55" i="7"/>
  <c r="A56" i="7"/>
  <c r="B56" i="7"/>
  <c r="C56" i="7"/>
  <c r="G56" i="7"/>
  <c r="H56" i="7"/>
  <c r="I56" i="7"/>
  <c r="K56" i="7"/>
  <c r="L56" i="7"/>
  <c r="M56" i="7"/>
  <c r="O56" i="7"/>
  <c r="P56" i="7"/>
  <c r="Q56" i="7"/>
  <c r="A57" i="7"/>
  <c r="B57" i="7"/>
  <c r="C57" i="7"/>
  <c r="G57" i="7"/>
  <c r="H57" i="7"/>
  <c r="I57" i="7"/>
  <c r="K57" i="7"/>
  <c r="L57" i="7"/>
  <c r="M57" i="7"/>
  <c r="O57" i="7"/>
  <c r="P57" i="7"/>
  <c r="Q57" i="7"/>
  <c r="A58" i="7"/>
  <c r="B58" i="7"/>
  <c r="C58" i="7"/>
  <c r="G58" i="7"/>
  <c r="H58" i="7"/>
  <c r="I58" i="7"/>
  <c r="K58" i="7"/>
  <c r="L58" i="7"/>
  <c r="M58" i="7"/>
  <c r="O58" i="7"/>
  <c r="P58" i="7"/>
  <c r="Q58" i="7"/>
  <c r="A59" i="7"/>
  <c r="B59" i="7"/>
  <c r="C59" i="7"/>
  <c r="G59" i="7"/>
  <c r="H59" i="7"/>
  <c r="I59" i="7"/>
  <c r="K59" i="7"/>
  <c r="L59" i="7"/>
  <c r="M59" i="7"/>
  <c r="O59" i="7"/>
  <c r="P59" i="7"/>
  <c r="Q59" i="7"/>
  <c r="A60" i="7"/>
  <c r="B60" i="7"/>
  <c r="C60" i="7"/>
  <c r="G60" i="7"/>
  <c r="H60" i="7"/>
  <c r="I60" i="7"/>
  <c r="K60" i="7"/>
  <c r="L60" i="7"/>
  <c r="M60" i="7"/>
  <c r="O60" i="7"/>
  <c r="P60" i="7"/>
  <c r="Q60" i="7"/>
  <c r="A61" i="7"/>
  <c r="B61" i="7"/>
  <c r="C61" i="7"/>
  <c r="G61" i="7"/>
  <c r="H61" i="7"/>
  <c r="I61" i="7"/>
  <c r="K61" i="7"/>
  <c r="L61" i="7"/>
  <c r="M61" i="7"/>
  <c r="O61" i="7"/>
  <c r="P61" i="7"/>
  <c r="Q61" i="7"/>
  <c r="A62" i="7"/>
  <c r="B62" i="7"/>
  <c r="C62" i="7"/>
  <c r="G62" i="7"/>
  <c r="H62" i="7"/>
  <c r="I62" i="7"/>
  <c r="K62" i="7"/>
  <c r="L62" i="7"/>
  <c r="M62" i="7"/>
  <c r="O62" i="7"/>
  <c r="P62" i="7"/>
  <c r="Q62" i="7"/>
  <c r="A63" i="7"/>
  <c r="B63" i="7"/>
  <c r="C63" i="7"/>
  <c r="G63" i="7"/>
  <c r="H63" i="7"/>
  <c r="I63" i="7"/>
  <c r="K63" i="7"/>
  <c r="L63" i="7"/>
  <c r="M63" i="7"/>
  <c r="O63" i="7"/>
  <c r="P63" i="7"/>
  <c r="Q63" i="7"/>
  <c r="A64" i="7"/>
  <c r="B64" i="7"/>
  <c r="C64" i="7"/>
  <c r="G64" i="7"/>
  <c r="H64" i="7"/>
  <c r="I64" i="7"/>
  <c r="K64" i="7"/>
  <c r="L64" i="7"/>
  <c r="M64" i="7"/>
  <c r="O64" i="7"/>
  <c r="P64" i="7"/>
  <c r="Q64" i="7"/>
  <c r="A33" i="6"/>
  <c r="B33" i="6"/>
  <c r="C33" i="6"/>
  <c r="D33" i="6"/>
  <c r="E33" i="6"/>
  <c r="A34" i="6"/>
  <c r="B34" i="6"/>
  <c r="C34" i="6"/>
  <c r="D34" i="6"/>
  <c r="E34" i="6"/>
  <c r="A35" i="6"/>
  <c r="B35" i="6"/>
  <c r="C35" i="6"/>
  <c r="D35" i="6"/>
  <c r="E35" i="6"/>
  <c r="A36" i="6"/>
  <c r="B36" i="6"/>
  <c r="C36" i="6"/>
  <c r="D36" i="6"/>
  <c r="E36" i="6"/>
  <c r="A37" i="6"/>
  <c r="B37" i="6"/>
  <c r="C37" i="6"/>
  <c r="D37" i="6"/>
  <c r="E37" i="6"/>
  <c r="A38" i="6"/>
  <c r="B38" i="6"/>
  <c r="C38" i="6"/>
  <c r="D38" i="6"/>
  <c r="E38" i="6"/>
  <c r="A39" i="6"/>
  <c r="B39" i="6"/>
  <c r="C39" i="6"/>
  <c r="D39" i="6"/>
  <c r="E39" i="6"/>
  <c r="A40" i="6"/>
  <c r="B40" i="6"/>
  <c r="C40" i="6"/>
  <c r="D40" i="6"/>
  <c r="E40" i="6" s="1"/>
  <c r="A41" i="6"/>
  <c r="B41" i="6"/>
  <c r="C41" i="6"/>
  <c r="D41" i="6"/>
  <c r="E41" i="6"/>
  <c r="A42" i="6"/>
  <c r="B42" i="6"/>
  <c r="C42" i="6"/>
  <c r="D42" i="6"/>
  <c r="E42" i="6" s="1"/>
  <c r="A43" i="6"/>
  <c r="B43" i="6"/>
  <c r="C43" i="6"/>
  <c r="D43" i="6"/>
  <c r="E43" i="6"/>
  <c r="A44" i="6"/>
  <c r="B44" i="6"/>
  <c r="C44" i="6"/>
  <c r="D44" i="6"/>
  <c r="E44" i="6"/>
  <c r="A45" i="6"/>
  <c r="B45" i="6"/>
  <c r="C45" i="6"/>
  <c r="D45" i="6"/>
  <c r="E45" i="6" s="1"/>
  <c r="A46" i="6"/>
  <c r="B46" i="6"/>
  <c r="C46" i="6"/>
  <c r="D46" i="6"/>
  <c r="E46" i="6"/>
  <c r="A47" i="6"/>
  <c r="B47" i="6"/>
  <c r="C47" i="6"/>
  <c r="D47" i="6"/>
  <c r="E47" i="6"/>
  <c r="A48" i="6"/>
  <c r="B48" i="6"/>
  <c r="C48" i="6"/>
  <c r="D48" i="6"/>
  <c r="E48" i="6"/>
  <c r="A49" i="6"/>
  <c r="B49" i="6"/>
  <c r="C49" i="6"/>
  <c r="D49" i="6"/>
  <c r="E49" i="6"/>
  <c r="A50" i="6"/>
  <c r="B50" i="6"/>
  <c r="C50" i="6"/>
  <c r="D50" i="6"/>
  <c r="E50" i="6" s="1"/>
  <c r="A51" i="6"/>
  <c r="B51" i="6"/>
  <c r="C51" i="6"/>
  <c r="D51" i="6"/>
  <c r="E51" i="6"/>
  <c r="A52" i="6"/>
  <c r="B52" i="6"/>
  <c r="C52" i="6"/>
  <c r="D52" i="6"/>
  <c r="E52" i="6"/>
  <c r="A53" i="6"/>
  <c r="B53" i="6"/>
  <c r="C53" i="6"/>
  <c r="D53" i="6"/>
  <c r="E53" i="6"/>
  <c r="A54" i="6"/>
  <c r="B54" i="6"/>
  <c r="C54" i="6"/>
  <c r="D54" i="6"/>
  <c r="E54" i="6"/>
  <c r="A55" i="6"/>
  <c r="B55" i="6"/>
  <c r="C55" i="6"/>
  <c r="D55" i="6"/>
  <c r="E55" i="6" s="1"/>
  <c r="A56" i="6"/>
  <c r="B56" i="6"/>
  <c r="C56" i="6"/>
  <c r="D56" i="6"/>
  <c r="E56" i="6" s="1"/>
  <c r="A57" i="6"/>
  <c r="B57" i="6"/>
  <c r="C57" i="6"/>
  <c r="D57" i="6"/>
  <c r="E57" i="6"/>
  <c r="A58" i="6"/>
  <c r="B58" i="6"/>
  <c r="C58" i="6"/>
  <c r="D58" i="6"/>
  <c r="E58" i="6"/>
  <c r="A59" i="6"/>
  <c r="B59" i="6"/>
  <c r="C59" i="6"/>
  <c r="D59" i="6"/>
  <c r="E59" i="6"/>
  <c r="A60" i="6"/>
  <c r="B60" i="6"/>
  <c r="C60" i="6"/>
  <c r="D60" i="6"/>
  <c r="E60" i="6"/>
  <c r="A61" i="6"/>
  <c r="B61" i="6"/>
  <c r="C61" i="6"/>
  <c r="D61" i="6"/>
  <c r="E61" i="6" s="1"/>
  <c r="A62" i="6"/>
  <c r="B62" i="6"/>
  <c r="C62" i="6"/>
  <c r="D62" i="6"/>
  <c r="E62" i="6"/>
  <c r="A65" i="5"/>
  <c r="B65" i="5"/>
  <c r="C65" i="5"/>
  <c r="E65" i="5"/>
  <c r="F65" i="5"/>
  <c r="G65" i="5"/>
  <c r="I65" i="5"/>
  <c r="J65" i="5"/>
  <c r="K65" i="5"/>
  <c r="M65" i="5"/>
  <c r="N65" i="5"/>
  <c r="O65" i="5"/>
  <c r="A66" i="5"/>
  <c r="B66" i="5"/>
  <c r="C66" i="5"/>
  <c r="E66" i="5"/>
  <c r="F66" i="5"/>
  <c r="G66" i="5"/>
  <c r="I66" i="5"/>
  <c r="J66" i="5"/>
  <c r="K66" i="5"/>
  <c r="M66" i="5"/>
  <c r="N66" i="5"/>
  <c r="O66" i="5"/>
  <c r="A37" i="5"/>
  <c r="B37" i="5"/>
  <c r="C37" i="5"/>
  <c r="E37" i="5"/>
  <c r="F37" i="5"/>
  <c r="G37" i="5"/>
  <c r="I37" i="5"/>
  <c r="J37" i="5"/>
  <c r="K37" i="5"/>
  <c r="M37" i="5"/>
  <c r="N37" i="5"/>
  <c r="O37" i="5"/>
  <c r="A38" i="5"/>
  <c r="B38" i="5"/>
  <c r="C38" i="5"/>
  <c r="E38" i="5"/>
  <c r="F38" i="5"/>
  <c r="G38" i="5"/>
  <c r="I38" i="5"/>
  <c r="J38" i="5"/>
  <c r="K38" i="5"/>
  <c r="M38" i="5"/>
  <c r="N38" i="5"/>
  <c r="O38" i="5"/>
  <c r="A39" i="5"/>
  <c r="B39" i="5"/>
  <c r="C39" i="5"/>
  <c r="E39" i="5"/>
  <c r="F39" i="5"/>
  <c r="G39" i="5"/>
  <c r="I39" i="5"/>
  <c r="J39" i="5"/>
  <c r="K39" i="5"/>
  <c r="M39" i="5"/>
  <c r="N39" i="5"/>
  <c r="O39" i="5"/>
  <c r="A40" i="5"/>
  <c r="B40" i="5"/>
  <c r="C40" i="5"/>
  <c r="E40" i="5"/>
  <c r="F40" i="5"/>
  <c r="G40" i="5"/>
  <c r="I40" i="5"/>
  <c r="J40" i="5"/>
  <c r="K40" i="5"/>
  <c r="M40" i="5"/>
  <c r="N40" i="5"/>
  <c r="O40" i="5"/>
  <c r="A41" i="5"/>
  <c r="B41" i="5"/>
  <c r="C41" i="5"/>
  <c r="E41" i="5"/>
  <c r="F41" i="5"/>
  <c r="G41" i="5"/>
  <c r="I41" i="5"/>
  <c r="J41" i="5"/>
  <c r="K41" i="5"/>
  <c r="M41" i="5"/>
  <c r="N41" i="5"/>
  <c r="O41" i="5"/>
  <c r="A42" i="5"/>
  <c r="B42" i="5"/>
  <c r="C42" i="5"/>
  <c r="E42" i="5"/>
  <c r="F42" i="5"/>
  <c r="G42" i="5"/>
  <c r="I42" i="5"/>
  <c r="J42" i="5"/>
  <c r="K42" i="5"/>
  <c r="M42" i="5"/>
  <c r="N42" i="5"/>
  <c r="O42" i="5"/>
  <c r="A43" i="5"/>
  <c r="B43" i="5"/>
  <c r="C43" i="5"/>
  <c r="E43" i="5"/>
  <c r="F43" i="5"/>
  <c r="G43" i="5"/>
  <c r="I43" i="5"/>
  <c r="J43" i="5"/>
  <c r="K43" i="5"/>
  <c r="M43" i="5"/>
  <c r="N43" i="5"/>
  <c r="O43" i="5"/>
  <c r="A44" i="5"/>
  <c r="B44" i="5"/>
  <c r="C44" i="5"/>
  <c r="E44" i="5"/>
  <c r="F44" i="5"/>
  <c r="G44" i="5"/>
  <c r="I44" i="5"/>
  <c r="J44" i="5"/>
  <c r="K44" i="5"/>
  <c r="M44" i="5"/>
  <c r="N44" i="5"/>
  <c r="O44" i="5"/>
  <c r="A45" i="5"/>
  <c r="B45" i="5"/>
  <c r="C45" i="5"/>
  <c r="E45" i="5"/>
  <c r="F45" i="5"/>
  <c r="G45" i="5"/>
  <c r="I45" i="5"/>
  <c r="J45" i="5"/>
  <c r="K45" i="5"/>
  <c r="M45" i="5"/>
  <c r="N45" i="5"/>
  <c r="O45" i="5"/>
  <c r="A46" i="5"/>
  <c r="B46" i="5"/>
  <c r="C46" i="5"/>
  <c r="E46" i="5"/>
  <c r="F46" i="5"/>
  <c r="G46" i="5"/>
  <c r="I46" i="5"/>
  <c r="J46" i="5"/>
  <c r="K46" i="5"/>
  <c r="M46" i="5"/>
  <c r="N46" i="5"/>
  <c r="O46" i="5"/>
  <c r="A47" i="5"/>
  <c r="B47" i="5"/>
  <c r="C47" i="5"/>
  <c r="E47" i="5"/>
  <c r="F47" i="5"/>
  <c r="G47" i="5"/>
  <c r="I47" i="5"/>
  <c r="J47" i="5"/>
  <c r="K47" i="5"/>
  <c r="M47" i="5"/>
  <c r="N47" i="5"/>
  <c r="O47" i="5"/>
  <c r="A48" i="5"/>
  <c r="B48" i="5"/>
  <c r="C48" i="5"/>
  <c r="E48" i="5"/>
  <c r="F48" i="5"/>
  <c r="G48" i="5"/>
  <c r="I48" i="5"/>
  <c r="J48" i="5"/>
  <c r="K48" i="5"/>
  <c r="M48" i="5"/>
  <c r="N48" i="5"/>
  <c r="O48" i="5"/>
  <c r="A49" i="5"/>
  <c r="B49" i="5"/>
  <c r="C49" i="5"/>
  <c r="E49" i="5"/>
  <c r="F49" i="5"/>
  <c r="G49" i="5"/>
  <c r="I49" i="5"/>
  <c r="J49" i="5"/>
  <c r="K49" i="5"/>
  <c r="M49" i="5"/>
  <c r="N49" i="5"/>
  <c r="O49" i="5"/>
  <c r="A50" i="5"/>
  <c r="B50" i="5"/>
  <c r="C50" i="5"/>
  <c r="E50" i="5"/>
  <c r="F50" i="5"/>
  <c r="G50" i="5"/>
  <c r="I50" i="5"/>
  <c r="J50" i="5"/>
  <c r="K50" i="5"/>
  <c r="M50" i="5"/>
  <c r="N50" i="5"/>
  <c r="O50" i="5"/>
  <c r="A51" i="5"/>
  <c r="B51" i="5"/>
  <c r="C51" i="5"/>
  <c r="E51" i="5"/>
  <c r="F51" i="5"/>
  <c r="G51" i="5"/>
  <c r="I51" i="5"/>
  <c r="J51" i="5"/>
  <c r="K51" i="5"/>
  <c r="M51" i="5"/>
  <c r="N51" i="5"/>
  <c r="O51" i="5"/>
  <c r="A52" i="5"/>
  <c r="B52" i="5"/>
  <c r="C52" i="5"/>
  <c r="E52" i="5"/>
  <c r="F52" i="5"/>
  <c r="G52" i="5"/>
  <c r="I52" i="5"/>
  <c r="J52" i="5"/>
  <c r="K52" i="5"/>
  <c r="M52" i="5"/>
  <c r="N52" i="5"/>
  <c r="O52" i="5"/>
  <c r="A53" i="5"/>
  <c r="B53" i="5"/>
  <c r="C53" i="5"/>
  <c r="E53" i="5"/>
  <c r="F53" i="5"/>
  <c r="G53" i="5"/>
  <c r="I53" i="5"/>
  <c r="J53" i="5"/>
  <c r="K53" i="5"/>
  <c r="M53" i="5"/>
  <c r="N53" i="5"/>
  <c r="O53" i="5"/>
  <c r="A54" i="5"/>
  <c r="B54" i="5"/>
  <c r="C54" i="5"/>
  <c r="E54" i="5"/>
  <c r="F54" i="5"/>
  <c r="G54" i="5"/>
  <c r="I54" i="5"/>
  <c r="J54" i="5"/>
  <c r="K54" i="5"/>
  <c r="M54" i="5"/>
  <c r="N54" i="5"/>
  <c r="O54" i="5"/>
  <c r="A55" i="5"/>
  <c r="B55" i="5"/>
  <c r="C55" i="5"/>
  <c r="E55" i="5"/>
  <c r="F55" i="5"/>
  <c r="G55" i="5"/>
  <c r="I55" i="5"/>
  <c r="J55" i="5"/>
  <c r="K55" i="5"/>
  <c r="M55" i="5"/>
  <c r="N55" i="5"/>
  <c r="O55" i="5"/>
  <c r="A56" i="5"/>
  <c r="B56" i="5"/>
  <c r="C56" i="5"/>
  <c r="E56" i="5"/>
  <c r="F56" i="5"/>
  <c r="G56" i="5"/>
  <c r="I56" i="5"/>
  <c r="J56" i="5"/>
  <c r="K56" i="5"/>
  <c r="M56" i="5"/>
  <c r="N56" i="5"/>
  <c r="O56" i="5"/>
  <c r="A57" i="5"/>
  <c r="B57" i="5"/>
  <c r="C57" i="5"/>
  <c r="E57" i="5"/>
  <c r="F57" i="5"/>
  <c r="G57" i="5"/>
  <c r="I57" i="5"/>
  <c r="J57" i="5"/>
  <c r="K57" i="5"/>
  <c r="M57" i="5"/>
  <c r="N57" i="5"/>
  <c r="O57" i="5"/>
  <c r="A58" i="5"/>
  <c r="B58" i="5"/>
  <c r="C58" i="5"/>
  <c r="E58" i="5"/>
  <c r="F58" i="5"/>
  <c r="G58" i="5"/>
  <c r="I58" i="5"/>
  <c r="J58" i="5"/>
  <c r="K58" i="5"/>
  <c r="M58" i="5"/>
  <c r="N58" i="5"/>
  <c r="O58" i="5"/>
  <c r="A59" i="5"/>
  <c r="B59" i="5"/>
  <c r="C59" i="5"/>
  <c r="E59" i="5"/>
  <c r="F59" i="5"/>
  <c r="G59" i="5"/>
  <c r="I59" i="5"/>
  <c r="J59" i="5"/>
  <c r="K59" i="5"/>
  <c r="M59" i="5"/>
  <c r="N59" i="5"/>
  <c r="O59" i="5"/>
  <c r="A60" i="5"/>
  <c r="B60" i="5"/>
  <c r="C60" i="5"/>
  <c r="E60" i="5"/>
  <c r="F60" i="5"/>
  <c r="G60" i="5"/>
  <c r="I60" i="5"/>
  <c r="J60" i="5"/>
  <c r="K60" i="5"/>
  <c r="M60" i="5"/>
  <c r="N60" i="5"/>
  <c r="O60" i="5"/>
  <c r="A61" i="5"/>
  <c r="B61" i="5"/>
  <c r="C61" i="5"/>
  <c r="E61" i="5"/>
  <c r="F61" i="5"/>
  <c r="G61" i="5"/>
  <c r="I61" i="5"/>
  <c r="J61" i="5"/>
  <c r="K61" i="5"/>
  <c r="M61" i="5"/>
  <c r="N61" i="5"/>
  <c r="O61" i="5"/>
  <c r="A62" i="5"/>
  <c r="B62" i="5"/>
  <c r="C62" i="5"/>
  <c r="E62" i="5"/>
  <c r="F62" i="5"/>
  <c r="G62" i="5"/>
  <c r="I62" i="5"/>
  <c r="J62" i="5"/>
  <c r="K62" i="5"/>
  <c r="M62" i="5"/>
  <c r="N62" i="5"/>
  <c r="O62" i="5"/>
  <c r="A63" i="5"/>
  <c r="B63" i="5"/>
  <c r="C63" i="5"/>
  <c r="E63" i="5"/>
  <c r="F63" i="5"/>
  <c r="G63" i="5"/>
  <c r="I63" i="5"/>
  <c r="J63" i="5"/>
  <c r="K63" i="5"/>
  <c r="M63" i="5"/>
  <c r="N63" i="5"/>
  <c r="O63" i="5"/>
  <c r="A64" i="5"/>
  <c r="B64" i="5"/>
  <c r="C64" i="5"/>
  <c r="E64" i="5"/>
  <c r="F64" i="5"/>
  <c r="G64" i="5"/>
  <c r="I64" i="5"/>
  <c r="J64" i="5"/>
  <c r="K64" i="5"/>
  <c r="M64" i="5"/>
  <c r="N64" i="5"/>
  <c r="O64" i="5"/>
  <c r="H68" i="2"/>
  <c r="G68" i="2"/>
  <c r="F38" i="2"/>
  <c r="G38" i="2"/>
  <c r="H38" i="2"/>
  <c r="F39" i="2"/>
  <c r="G39" i="2"/>
  <c r="H39" i="2"/>
  <c r="F40" i="2"/>
  <c r="G40" i="2"/>
  <c r="H40" i="2"/>
  <c r="F41" i="2"/>
  <c r="G41" i="2"/>
  <c r="H41" i="2"/>
  <c r="F42" i="2"/>
  <c r="G42" i="2"/>
  <c r="H42" i="2"/>
  <c r="F43" i="2"/>
  <c r="G43" i="2"/>
  <c r="H43" i="2"/>
  <c r="F44" i="2"/>
  <c r="G44" i="2"/>
  <c r="H44" i="2"/>
  <c r="F45" i="2"/>
  <c r="G45" i="2"/>
  <c r="H45" i="2"/>
  <c r="F46" i="2"/>
  <c r="G46" i="2"/>
  <c r="H46" i="2"/>
  <c r="F47" i="2"/>
  <c r="G47" i="2"/>
  <c r="H47" i="2"/>
  <c r="F48" i="2"/>
  <c r="G48" i="2"/>
  <c r="H48" i="2"/>
  <c r="F49" i="2"/>
  <c r="G49" i="2"/>
  <c r="H49" i="2"/>
  <c r="F50" i="2"/>
  <c r="G50" i="2"/>
  <c r="H50" i="2"/>
  <c r="F51" i="2"/>
  <c r="G51" i="2"/>
  <c r="H51" i="2"/>
  <c r="F52" i="2"/>
  <c r="G52" i="2"/>
  <c r="H52" i="2"/>
  <c r="F53" i="2"/>
  <c r="G53" i="2"/>
  <c r="H53" i="2"/>
  <c r="F54" i="2"/>
  <c r="G54" i="2"/>
  <c r="H54" i="2"/>
  <c r="F55" i="2"/>
  <c r="G55" i="2"/>
  <c r="H55" i="2"/>
  <c r="F56" i="2"/>
  <c r="G56" i="2"/>
  <c r="H56" i="2"/>
  <c r="F57" i="2"/>
  <c r="G57" i="2"/>
  <c r="H57" i="2"/>
  <c r="F58" i="2"/>
  <c r="G58" i="2"/>
  <c r="H58" i="2"/>
  <c r="F59" i="2"/>
  <c r="G59" i="2"/>
  <c r="H59" i="2"/>
  <c r="F60" i="2"/>
  <c r="G60" i="2"/>
  <c r="H60" i="2"/>
  <c r="F61" i="2"/>
  <c r="G61" i="2"/>
  <c r="H61" i="2"/>
  <c r="F62" i="2"/>
  <c r="G62" i="2"/>
  <c r="H62" i="2"/>
  <c r="F63" i="2"/>
  <c r="G63" i="2"/>
  <c r="H63" i="2"/>
  <c r="F64" i="2"/>
  <c r="G64" i="2"/>
  <c r="H64" i="2"/>
  <c r="F65" i="2"/>
  <c r="G65" i="2"/>
  <c r="H65" i="2"/>
  <c r="F66" i="2"/>
  <c r="G66" i="2"/>
  <c r="H66" i="2"/>
  <c r="F67" i="2"/>
  <c r="G67" i="2"/>
  <c r="H67" i="2"/>
  <c r="A3" i="5"/>
  <c r="A1" i="5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10" i="9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" i="8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7" i="7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" i="6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7" i="5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10" i="9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7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" i="6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7" i="5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8" i="2"/>
  <c r="N68" i="9" l="1"/>
  <c r="O68" i="9" s="1"/>
  <c r="M67" i="9"/>
  <c r="K41" i="9"/>
  <c r="L58" i="9"/>
  <c r="L42" i="9"/>
  <c r="M61" i="9"/>
  <c r="J58" i="9"/>
  <c r="N52" i="9"/>
  <c r="O52" i="9" s="1"/>
  <c r="M66" i="9"/>
  <c r="N54" i="9"/>
  <c r="O54" i="9" s="1"/>
  <c r="L59" i="9"/>
  <c r="M43" i="9"/>
  <c r="L67" i="9"/>
  <c r="N67" i="9"/>
  <c r="O67" i="9" s="1"/>
  <c r="L51" i="9"/>
  <c r="J46" i="9"/>
  <c r="N51" i="9"/>
  <c r="O51" i="9" s="1"/>
  <c r="M49" i="9"/>
  <c r="L44" i="9"/>
  <c r="K65" i="9"/>
  <c r="M42" i="9"/>
  <c r="M45" i="9"/>
  <c r="N53" i="9"/>
  <c r="O53" i="9" s="1"/>
  <c r="L43" i="9"/>
  <c r="M41" i="9"/>
  <c r="N56" i="9"/>
  <c r="O56" i="9" s="1"/>
  <c r="N40" i="9"/>
  <c r="O40" i="9" s="1"/>
  <c r="N57" i="9"/>
  <c r="O57" i="9" s="1"/>
  <c r="N41" i="9"/>
  <c r="O41" i="9" s="1"/>
  <c r="N58" i="9"/>
  <c r="O58" i="9" s="1"/>
  <c r="N42" i="9"/>
  <c r="O42" i="9" s="1"/>
  <c r="N59" i="9"/>
  <c r="O59" i="9" s="1"/>
  <c r="N43" i="9"/>
  <c r="O43" i="9" s="1"/>
  <c r="N60" i="9"/>
  <c r="O60" i="9" s="1"/>
  <c r="N44" i="9"/>
  <c r="O44" i="9" s="1"/>
  <c r="N61" i="9"/>
  <c r="O61" i="9" s="1"/>
  <c r="N45" i="9"/>
  <c r="O45" i="9" s="1"/>
  <c r="N62" i="9"/>
  <c r="O62" i="9" s="1"/>
  <c r="N46" i="9"/>
  <c r="O46" i="9" s="1"/>
  <c r="N63" i="9"/>
  <c r="O63" i="9" s="1"/>
  <c r="N47" i="9"/>
  <c r="O47" i="9" s="1"/>
  <c r="N64" i="9"/>
  <c r="O64" i="9" s="1"/>
  <c r="N48" i="9"/>
  <c r="O48" i="9" s="1"/>
  <c r="N65" i="9"/>
  <c r="O65" i="9" s="1"/>
  <c r="N49" i="9"/>
  <c r="O49" i="9" s="1"/>
  <c r="N66" i="9"/>
  <c r="O66" i="9" s="1"/>
  <c r="N50" i="9"/>
  <c r="O50" i="9" s="1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7" i="5"/>
  <c r="D4" i="8"/>
  <c r="E4" i="8" s="1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E20" i="8" s="1"/>
  <c r="D21" i="8"/>
  <c r="E21" i="8" s="1"/>
  <c r="D22" i="8"/>
  <c r="E22" i="8" s="1"/>
  <c r="D23" i="8"/>
  <c r="E23" i="8" s="1"/>
  <c r="D24" i="8"/>
  <c r="E24" i="8" s="1"/>
  <c r="D25" i="8"/>
  <c r="E25" i="8" s="1"/>
  <c r="D26" i="8"/>
  <c r="E26" i="8" s="1"/>
  <c r="D27" i="8"/>
  <c r="E27" i="8" s="1"/>
  <c r="D28" i="8"/>
  <c r="E28" i="8" s="1"/>
  <c r="D29" i="8"/>
  <c r="E29" i="8" s="1"/>
  <c r="D30" i="8"/>
  <c r="E30" i="8" s="1"/>
  <c r="D31" i="8"/>
  <c r="E31" i="8" s="1"/>
  <c r="D32" i="8"/>
  <c r="E32" i="8" s="1"/>
  <c r="D3" i="8"/>
  <c r="E3" i="8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" i="6"/>
  <c r="E3" i="6" s="1"/>
  <c r="A4" i="11"/>
  <c r="A3" i="11"/>
  <c r="A1" i="11"/>
  <c r="A11" i="10"/>
  <c r="A4" i="10"/>
  <c r="A3" i="10"/>
  <c r="A1" i="10"/>
  <c r="H39" i="9"/>
  <c r="G39" i="9"/>
  <c r="F39" i="9"/>
  <c r="E39" i="9"/>
  <c r="D39" i="9"/>
  <c r="A39" i="9"/>
  <c r="H38" i="9"/>
  <c r="G38" i="9"/>
  <c r="F38" i="9"/>
  <c r="E38" i="9"/>
  <c r="D38" i="9"/>
  <c r="A38" i="9"/>
  <c r="H37" i="9"/>
  <c r="G37" i="9"/>
  <c r="F37" i="9"/>
  <c r="E37" i="9"/>
  <c r="D37" i="9"/>
  <c r="A37" i="9"/>
  <c r="H36" i="9"/>
  <c r="G36" i="9"/>
  <c r="F36" i="9"/>
  <c r="E36" i="9"/>
  <c r="D36" i="9"/>
  <c r="A36" i="9"/>
  <c r="H35" i="9"/>
  <c r="G35" i="9"/>
  <c r="F35" i="9"/>
  <c r="E35" i="9"/>
  <c r="D35" i="9"/>
  <c r="A35" i="9"/>
  <c r="H34" i="9"/>
  <c r="G34" i="9"/>
  <c r="F34" i="9"/>
  <c r="E34" i="9"/>
  <c r="D34" i="9"/>
  <c r="A34" i="9"/>
  <c r="H33" i="9"/>
  <c r="G33" i="9"/>
  <c r="F33" i="9"/>
  <c r="E33" i="9"/>
  <c r="D33" i="9"/>
  <c r="A33" i="9"/>
  <c r="H32" i="9"/>
  <c r="G32" i="9"/>
  <c r="F32" i="9"/>
  <c r="E32" i="9"/>
  <c r="D32" i="9"/>
  <c r="A32" i="9"/>
  <c r="H31" i="9"/>
  <c r="G31" i="9"/>
  <c r="F31" i="9"/>
  <c r="E31" i="9"/>
  <c r="D31" i="9"/>
  <c r="A31" i="9"/>
  <c r="H30" i="9"/>
  <c r="G30" i="9"/>
  <c r="F30" i="9"/>
  <c r="E30" i="9"/>
  <c r="D30" i="9"/>
  <c r="A30" i="9"/>
  <c r="H29" i="9"/>
  <c r="G29" i="9"/>
  <c r="F29" i="9"/>
  <c r="E29" i="9"/>
  <c r="D29" i="9"/>
  <c r="A29" i="9"/>
  <c r="H28" i="9"/>
  <c r="G28" i="9"/>
  <c r="F28" i="9"/>
  <c r="E28" i="9"/>
  <c r="D28" i="9"/>
  <c r="A28" i="9"/>
  <c r="H27" i="9"/>
  <c r="G27" i="9"/>
  <c r="F27" i="9"/>
  <c r="E27" i="9"/>
  <c r="D27" i="9"/>
  <c r="A27" i="9"/>
  <c r="H26" i="9"/>
  <c r="G26" i="9"/>
  <c r="F26" i="9"/>
  <c r="E26" i="9"/>
  <c r="D26" i="9"/>
  <c r="A26" i="9"/>
  <c r="H25" i="9"/>
  <c r="G25" i="9"/>
  <c r="F25" i="9"/>
  <c r="E25" i="9"/>
  <c r="D25" i="9"/>
  <c r="A25" i="9"/>
  <c r="H24" i="9"/>
  <c r="G24" i="9"/>
  <c r="F24" i="9"/>
  <c r="E24" i="9"/>
  <c r="D24" i="9"/>
  <c r="A24" i="9"/>
  <c r="H23" i="9"/>
  <c r="G23" i="9"/>
  <c r="F23" i="9"/>
  <c r="E23" i="9"/>
  <c r="D23" i="9"/>
  <c r="A23" i="9"/>
  <c r="H22" i="9"/>
  <c r="G22" i="9"/>
  <c r="F22" i="9"/>
  <c r="E22" i="9"/>
  <c r="D22" i="9"/>
  <c r="A22" i="9"/>
  <c r="H21" i="9"/>
  <c r="G21" i="9"/>
  <c r="F21" i="9"/>
  <c r="E21" i="9"/>
  <c r="D21" i="9"/>
  <c r="A21" i="9"/>
  <c r="H20" i="9"/>
  <c r="G20" i="9"/>
  <c r="F20" i="9"/>
  <c r="E20" i="9"/>
  <c r="D20" i="9"/>
  <c r="A20" i="9"/>
  <c r="H19" i="9"/>
  <c r="G19" i="9"/>
  <c r="F19" i="9"/>
  <c r="E19" i="9"/>
  <c r="D19" i="9"/>
  <c r="A19" i="9"/>
  <c r="H18" i="9"/>
  <c r="G18" i="9"/>
  <c r="F18" i="9"/>
  <c r="E18" i="9"/>
  <c r="D18" i="9"/>
  <c r="A18" i="9"/>
  <c r="H17" i="9"/>
  <c r="G17" i="9"/>
  <c r="F17" i="9"/>
  <c r="E17" i="9"/>
  <c r="D17" i="9"/>
  <c r="A17" i="9"/>
  <c r="H16" i="9"/>
  <c r="G16" i="9"/>
  <c r="F16" i="9"/>
  <c r="E16" i="9"/>
  <c r="D16" i="9"/>
  <c r="A16" i="9"/>
  <c r="H15" i="9"/>
  <c r="G15" i="9"/>
  <c r="F15" i="9"/>
  <c r="E15" i="9"/>
  <c r="D15" i="9"/>
  <c r="A15" i="9"/>
  <c r="H14" i="9"/>
  <c r="G14" i="9"/>
  <c r="F14" i="9"/>
  <c r="E14" i="9"/>
  <c r="D14" i="9"/>
  <c r="A14" i="9"/>
  <c r="H13" i="9"/>
  <c r="G13" i="9"/>
  <c r="F13" i="9"/>
  <c r="E13" i="9"/>
  <c r="D13" i="9"/>
  <c r="A13" i="9"/>
  <c r="H12" i="9"/>
  <c r="G12" i="9"/>
  <c r="F12" i="9"/>
  <c r="E12" i="9"/>
  <c r="D12" i="9"/>
  <c r="A12" i="9"/>
  <c r="H11" i="9"/>
  <c r="G11" i="9"/>
  <c r="F11" i="9"/>
  <c r="E11" i="9"/>
  <c r="D11" i="9"/>
  <c r="A11" i="9"/>
  <c r="H10" i="9"/>
  <c r="G10" i="9"/>
  <c r="F10" i="9"/>
  <c r="E10" i="9"/>
  <c r="D10" i="9"/>
  <c r="A10" i="9"/>
  <c r="H8" i="9"/>
  <c r="M64" i="9" s="1"/>
  <c r="G8" i="9"/>
  <c r="L62" i="9" s="1"/>
  <c r="F8" i="9"/>
  <c r="K62" i="9" s="1"/>
  <c r="E8" i="9"/>
  <c r="J62" i="9" s="1"/>
  <c r="D8" i="9"/>
  <c r="A4" i="9"/>
  <c r="A3" i="9"/>
  <c r="A1" i="9"/>
  <c r="A3" i="8"/>
  <c r="Q36" i="7"/>
  <c r="P36" i="7"/>
  <c r="O36" i="7"/>
  <c r="M36" i="7"/>
  <c r="L36" i="7"/>
  <c r="K36" i="7"/>
  <c r="I36" i="7"/>
  <c r="H36" i="7"/>
  <c r="G36" i="7"/>
  <c r="A36" i="7"/>
  <c r="Q35" i="7"/>
  <c r="P35" i="7"/>
  <c r="O35" i="7"/>
  <c r="M35" i="7"/>
  <c r="L35" i="7"/>
  <c r="K35" i="7"/>
  <c r="I35" i="7"/>
  <c r="H35" i="7"/>
  <c r="G35" i="7"/>
  <c r="A35" i="7"/>
  <c r="Q34" i="7"/>
  <c r="P34" i="7"/>
  <c r="O34" i="7"/>
  <c r="M34" i="7"/>
  <c r="L34" i="7"/>
  <c r="K34" i="7"/>
  <c r="I34" i="7"/>
  <c r="H34" i="7"/>
  <c r="G34" i="7"/>
  <c r="A34" i="7"/>
  <c r="Q33" i="7"/>
  <c r="P33" i="7"/>
  <c r="O33" i="7"/>
  <c r="M33" i="7"/>
  <c r="L33" i="7"/>
  <c r="K33" i="7"/>
  <c r="I33" i="7"/>
  <c r="H33" i="7"/>
  <c r="G33" i="7"/>
  <c r="A33" i="7"/>
  <c r="Q32" i="7"/>
  <c r="P32" i="7"/>
  <c r="O32" i="7"/>
  <c r="M32" i="7"/>
  <c r="L32" i="7"/>
  <c r="K32" i="7"/>
  <c r="I32" i="7"/>
  <c r="H32" i="7"/>
  <c r="G32" i="7"/>
  <c r="A32" i="7"/>
  <c r="Q31" i="7"/>
  <c r="P31" i="7"/>
  <c r="O31" i="7"/>
  <c r="M31" i="7"/>
  <c r="L31" i="7"/>
  <c r="K31" i="7"/>
  <c r="I31" i="7"/>
  <c r="H31" i="7"/>
  <c r="G31" i="7"/>
  <c r="A31" i="7"/>
  <c r="Q30" i="7"/>
  <c r="P30" i="7"/>
  <c r="O30" i="7"/>
  <c r="M30" i="7"/>
  <c r="L30" i="7"/>
  <c r="K30" i="7"/>
  <c r="I30" i="7"/>
  <c r="H30" i="7"/>
  <c r="G30" i="7"/>
  <c r="A30" i="7"/>
  <c r="Q29" i="7"/>
  <c r="P29" i="7"/>
  <c r="O29" i="7"/>
  <c r="M29" i="7"/>
  <c r="L29" i="7"/>
  <c r="K29" i="7"/>
  <c r="I29" i="7"/>
  <c r="H29" i="7"/>
  <c r="G29" i="7"/>
  <c r="A29" i="7"/>
  <c r="Q28" i="7"/>
  <c r="P28" i="7"/>
  <c r="O28" i="7"/>
  <c r="M28" i="7"/>
  <c r="L28" i="7"/>
  <c r="K28" i="7"/>
  <c r="I28" i="7"/>
  <c r="H28" i="7"/>
  <c r="G28" i="7"/>
  <c r="A28" i="7"/>
  <c r="Q27" i="7"/>
  <c r="P27" i="7"/>
  <c r="O27" i="7"/>
  <c r="M27" i="7"/>
  <c r="L27" i="7"/>
  <c r="K27" i="7"/>
  <c r="I27" i="7"/>
  <c r="H27" i="7"/>
  <c r="G27" i="7"/>
  <c r="A27" i="7"/>
  <c r="Q26" i="7"/>
  <c r="P26" i="7"/>
  <c r="O26" i="7"/>
  <c r="M26" i="7"/>
  <c r="L26" i="7"/>
  <c r="K26" i="7"/>
  <c r="I26" i="7"/>
  <c r="H26" i="7"/>
  <c r="G26" i="7"/>
  <c r="A26" i="7"/>
  <c r="Q25" i="7"/>
  <c r="P25" i="7"/>
  <c r="O25" i="7"/>
  <c r="M25" i="7"/>
  <c r="L25" i="7"/>
  <c r="K25" i="7"/>
  <c r="I25" i="7"/>
  <c r="H25" i="7"/>
  <c r="G25" i="7"/>
  <c r="A25" i="7"/>
  <c r="Q24" i="7"/>
  <c r="P24" i="7"/>
  <c r="O24" i="7"/>
  <c r="M24" i="7"/>
  <c r="L24" i="7"/>
  <c r="K24" i="7"/>
  <c r="I24" i="7"/>
  <c r="H24" i="7"/>
  <c r="G24" i="7"/>
  <c r="A24" i="7"/>
  <c r="Q23" i="7"/>
  <c r="P23" i="7"/>
  <c r="O23" i="7"/>
  <c r="M23" i="7"/>
  <c r="L23" i="7"/>
  <c r="K23" i="7"/>
  <c r="I23" i="7"/>
  <c r="H23" i="7"/>
  <c r="G23" i="7"/>
  <c r="A23" i="7"/>
  <c r="Q22" i="7"/>
  <c r="P22" i="7"/>
  <c r="O22" i="7"/>
  <c r="M22" i="7"/>
  <c r="L22" i="7"/>
  <c r="K22" i="7"/>
  <c r="I22" i="7"/>
  <c r="H22" i="7"/>
  <c r="G22" i="7"/>
  <c r="A22" i="7"/>
  <c r="Q21" i="7"/>
  <c r="P21" i="7"/>
  <c r="O21" i="7"/>
  <c r="M21" i="7"/>
  <c r="L21" i="7"/>
  <c r="K21" i="7"/>
  <c r="I21" i="7"/>
  <c r="H21" i="7"/>
  <c r="G21" i="7"/>
  <c r="A21" i="7"/>
  <c r="Q20" i="7"/>
  <c r="P20" i="7"/>
  <c r="O20" i="7"/>
  <c r="M20" i="7"/>
  <c r="L20" i="7"/>
  <c r="K20" i="7"/>
  <c r="I20" i="7"/>
  <c r="H20" i="7"/>
  <c r="G20" i="7"/>
  <c r="A20" i="7"/>
  <c r="Q19" i="7"/>
  <c r="P19" i="7"/>
  <c r="O19" i="7"/>
  <c r="M19" i="7"/>
  <c r="L19" i="7"/>
  <c r="K19" i="7"/>
  <c r="I19" i="7"/>
  <c r="H19" i="7"/>
  <c r="G19" i="7"/>
  <c r="A19" i="7"/>
  <c r="Q18" i="7"/>
  <c r="P18" i="7"/>
  <c r="O18" i="7"/>
  <c r="M18" i="7"/>
  <c r="L18" i="7"/>
  <c r="K18" i="7"/>
  <c r="I18" i="7"/>
  <c r="H18" i="7"/>
  <c r="G18" i="7"/>
  <c r="A18" i="7"/>
  <c r="Q17" i="7"/>
  <c r="P17" i="7"/>
  <c r="O17" i="7"/>
  <c r="M17" i="7"/>
  <c r="L17" i="7"/>
  <c r="K17" i="7"/>
  <c r="I17" i="7"/>
  <c r="H17" i="7"/>
  <c r="G17" i="7"/>
  <c r="A17" i="7"/>
  <c r="Q16" i="7"/>
  <c r="P16" i="7"/>
  <c r="O16" i="7"/>
  <c r="M16" i="7"/>
  <c r="L16" i="7"/>
  <c r="K16" i="7"/>
  <c r="I16" i="7"/>
  <c r="H16" i="7"/>
  <c r="G16" i="7"/>
  <c r="A16" i="7"/>
  <c r="Q15" i="7"/>
  <c r="P15" i="7"/>
  <c r="O15" i="7"/>
  <c r="M15" i="7"/>
  <c r="L15" i="7"/>
  <c r="K15" i="7"/>
  <c r="I15" i="7"/>
  <c r="H15" i="7"/>
  <c r="G15" i="7"/>
  <c r="A15" i="7"/>
  <c r="Q14" i="7"/>
  <c r="P14" i="7"/>
  <c r="O14" i="7"/>
  <c r="M14" i="7"/>
  <c r="L14" i="7"/>
  <c r="K14" i="7"/>
  <c r="I14" i="7"/>
  <c r="H14" i="7"/>
  <c r="G14" i="7"/>
  <c r="A14" i="7"/>
  <c r="Q13" i="7"/>
  <c r="P13" i="7"/>
  <c r="O13" i="7"/>
  <c r="M13" i="7"/>
  <c r="L13" i="7"/>
  <c r="K13" i="7"/>
  <c r="I13" i="7"/>
  <c r="H13" i="7"/>
  <c r="G13" i="7"/>
  <c r="A13" i="7"/>
  <c r="Q12" i="7"/>
  <c r="P12" i="7"/>
  <c r="O12" i="7"/>
  <c r="M12" i="7"/>
  <c r="L12" i="7"/>
  <c r="K12" i="7"/>
  <c r="I12" i="7"/>
  <c r="H12" i="7"/>
  <c r="G12" i="7"/>
  <c r="A12" i="7"/>
  <c r="Q11" i="7"/>
  <c r="P11" i="7"/>
  <c r="O11" i="7"/>
  <c r="M11" i="7"/>
  <c r="L11" i="7"/>
  <c r="K11" i="7"/>
  <c r="I11" i="7"/>
  <c r="H11" i="7"/>
  <c r="G11" i="7"/>
  <c r="A11" i="7"/>
  <c r="Q10" i="7"/>
  <c r="P10" i="7"/>
  <c r="O10" i="7"/>
  <c r="M10" i="7"/>
  <c r="L10" i="7"/>
  <c r="K10" i="7"/>
  <c r="I10" i="7"/>
  <c r="H10" i="7"/>
  <c r="G10" i="7"/>
  <c r="A10" i="7"/>
  <c r="Q9" i="7"/>
  <c r="P9" i="7"/>
  <c r="O9" i="7"/>
  <c r="M9" i="7"/>
  <c r="L9" i="7"/>
  <c r="K9" i="7"/>
  <c r="I9" i="7"/>
  <c r="H9" i="7"/>
  <c r="G9" i="7"/>
  <c r="A9" i="7"/>
  <c r="Q8" i="7"/>
  <c r="P8" i="7"/>
  <c r="O8" i="7"/>
  <c r="M8" i="7"/>
  <c r="L8" i="7"/>
  <c r="K8" i="7"/>
  <c r="I8" i="7"/>
  <c r="H8" i="7"/>
  <c r="G8" i="7"/>
  <c r="A8" i="7"/>
  <c r="Q7" i="7"/>
  <c r="P7" i="7"/>
  <c r="O7" i="7"/>
  <c r="M7" i="7"/>
  <c r="L7" i="7"/>
  <c r="K7" i="7"/>
  <c r="I7" i="7"/>
  <c r="H7" i="7"/>
  <c r="G7" i="7"/>
  <c r="A7" i="7"/>
  <c r="R6" i="7"/>
  <c r="A3" i="7"/>
  <c r="A1" i="7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O36" i="5"/>
  <c r="N36" i="5"/>
  <c r="M36" i="5"/>
  <c r="K36" i="5"/>
  <c r="J36" i="5"/>
  <c r="I36" i="5"/>
  <c r="G36" i="5"/>
  <c r="F36" i="5"/>
  <c r="E36" i="5"/>
  <c r="O35" i="5"/>
  <c r="N35" i="5"/>
  <c r="M35" i="5"/>
  <c r="K35" i="5"/>
  <c r="J35" i="5"/>
  <c r="I35" i="5"/>
  <c r="G35" i="5"/>
  <c r="F35" i="5"/>
  <c r="E35" i="5"/>
  <c r="O34" i="5"/>
  <c r="N34" i="5"/>
  <c r="M34" i="5"/>
  <c r="K34" i="5"/>
  <c r="J34" i="5"/>
  <c r="I34" i="5"/>
  <c r="G34" i="5"/>
  <c r="F34" i="5"/>
  <c r="E34" i="5"/>
  <c r="O33" i="5"/>
  <c r="N33" i="5"/>
  <c r="M33" i="5"/>
  <c r="K33" i="5"/>
  <c r="J33" i="5"/>
  <c r="I33" i="5"/>
  <c r="G33" i="5"/>
  <c r="F33" i="5"/>
  <c r="E33" i="5"/>
  <c r="O32" i="5"/>
  <c r="N32" i="5"/>
  <c r="M32" i="5"/>
  <c r="K32" i="5"/>
  <c r="J32" i="5"/>
  <c r="I32" i="5"/>
  <c r="G32" i="5"/>
  <c r="F32" i="5"/>
  <c r="E32" i="5"/>
  <c r="O31" i="5"/>
  <c r="N31" i="5"/>
  <c r="M31" i="5"/>
  <c r="K31" i="5"/>
  <c r="J31" i="5"/>
  <c r="I31" i="5"/>
  <c r="G31" i="5"/>
  <c r="F31" i="5"/>
  <c r="E31" i="5"/>
  <c r="O30" i="5"/>
  <c r="N30" i="5"/>
  <c r="M30" i="5"/>
  <c r="K30" i="5"/>
  <c r="J30" i="5"/>
  <c r="I30" i="5"/>
  <c r="G30" i="5"/>
  <c r="F30" i="5"/>
  <c r="E30" i="5"/>
  <c r="O29" i="5"/>
  <c r="N29" i="5"/>
  <c r="M29" i="5"/>
  <c r="K29" i="5"/>
  <c r="J29" i="5"/>
  <c r="I29" i="5"/>
  <c r="G29" i="5"/>
  <c r="F29" i="5"/>
  <c r="E29" i="5"/>
  <c r="O28" i="5"/>
  <c r="N28" i="5"/>
  <c r="M28" i="5"/>
  <c r="K28" i="5"/>
  <c r="J28" i="5"/>
  <c r="I28" i="5"/>
  <c r="G28" i="5"/>
  <c r="F28" i="5"/>
  <c r="E28" i="5"/>
  <c r="O27" i="5"/>
  <c r="N27" i="5"/>
  <c r="M27" i="5"/>
  <c r="K27" i="5"/>
  <c r="J27" i="5"/>
  <c r="I27" i="5"/>
  <c r="G27" i="5"/>
  <c r="F27" i="5"/>
  <c r="E27" i="5"/>
  <c r="O26" i="5"/>
  <c r="N26" i="5"/>
  <c r="M26" i="5"/>
  <c r="K26" i="5"/>
  <c r="J26" i="5"/>
  <c r="I26" i="5"/>
  <c r="G26" i="5"/>
  <c r="F26" i="5"/>
  <c r="E26" i="5"/>
  <c r="O25" i="5"/>
  <c r="N25" i="5"/>
  <c r="M25" i="5"/>
  <c r="K25" i="5"/>
  <c r="J25" i="5"/>
  <c r="I25" i="5"/>
  <c r="G25" i="5"/>
  <c r="F25" i="5"/>
  <c r="E25" i="5"/>
  <c r="O24" i="5"/>
  <c r="N24" i="5"/>
  <c r="M24" i="5"/>
  <c r="K24" i="5"/>
  <c r="J24" i="5"/>
  <c r="I24" i="5"/>
  <c r="G24" i="5"/>
  <c r="F24" i="5"/>
  <c r="E24" i="5"/>
  <c r="O23" i="5"/>
  <c r="N23" i="5"/>
  <c r="M23" i="5"/>
  <c r="K23" i="5"/>
  <c r="J23" i="5"/>
  <c r="I23" i="5"/>
  <c r="G23" i="5"/>
  <c r="F23" i="5"/>
  <c r="E23" i="5"/>
  <c r="O22" i="5"/>
  <c r="N22" i="5"/>
  <c r="M22" i="5"/>
  <c r="K22" i="5"/>
  <c r="J22" i="5"/>
  <c r="I22" i="5"/>
  <c r="G22" i="5"/>
  <c r="F22" i="5"/>
  <c r="E22" i="5"/>
  <c r="O21" i="5"/>
  <c r="N21" i="5"/>
  <c r="M21" i="5"/>
  <c r="K21" i="5"/>
  <c r="J21" i="5"/>
  <c r="I21" i="5"/>
  <c r="G21" i="5"/>
  <c r="F21" i="5"/>
  <c r="E21" i="5"/>
  <c r="O20" i="5"/>
  <c r="N20" i="5"/>
  <c r="M20" i="5"/>
  <c r="K20" i="5"/>
  <c r="J20" i="5"/>
  <c r="I20" i="5"/>
  <c r="G20" i="5"/>
  <c r="F20" i="5"/>
  <c r="E20" i="5"/>
  <c r="O19" i="5"/>
  <c r="N19" i="5"/>
  <c r="M19" i="5"/>
  <c r="K19" i="5"/>
  <c r="J19" i="5"/>
  <c r="I19" i="5"/>
  <c r="G19" i="5"/>
  <c r="F19" i="5"/>
  <c r="E19" i="5"/>
  <c r="O18" i="5"/>
  <c r="N18" i="5"/>
  <c r="M18" i="5"/>
  <c r="K18" i="5"/>
  <c r="J18" i="5"/>
  <c r="I18" i="5"/>
  <c r="G18" i="5"/>
  <c r="F18" i="5"/>
  <c r="E18" i="5"/>
  <c r="O17" i="5"/>
  <c r="N17" i="5"/>
  <c r="M17" i="5"/>
  <c r="K17" i="5"/>
  <c r="J17" i="5"/>
  <c r="I17" i="5"/>
  <c r="G17" i="5"/>
  <c r="F17" i="5"/>
  <c r="E17" i="5"/>
  <c r="O16" i="5"/>
  <c r="N16" i="5"/>
  <c r="M16" i="5"/>
  <c r="K16" i="5"/>
  <c r="J16" i="5"/>
  <c r="I16" i="5"/>
  <c r="G16" i="5"/>
  <c r="F16" i="5"/>
  <c r="E16" i="5"/>
  <c r="O15" i="5"/>
  <c r="N15" i="5"/>
  <c r="M15" i="5"/>
  <c r="K15" i="5"/>
  <c r="J15" i="5"/>
  <c r="I15" i="5"/>
  <c r="G15" i="5"/>
  <c r="F15" i="5"/>
  <c r="E15" i="5"/>
  <c r="O14" i="5"/>
  <c r="N14" i="5"/>
  <c r="M14" i="5"/>
  <c r="K14" i="5"/>
  <c r="J14" i="5"/>
  <c r="I14" i="5"/>
  <c r="G14" i="5"/>
  <c r="F14" i="5"/>
  <c r="E14" i="5"/>
  <c r="O13" i="5"/>
  <c r="N13" i="5"/>
  <c r="M13" i="5"/>
  <c r="K13" i="5"/>
  <c r="J13" i="5"/>
  <c r="I13" i="5"/>
  <c r="G13" i="5"/>
  <c r="F13" i="5"/>
  <c r="E13" i="5"/>
  <c r="O12" i="5"/>
  <c r="N12" i="5"/>
  <c r="M12" i="5"/>
  <c r="K12" i="5"/>
  <c r="J12" i="5"/>
  <c r="I12" i="5"/>
  <c r="G12" i="5"/>
  <c r="F12" i="5"/>
  <c r="E12" i="5"/>
  <c r="O11" i="5"/>
  <c r="N11" i="5"/>
  <c r="M11" i="5"/>
  <c r="K11" i="5"/>
  <c r="J11" i="5"/>
  <c r="I11" i="5"/>
  <c r="G11" i="5"/>
  <c r="F11" i="5"/>
  <c r="E11" i="5"/>
  <c r="O10" i="5"/>
  <c r="N10" i="5"/>
  <c r="M10" i="5"/>
  <c r="K10" i="5"/>
  <c r="J10" i="5"/>
  <c r="I10" i="5"/>
  <c r="G10" i="5"/>
  <c r="F10" i="5"/>
  <c r="E10" i="5"/>
  <c r="O9" i="5"/>
  <c r="N9" i="5"/>
  <c r="M9" i="5"/>
  <c r="K9" i="5"/>
  <c r="J9" i="5"/>
  <c r="I9" i="5"/>
  <c r="G9" i="5"/>
  <c r="F9" i="5"/>
  <c r="E9" i="5"/>
  <c r="O8" i="5"/>
  <c r="N8" i="5"/>
  <c r="M8" i="5"/>
  <c r="K8" i="5"/>
  <c r="J8" i="5"/>
  <c r="I8" i="5"/>
  <c r="G8" i="5"/>
  <c r="F8" i="5"/>
  <c r="E8" i="5"/>
  <c r="O7" i="5"/>
  <c r="N7" i="5"/>
  <c r="M7" i="5"/>
  <c r="K7" i="5"/>
  <c r="J7" i="5"/>
  <c r="I7" i="5"/>
  <c r="G7" i="5"/>
  <c r="F7" i="5"/>
  <c r="E7" i="5"/>
  <c r="A6" i="4"/>
  <c r="A3" i="4"/>
  <c r="A1" i="4"/>
  <c r="A6" i="3"/>
  <c r="A4" i="3"/>
  <c r="A3" i="3"/>
  <c r="A1" i="3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F6" i="2"/>
  <c r="A4" i="2"/>
  <c r="A3" i="2"/>
  <c r="A1" i="2"/>
  <c r="P11" i="1"/>
  <c r="P12" i="1" s="1"/>
  <c r="O11" i="1"/>
  <c r="O12" i="1" s="1"/>
  <c r="N11" i="1"/>
  <c r="N12" i="1" s="1"/>
  <c r="M11" i="1"/>
  <c r="M12" i="1" s="1"/>
  <c r="L11" i="1"/>
  <c r="L12" i="1" s="1"/>
  <c r="K11" i="1"/>
  <c r="K12" i="1" s="1"/>
  <c r="J11" i="1"/>
  <c r="J12" i="1" s="1"/>
  <c r="I11" i="1"/>
  <c r="I12" i="1" s="1"/>
  <c r="H11" i="1"/>
  <c r="H12" i="1" s="1"/>
  <c r="G11" i="1"/>
  <c r="G12" i="1" s="1"/>
  <c r="F11" i="1"/>
  <c r="F12" i="1" s="1"/>
  <c r="E11" i="1"/>
  <c r="E12" i="1" s="1"/>
  <c r="D11" i="1"/>
  <c r="D12" i="1" s="1"/>
  <c r="C11" i="1"/>
  <c r="C12" i="1" s="1"/>
  <c r="B11" i="1"/>
  <c r="B12" i="1" s="1"/>
  <c r="K63" i="9" l="1"/>
  <c r="J64" i="9"/>
  <c r="J57" i="9"/>
  <c r="L63" i="9"/>
  <c r="M48" i="9"/>
  <c r="L41" i="9"/>
  <c r="J41" i="9"/>
  <c r="J40" i="9"/>
  <c r="K58" i="9"/>
  <c r="K64" i="9"/>
  <c r="J54" i="9"/>
  <c r="L50" i="9"/>
  <c r="L49" i="9"/>
  <c r="M59" i="9"/>
  <c r="M58" i="9"/>
  <c r="I66" i="9"/>
  <c r="I42" i="9"/>
  <c r="I52" i="9"/>
  <c r="I58" i="9"/>
  <c r="I49" i="9"/>
  <c r="I65" i="9"/>
  <c r="I67" i="9"/>
  <c r="I51" i="9"/>
  <c r="I56" i="9"/>
  <c r="J50" i="9"/>
  <c r="J53" i="9"/>
  <c r="J66" i="9"/>
  <c r="J52" i="9"/>
  <c r="J60" i="9"/>
  <c r="J51" i="9"/>
  <c r="J44" i="9"/>
  <c r="J42" i="9"/>
  <c r="J55" i="9"/>
  <c r="K45" i="9"/>
  <c r="K53" i="9"/>
  <c r="K61" i="9"/>
  <c r="K52" i="9"/>
  <c r="K44" i="9"/>
  <c r="K60" i="9"/>
  <c r="K57" i="9"/>
  <c r="K40" i="9"/>
  <c r="J48" i="9"/>
  <c r="L61" i="9"/>
  <c r="L45" i="9"/>
  <c r="L53" i="9"/>
  <c r="L52" i="9"/>
  <c r="L55" i="9"/>
  <c r="K48" i="9"/>
  <c r="J56" i="9"/>
  <c r="I47" i="9"/>
  <c r="K55" i="9"/>
  <c r="I50" i="9"/>
  <c r="M54" i="9"/>
  <c r="M56" i="9"/>
  <c r="M62" i="9"/>
  <c r="M40" i="9"/>
  <c r="M53" i="9"/>
  <c r="M47" i="9"/>
  <c r="M63" i="9"/>
  <c r="M55" i="9"/>
  <c r="K51" i="9"/>
  <c r="L40" i="9"/>
  <c r="I46" i="9"/>
  <c r="I45" i="9"/>
  <c r="K42" i="9"/>
  <c r="L65" i="9"/>
  <c r="K54" i="9"/>
  <c r="I63" i="9"/>
  <c r="L48" i="9"/>
  <c r="J47" i="9"/>
  <c r="I41" i="9"/>
  <c r="L46" i="9"/>
  <c r="L57" i="9"/>
  <c r="I44" i="9"/>
  <c r="L60" i="9"/>
  <c r="K50" i="9"/>
  <c r="I54" i="9"/>
  <c r="L54" i="9"/>
  <c r="K59" i="9"/>
  <c r="J49" i="9"/>
  <c r="M65" i="9"/>
  <c r="M57" i="9"/>
  <c r="K56" i="9"/>
  <c r="M60" i="9"/>
  <c r="M46" i="9"/>
  <c r="J45" i="9"/>
  <c r="J63" i="9"/>
  <c r="I43" i="9"/>
  <c r="I62" i="9"/>
  <c r="I48" i="9"/>
  <c r="J43" i="9"/>
  <c r="I53" i="9"/>
  <c r="I61" i="9"/>
  <c r="L47" i="9"/>
  <c r="K47" i="9"/>
  <c r="I59" i="9"/>
  <c r="K66" i="9"/>
  <c r="M52" i="9"/>
  <c r="K46" i="9"/>
  <c r="L64" i="9"/>
  <c r="L56" i="9"/>
  <c r="K43" i="9"/>
  <c r="J59" i="9"/>
  <c r="I40" i="9"/>
  <c r="I60" i="9"/>
  <c r="M51" i="9"/>
  <c r="M50" i="9"/>
  <c r="K49" i="9"/>
  <c r="I64" i="9"/>
  <c r="J67" i="9"/>
  <c r="L66" i="9"/>
  <c r="J65" i="9"/>
  <c r="I57" i="9"/>
  <c r="J61" i="9"/>
  <c r="I55" i="9"/>
  <c r="M44" i="9"/>
  <c r="K67" i="9"/>
  <c r="D71" i="2"/>
  <c r="F6" i="3" s="1"/>
  <c r="D70" i="2"/>
  <c r="C6" i="3" s="1"/>
  <c r="K20" i="9"/>
  <c r="K21" i="9"/>
  <c r="M21" i="9"/>
  <c r="I22" i="9"/>
  <c r="K22" i="9"/>
  <c r="M22" i="9"/>
  <c r="N23" i="9"/>
  <c r="O23" i="9" s="1"/>
  <c r="K23" i="9"/>
  <c r="M23" i="9"/>
  <c r="N24" i="9"/>
  <c r="O24" i="9" s="1"/>
  <c r="K24" i="9"/>
  <c r="M24" i="9"/>
  <c r="K25" i="9"/>
  <c r="M25" i="9"/>
  <c r="I26" i="9"/>
  <c r="K26" i="9"/>
  <c r="M26" i="9"/>
  <c r="K27" i="9"/>
  <c r="M27" i="9"/>
  <c r="K28" i="9"/>
  <c r="M28" i="9"/>
  <c r="K29" i="9"/>
  <c r="M29" i="9"/>
  <c r="I30" i="9"/>
  <c r="K30" i="9"/>
  <c r="M30" i="9"/>
  <c r="K31" i="9"/>
  <c r="M31" i="9"/>
  <c r="K32" i="9"/>
  <c r="M32" i="9"/>
  <c r="K33" i="9"/>
  <c r="M33" i="9"/>
  <c r="I34" i="9"/>
  <c r="K34" i="9"/>
  <c r="M34" i="9"/>
  <c r="K35" i="9"/>
  <c r="M35" i="9"/>
  <c r="K36" i="9"/>
  <c r="M36" i="9"/>
  <c r="J10" i="9"/>
  <c r="L10" i="9"/>
  <c r="J12" i="9"/>
  <c r="L12" i="9"/>
  <c r="J14" i="9"/>
  <c r="L14" i="9"/>
  <c r="J16" i="9"/>
  <c r="L16" i="9"/>
  <c r="J18" i="9"/>
  <c r="L18" i="9"/>
  <c r="J20" i="9"/>
  <c r="L20" i="9"/>
  <c r="N10" i="9"/>
  <c r="O10" i="9" s="1"/>
  <c r="K10" i="9"/>
  <c r="M10" i="9"/>
  <c r="K11" i="9"/>
  <c r="M11" i="9"/>
  <c r="K12" i="9"/>
  <c r="M12" i="9"/>
  <c r="K13" i="9"/>
  <c r="M13" i="9"/>
  <c r="I14" i="9"/>
  <c r="K14" i="9"/>
  <c r="M14" i="9"/>
  <c r="K15" i="9"/>
  <c r="M15" i="9"/>
  <c r="K16" i="9"/>
  <c r="M16" i="9"/>
  <c r="K17" i="9"/>
  <c r="M17" i="9"/>
  <c r="J38" i="9"/>
  <c r="L38" i="9"/>
  <c r="K18" i="9"/>
  <c r="M18" i="9"/>
  <c r="K19" i="9"/>
  <c r="M19" i="9"/>
  <c r="M20" i="9"/>
  <c r="J22" i="9"/>
  <c r="L22" i="9"/>
  <c r="J24" i="9"/>
  <c r="L24" i="9"/>
  <c r="J26" i="9"/>
  <c r="L26" i="9"/>
  <c r="J28" i="9"/>
  <c r="L28" i="9"/>
  <c r="J30" i="9"/>
  <c r="L30" i="9"/>
  <c r="J32" i="9"/>
  <c r="L32" i="9"/>
  <c r="J34" i="9"/>
  <c r="L34" i="9"/>
  <c r="J36" i="9"/>
  <c r="L36" i="9"/>
  <c r="K37" i="9"/>
  <c r="M37" i="9"/>
  <c r="I38" i="9"/>
  <c r="K38" i="9"/>
  <c r="M38" i="9"/>
  <c r="N39" i="9"/>
  <c r="O39" i="9" s="1"/>
  <c r="K39" i="9"/>
  <c r="M39" i="9"/>
  <c r="N17" i="9"/>
  <c r="O17" i="9" s="1"/>
  <c r="N18" i="9"/>
  <c r="O18" i="9" s="1"/>
  <c r="N31" i="9"/>
  <c r="O31" i="9" s="1"/>
  <c r="N32" i="9"/>
  <c r="O32" i="9" s="1"/>
  <c r="I18" i="9"/>
  <c r="I10" i="9"/>
  <c r="N15" i="9"/>
  <c r="O15" i="9" s="1"/>
  <c r="N16" i="9"/>
  <c r="O16" i="9" s="1"/>
  <c r="N25" i="9"/>
  <c r="O25" i="9" s="1"/>
  <c r="N26" i="9"/>
  <c r="O26" i="9" s="1"/>
  <c r="N33" i="9"/>
  <c r="O33" i="9" s="1"/>
  <c r="N34" i="9"/>
  <c r="O34" i="9" s="1"/>
  <c r="N11" i="9"/>
  <c r="O11" i="9" s="1"/>
  <c r="N12" i="9"/>
  <c r="O12" i="9" s="1"/>
  <c r="N13" i="9"/>
  <c r="O13" i="9" s="1"/>
  <c r="N14" i="9"/>
  <c r="O14" i="9" s="1"/>
  <c r="N19" i="9"/>
  <c r="O19" i="9" s="1"/>
  <c r="N20" i="9"/>
  <c r="O20" i="9" s="1"/>
  <c r="N21" i="9"/>
  <c r="O21" i="9" s="1"/>
  <c r="N22" i="9"/>
  <c r="O22" i="9" s="1"/>
  <c r="N27" i="9"/>
  <c r="O27" i="9" s="1"/>
  <c r="N28" i="9"/>
  <c r="O28" i="9" s="1"/>
  <c r="N29" i="9"/>
  <c r="O29" i="9" s="1"/>
  <c r="N30" i="9"/>
  <c r="O30" i="9" s="1"/>
  <c r="N35" i="9"/>
  <c r="O35" i="9" s="1"/>
  <c r="N36" i="9"/>
  <c r="O36" i="9" s="1"/>
  <c r="N37" i="9"/>
  <c r="O37" i="9" s="1"/>
  <c r="N38" i="9"/>
  <c r="O38" i="9" s="1"/>
  <c r="I12" i="9"/>
  <c r="I16" i="9"/>
  <c r="I20" i="9"/>
  <c r="I24" i="9"/>
  <c r="I28" i="9"/>
  <c r="I32" i="9"/>
  <c r="I36" i="9"/>
  <c r="I11" i="9"/>
  <c r="I13" i="9"/>
  <c r="I15" i="9"/>
  <c r="I17" i="9"/>
  <c r="I19" i="9"/>
  <c r="I21" i="9"/>
  <c r="I23" i="9"/>
  <c r="I25" i="9"/>
  <c r="I27" i="9"/>
  <c r="I29" i="9"/>
  <c r="I31" i="9"/>
  <c r="I33" i="9"/>
  <c r="I35" i="9"/>
  <c r="I37" i="9"/>
  <c r="I39" i="9"/>
  <c r="N8" i="9"/>
  <c r="O8" i="9" s="1"/>
  <c r="J11" i="9"/>
  <c r="L11" i="9"/>
  <c r="J13" i="9"/>
  <c r="L13" i="9"/>
  <c r="J15" i="9"/>
  <c r="L15" i="9"/>
  <c r="J17" i="9"/>
  <c r="L17" i="9"/>
  <c r="J19" i="9"/>
  <c r="L19" i="9"/>
  <c r="J21" i="9"/>
  <c r="L21" i="9"/>
  <c r="J23" i="9"/>
  <c r="L23" i="9"/>
  <c r="J25" i="9"/>
  <c r="L25" i="9"/>
  <c r="J27" i="9"/>
  <c r="L27" i="9"/>
  <c r="J29" i="9"/>
  <c r="L29" i="9"/>
  <c r="J31" i="9"/>
  <c r="L31" i="9"/>
  <c r="J33" i="9"/>
  <c r="L33" i="9"/>
  <c r="J35" i="9"/>
  <c r="L35" i="9"/>
  <c r="J37" i="9"/>
  <c r="L37" i="9"/>
  <c r="J39" i="9"/>
  <c r="L39" i="9"/>
  <c r="E71" i="2" l="1"/>
  <c r="G6" i="3" s="1"/>
  <c r="H6" i="3" s="1"/>
  <c r="E70" i="2"/>
  <c r="D6" i="3" s="1"/>
  <c r="E6" i="3" s="1"/>
  <c r="D80" i="9"/>
  <c r="E80" i="9" s="1"/>
  <c r="O10" i="10" s="1"/>
  <c r="D79" i="9"/>
  <c r="E79" i="9" s="1"/>
  <c r="N9" i="10" s="1"/>
  <c r="D78" i="9"/>
  <c r="E78" i="9" s="1"/>
  <c r="O8" i="10" s="1"/>
  <c r="D77" i="9"/>
  <c r="E77" i="9" s="1"/>
  <c r="N7" i="10" s="1"/>
  <c r="D76" i="9"/>
  <c r="E76" i="9" s="1"/>
  <c r="O6" i="10" s="1"/>
  <c r="B6" i="10" l="1"/>
  <c r="F6" i="10"/>
  <c r="I6" i="3"/>
  <c r="B6" i="4" s="1"/>
  <c r="J6" i="10"/>
  <c r="N6" i="10"/>
  <c r="F76" i="9"/>
  <c r="E6" i="10"/>
  <c r="I6" i="10"/>
  <c r="M6" i="10"/>
  <c r="F80" i="9"/>
  <c r="D10" i="10"/>
  <c r="H10" i="10"/>
  <c r="L10" i="10"/>
  <c r="P10" i="10"/>
  <c r="E10" i="10"/>
  <c r="I10" i="10"/>
  <c r="M10" i="10"/>
  <c r="B10" i="10"/>
  <c r="F10" i="10"/>
  <c r="J10" i="10"/>
  <c r="N10" i="10"/>
  <c r="C10" i="10"/>
  <c r="G10" i="10"/>
  <c r="K10" i="10"/>
  <c r="E9" i="10"/>
  <c r="I9" i="10"/>
  <c r="M9" i="10"/>
  <c r="F79" i="9"/>
  <c r="D9" i="10"/>
  <c r="H9" i="10"/>
  <c r="L9" i="10"/>
  <c r="P9" i="10"/>
  <c r="C9" i="10"/>
  <c r="G9" i="10"/>
  <c r="K9" i="10"/>
  <c r="O9" i="10"/>
  <c r="B9" i="10"/>
  <c r="F9" i="10"/>
  <c r="J9" i="10"/>
  <c r="F78" i="9"/>
  <c r="P8" i="10"/>
  <c r="H8" i="10"/>
  <c r="I8" i="10"/>
  <c r="C7" i="10"/>
  <c r="G7" i="10"/>
  <c r="K7" i="10"/>
  <c r="O7" i="10"/>
  <c r="D7" i="10"/>
  <c r="H7" i="10"/>
  <c r="L7" i="10"/>
  <c r="P7" i="10"/>
  <c r="F77" i="9"/>
  <c r="E7" i="10"/>
  <c r="I7" i="10"/>
  <c r="M7" i="10"/>
  <c r="B7" i="10"/>
  <c r="F7" i="10"/>
  <c r="J7" i="10"/>
  <c r="D8" i="10"/>
  <c r="L8" i="10"/>
  <c r="E8" i="10"/>
  <c r="M8" i="10"/>
  <c r="B8" i="10"/>
  <c r="F8" i="10"/>
  <c r="J8" i="10"/>
  <c r="N8" i="10"/>
  <c r="C8" i="10"/>
  <c r="G8" i="10"/>
  <c r="K8" i="10"/>
  <c r="D6" i="10"/>
  <c r="H6" i="10"/>
  <c r="L6" i="10"/>
  <c r="P6" i="10"/>
  <c r="C6" i="10"/>
  <c r="G6" i="10"/>
  <c r="K6" i="10"/>
  <c r="I6" i="4" l="1"/>
  <c r="D6" i="4"/>
  <c r="J6" i="4"/>
  <c r="L6" i="4"/>
  <c r="C6" i="4"/>
  <c r="G6" i="4"/>
  <c r="M6" i="4"/>
  <c r="F6" i="4"/>
  <c r="H6" i="4"/>
  <c r="N6" i="4"/>
  <c r="P6" i="4"/>
  <c r="K6" i="4"/>
  <c r="O6" i="4"/>
  <c r="E6" i="4"/>
  <c r="E11" i="10"/>
  <c r="E6" i="11" s="1"/>
  <c r="E7" i="11" s="1"/>
  <c r="J77" i="9"/>
  <c r="M11" i="10"/>
  <c r="N11" i="10"/>
  <c r="H11" i="10"/>
  <c r="B11" i="10"/>
  <c r="B6" i="11" s="1"/>
  <c r="B7" i="11" s="1"/>
  <c r="J11" i="10"/>
  <c r="P11" i="10"/>
  <c r="O11" i="10"/>
  <c r="I11" i="10"/>
  <c r="K11" i="10"/>
  <c r="F11" i="10"/>
  <c r="F6" i="11" s="1"/>
  <c r="F7" i="11" s="1"/>
  <c r="L11" i="10"/>
  <c r="G11" i="10"/>
  <c r="C11" i="10"/>
  <c r="D11" i="10"/>
  <c r="C6" i="11" l="1"/>
  <c r="C7" i="11" s="1"/>
  <c r="L6" i="11"/>
  <c r="L7" i="11" s="1"/>
  <c r="J6" i="11"/>
  <c r="J7" i="11" s="1"/>
  <c r="D6" i="11"/>
  <c r="D7" i="11" s="1"/>
  <c r="G6" i="11"/>
  <c r="G7" i="11" s="1"/>
  <c r="I6" i="11"/>
  <c r="I7" i="11" s="1"/>
  <c r="K6" i="11"/>
  <c r="K7" i="11" s="1"/>
  <c r="O6" i="11"/>
  <c r="O7" i="11" s="1"/>
  <c r="P6" i="11"/>
  <c r="P7" i="11" s="1"/>
  <c r="H6" i="11"/>
  <c r="H7" i="11" s="1"/>
  <c r="N6" i="11"/>
  <c r="N7" i="11" s="1"/>
  <c r="M6" i="11"/>
  <c r="M7" i="11" s="1"/>
</calcChain>
</file>

<file path=xl/sharedStrings.xml><?xml version="1.0" encoding="utf-8"?>
<sst xmlns="http://schemas.openxmlformats.org/spreadsheetml/2006/main" count="212" uniqueCount="102">
  <si>
    <t>CO to PO &amp; PSO Mapping</t>
  </si>
  <si>
    <t>II Year III Semester</t>
  </si>
  <si>
    <t>Course Outcome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</si>
  <si>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</si>
  <si>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</si>
  <si>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</si>
  <si>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</si>
  <si>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</si>
  <si>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</si>
  <si>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</si>
  <si>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</si>
  <si>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</si>
  <si>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</si>
  <si>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</si>
  <si>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</si>
  <si>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</si>
  <si>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</si>
  <si>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</si>
  <si>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CO23CS201.1</t>
  </si>
  <si>
    <t>CO23CS201.2</t>
  </si>
  <si>
    <t>CO23CS201.3</t>
  </si>
  <si>
    <t>CO23CS201.4</t>
  </si>
  <si>
    <t>CO23CS201.5</t>
  </si>
  <si>
    <t>CO35CS203 Avg</t>
  </si>
  <si>
    <t>3CS2-01 (AVG)</t>
  </si>
  <si>
    <t xml:space="preserve">                                                                                                                                                       Signature Subject Teacher</t>
  </si>
  <si>
    <t>End Term and Sessional Assessment Sheet</t>
  </si>
  <si>
    <t>S.NO.</t>
  </si>
  <si>
    <t>RTU ROLL NUMBER</t>
  </si>
  <si>
    <t>NAME OF STUDENT</t>
  </si>
  <si>
    <t>END TERM
MARKS</t>
  </si>
  <si>
    <t>SESSIONAL
MARKS</t>
  </si>
  <si>
    <t>TOTAL</t>
  </si>
  <si>
    <t>Course Attainment with
Target in %</t>
  </si>
  <si>
    <t>MAX MARKS</t>
  </si>
  <si>
    <t>Set Target Level</t>
  </si>
  <si>
    <t>CO Attainment Calculation</t>
  </si>
  <si>
    <t>% of students get &gt;= Target %</t>
  </si>
  <si>
    <t>CO Attainment Level</t>
  </si>
  <si>
    <t>Signature Subject Teacher</t>
  </si>
  <si>
    <t>Attainment of End Term Exam</t>
  </si>
  <si>
    <t>Attainment of Sessional Exam</t>
  </si>
  <si>
    <t xml:space="preserve">Attainment of Subject </t>
  </si>
  <si>
    <t>Course code as per NBA</t>
  </si>
  <si>
    <t>Subject Code</t>
  </si>
  <si>
    <t>% of students securing 60% or more Marks in theory</t>
  </si>
  <si>
    <t>Attainment Level</t>
  </si>
  <si>
    <t>Attainment Level considering 80% weightage</t>
  </si>
  <si>
    <t>% of students securing 75% or more Marks in sessional</t>
  </si>
  <si>
    <t>Attainment Level considering 20% weightage</t>
  </si>
  <si>
    <t>Total Attinment</t>
  </si>
  <si>
    <t>5CS2-03</t>
  </si>
  <si>
    <t>Signature HOD</t>
  </si>
  <si>
    <t>CO to PO &amp; PSO Attainment Through End Term Assessment</t>
  </si>
  <si>
    <t>Course</t>
  </si>
  <si>
    <t>MID TERM I EXAM MARK RECORD</t>
  </si>
  <si>
    <t>RTU ROLL
NUMBER</t>
  </si>
  <si>
    <t>CO MAPPED</t>
  </si>
  <si>
    <t>CO1</t>
  </si>
  <si>
    <t xml:space="preserve">Target 70% students attain 70% marks (1) </t>
  </si>
  <si>
    <t>Target 70% students attain 80% marks (2)</t>
  </si>
  <si>
    <t>Target 70% students attain 90% marks (3)</t>
  </si>
  <si>
    <t>CO2</t>
  </si>
  <si>
    <t>CO3</t>
  </si>
  <si>
    <t xml:space="preserve">Target 50% students attain 70% marks (1) </t>
  </si>
  <si>
    <t>Target 50% students attain 80% marks (2)</t>
  </si>
  <si>
    <t>Target 50% students attain 90% marks (3)</t>
  </si>
  <si>
    <t>CO4</t>
  </si>
  <si>
    <t>CO5</t>
  </si>
  <si>
    <t>Marks and Gap Analysis of Mid-Term 1</t>
  </si>
  <si>
    <t>Sr. No</t>
  </si>
  <si>
    <t>RTU Roll Number</t>
  </si>
  <si>
    <t>Name of the Student</t>
  </si>
  <si>
    <t>M-1 Marks (70)</t>
  </si>
  <si>
    <t>Remark
( Remedial Class need or not – Y/N )</t>
  </si>
  <si>
    <t>MID TERM II EXAM MARK RECORD</t>
  </si>
  <si>
    <t>Marks and Gap Analysis of Mid-Term 2</t>
  </si>
  <si>
    <t>M-2 Marks (70)</t>
  </si>
  <si>
    <t>Course Outcome Attainment Sheet (Sessional)</t>
  </si>
  <si>
    <t>Course Attainment with Target in %</t>
  </si>
  <si>
    <t>Total No. of Students</t>
  </si>
  <si>
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</si>
  <si>
    <t>No. of Students Attained CO23CS201.1</t>
  </si>
  <si>
    <t>No. of Students Attained CO23CS201.2</t>
  </si>
  <si>
    <t>CO Achieved</t>
  </si>
  <si>
    <t>No. of Students Attained CO23CS201.3</t>
  </si>
  <si>
    <t>No. of Students Attained CO23CS201.4</t>
  </si>
  <si>
    <t>No. of Students Attained CO23CS201.5</t>
  </si>
  <si>
    <t>Rationale:
If 0-15% Students get &gt;=Target % then Attainment Level=0
If 15-45% Students get &gt;=Target % then Attainment Level=1
If 45-60% Students get &gt;=Target % then Attainment Level=2
If 60-100% Students get &gt;=Target % then Attainment Level=3</t>
  </si>
  <si>
    <t>Signature Subject Teacher:</t>
  </si>
  <si>
    <t>CO to PO &amp; PSO Attainment Through Sessional Assessment</t>
  </si>
  <si>
    <t>Course to PO &amp; PSO Attainment From All Tools</t>
  </si>
  <si>
    <t>CO12FY201</t>
  </si>
  <si>
    <t>CO12FY201
(Round Off)</t>
  </si>
  <si>
    <t>SUBJECT: Advanced Engineering Mathematics                                                                                                   Faculty: Dr. Kalpana Fatawat</t>
  </si>
  <si>
    <t>MT1</t>
  </si>
  <si>
    <t>MT2</t>
  </si>
  <si>
    <t>RollNo</t>
  </si>
  <si>
    <t>Name</t>
  </si>
  <si>
    <t>t_End Term
Exam</t>
  </si>
  <si>
    <t>t_Sessional
Exam</t>
  </si>
  <si>
    <t>DEPARTMENT OF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</si>
</sst>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</font>
    <font>
      <sz val="11"/>
      <name val="Arial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Arial"/>
    </font>
    <font>
      <sz val="10"/>
      <color theme="1"/>
      <name val="Times New Roman"/>
    </font>
    <font>
      <sz val="11"/>
      <color theme="1"/>
      <name val="Arial"/>
    </font>
    <font>
      <b/>
      <sz val="12"/>
      <color rgb="FF000000"/>
      <name val="Calibri"/>
    </font>
    <font>
      <b/>
      <sz val="14"/>
      <color theme="1"/>
      <name val="Calibri"/>
    </font>
    <font>
      <sz val="12"/>
      <color rgb="FF000000"/>
      <name val="Calibri"/>
    </font>
    <font>
      <sz val="11"/>
      <color rgb="FF000000"/>
      <name val="Arial"/>
    </font>
    <font>
      <sz val="14"/>
      <color theme="1"/>
      <name val="Calibri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Arial"/>
      <family val="2"/>
      <scheme val="major"/>
    </font>
    <font>
      <sz val="11"/>
      <color rgb="FF9C6500"/>
      <name val="Arial"/>
      <family val="2"/>
      <scheme val="minor"/>
    </font>
    <font>
      <sz val="8"/>
      <name val="Arial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6" fillId="0" borderId="37" applyNumberFormat="0" applyFill="0" applyAlignment="0" applyProtection="0"/>
    <xf numFmtId="0" fontId="17" fillId="0" borderId="38" applyNumberFormat="0" applyFill="0" applyAlignment="0" applyProtection="0"/>
    <xf numFmtId="0" fontId="18" fillId="0" borderId="39" applyNumberFormat="0" applyFill="0" applyAlignment="0" applyProtection="0"/>
    <xf numFmtId="0" fontId="21" fillId="12" borderId="40" applyNumberFormat="0" applyAlignment="0" applyProtection="0"/>
    <xf numFmtId="0" fontId="22" fillId="13" borderId="41" applyNumberFormat="0" applyAlignment="0" applyProtection="0"/>
    <xf numFmtId="0" fontId="23" fillId="13" borderId="40" applyNumberFormat="0" applyAlignment="0" applyProtection="0"/>
    <xf numFmtId="0" fontId="24" fillId="0" borderId="42" applyNumberFormat="0" applyFill="0" applyAlignment="0" applyProtection="0"/>
    <xf numFmtId="0" fontId="25" fillId="14" borderId="43" applyNumberFormat="0" applyAlignment="0" applyProtection="0"/>
    <xf numFmtId="0" fontId="28" fillId="0" borderId="45" applyNumberFormat="0" applyFill="0" applyAlignment="0" applyProtection="0"/>
    <xf numFmtId="0" fontId="2" fillId="0" borderId="32"/>
    <xf numFmtId="0" fontId="30" fillId="0" borderId="32" applyNumberFormat="0" applyFill="0" applyBorder="0" applyAlignment="0" applyProtection="0"/>
    <xf numFmtId="0" fontId="18" fillId="0" borderId="32" applyNumberFormat="0" applyFill="0" applyBorder="0" applyAlignment="0" applyProtection="0"/>
    <xf numFmtId="0" fontId="19" fillId="9" borderId="32" applyNumberFormat="0" applyBorder="0" applyAlignment="0" applyProtection="0"/>
    <xf numFmtId="0" fontId="20" fillId="10" borderId="32" applyNumberFormat="0" applyBorder="0" applyAlignment="0" applyProtection="0"/>
    <xf numFmtId="0" fontId="31" fillId="11" borderId="32" applyNumberFormat="0" applyBorder="0" applyAlignment="0" applyProtection="0"/>
    <xf numFmtId="0" fontId="26" fillId="0" borderId="32" applyNumberFormat="0" applyFill="0" applyBorder="0" applyAlignment="0" applyProtection="0"/>
    <xf numFmtId="0" fontId="2" fillId="15" borderId="44" applyNumberFormat="0" applyFont="0" applyAlignment="0" applyProtection="0"/>
    <xf numFmtId="0" fontId="27" fillId="0" borderId="32" applyNumberFormat="0" applyFill="0" applyBorder="0" applyAlignment="0" applyProtection="0"/>
    <xf numFmtId="0" fontId="29" fillId="16" borderId="32" applyNumberFormat="0" applyBorder="0" applyAlignment="0" applyProtection="0"/>
    <xf numFmtId="0" fontId="2" fillId="17" borderId="32" applyNumberFormat="0" applyBorder="0" applyAlignment="0" applyProtection="0"/>
    <xf numFmtId="0" fontId="2" fillId="18" borderId="32" applyNumberFormat="0" applyBorder="0" applyAlignment="0" applyProtection="0"/>
    <xf numFmtId="0" fontId="29" fillId="19" borderId="32" applyNumberFormat="0" applyBorder="0" applyAlignment="0" applyProtection="0"/>
    <xf numFmtId="0" fontId="29" fillId="20" borderId="32" applyNumberFormat="0" applyBorder="0" applyAlignment="0" applyProtection="0"/>
    <xf numFmtId="0" fontId="2" fillId="21" borderId="32" applyNumberFormat="0" applyBorder="0" applyAlignment="0" applyProtection="0"/>
    <xf numFmtId="0" fontId="2" fillId="22" borderId="32" applyNumberFormat="0" applyBorder="0" applyAlignment="0" applyProtection="0"/>
    <xf numFmtId="0" fontId="29" fillId="23" borderId="32" applyNumberFormat="0" applyBorder="0" applyAlignment="0" applyProtection="0"/>
    <xf numFmtId="0" fontId="29" fillId="24" borderId="32" applyNumberFormat="0" applyBorder="0" applyAlignment="0" applyProtection="0"/>
    <xf numFmtId="0" fontId="2" fillId="25" borderId="32" applyNumberFormat="0" applyBorder="0" applyAlignment="0" applyProtection="0"/>
    <xf numFmtId="0" fontId="2" fillId="26" borderId="32" applyNumberFormat="0" applyBorder="0" applyAlignment="0" applyProtection="0"/>
    <xf numFmtId="0" fontId="29" fillId="27" borderId="32" applyNumberFormat="0" applyBorder="0" applyAlignment="0" applyProtection="0"/>
    <xf numFmtId="0" fontId="29" fillId="28" borderId="32" applyNumberFormat="0" applyBorder="0" applyAlignment="0" applyProtection="0"/>
    <xf numFmtId="0" fontId="2" fillId="29" borderId="32" applyNumberFormat="0" applyBorder="0" applyAlignment="0" applyProtection="0"/>
    <xf numFmtId="0" fontId="2" fillId="30" borderId="32" applyNumberFormat="0" applyBorder="0" applyAlignment="0" applyProtection="0"/>
    <xf numFmtId="0" fontId="29" fillId="31" borderId="32" applyNumberFormat="0" applyBorder="0" applyAlignment="0" applyProtection="0"/>
    <xf numFmtId="0" fontId="29" fillId="32" borderId="32" applyNumberFormat="0" applyBorder="0" applyAlignment="0" applyProtection="0"/>
    <xf numFmtId="0" fontId="2" fillId="33" borderId="32" applyNumberFormat="0" applyBorder="0" applyAlignment="0" applyProtection="0"/>
    <xf numFmtId="0" fontId="2" fillId="34" borderId="32" applyNumberFormat="0" applyBorder="0" applyAlignment="0" applyProtection="0"/>
    <xf numFmtId="0" fontId="29" fillId="35" borderId="32" applyNumberFormat="0" applyBorder="0" applyAlignment="0" applyProtection="0"/>
    <xf numFmtId="0" fontId="29" fillId="36" borderId="32" applyNumberFormat="0" applyBorder="0" applyAlignment="0" applyProtection="0"/>
    <xf numFmtId="0" fontId="2" fillId="37" borderId="32" applyNumberFormat="0" applyBorder="0" applyAlignment="0" applyProtection="0"/>
    <xf numFmtId="0" fontId="2" fillId="38" borderId="32" applyNumberFormat="0" applyBorder="0" applyAlignment="0" applyProtection="0"/>
    <xf numFmtId="0" fontId="29" fillId="39" borderId="32" applyNumberFormat="0" applyBorder="0" applyAlignment="0" applyProtection="0"/>
    <xf numFmtId="0" fontId="2" fillId="0" borderId="32"/>
  </cellStyleXfs>
  <cellXfs count="125">
    <xf numFmtId="0" fontId="0" fillId="0" borderId="0" xfId="0"/>
    <xf numFmtId="0" fontId="5" fillId="0" borderId="0" xfId="0" applyFont="1"/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2" borderId="10" xfId="0" applyFont="1" applyFill="1" applyBorder="1" applyAlignment="1">
      <alignment horizontal="center" vertical="center"/>
    </xf>
    <xf numFmtId="0" fontId="3" fillId="0" borderId="0" xfId="0" applyFont="1"/>
    <xf numFmtId="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9" fontId="3" fillId="2" borderId="10" xfId="0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0" xfId="0" applyFont="1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6" fillId="0" borderId="0" xfId="0" applyFont="1"/>
    <xf numFmtId="2" fontId="5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wrapText="1"/>
    </xf>
    <xf numFmtId="1" fontId="10" fillId="0" borderId="0" xfId="0" applyNumberFormat="1" applyFont="1"/>
    <xf numFmtId="0" fontId="5" fillId="3" borderId="10" xfId="0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3" fillId="2" borderId="18" xfId="0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164" fontId="5" fillId="0" borderId="10" xfId="0" applyNumberFormat="1" applyFont="1" applyBorder="1" applyAlignment="1">
      <alignment horizontal="center" vertical="center"/>
    </xf>
    <xf numFmtId="0" fontId="7" fillId="5" borderId="10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wrapText="1"/>
    </xf>
    <xf numFmtId="1" fontId="14" fillId="5" borderId="29" xfId="0" applyNumberFormat="1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49" fontId="2" fillId="0" borderId="10" xfId="10" applyNumberFormat="1" applyBorder="1" applyAlignment="1">
      <alignment wrapText="1"/>
    </xf>
    <xf numFmtId="0" fontId="2" fillId="0" borderId="10" xfId="10" applyBorder="1" applyAlignment="1">
      <alignment wrapText="1"/>
    </xf>
    <xf numFmtId="0" fontId="2" fillId="8" borderId="10" xfId="10" applyFill="1" applyBorder="1" applyAlignment="1">
      <alignment wrapText="1"/>
    </xf>
    <xf numFmtId="49" fontId="2" fillId="8" borderId="10" xfId="10" applyNumberFormat="1" applyFill="1" applyBorder="1" applyAlignment="1">
      <alignment wrapText="1"/>
    </xf>
    <xf numFmtId="1" fontId="0" fillId="0" borderId="0" xfId="0" applyNumberFormat="1"/>
    <xf numFmtId="0" fontId="2" fillId="0" borderId="10" xfId="43" applyBorder="1" applyAlignment="1">
      <alignment wrapText="1"/>
    </xf>
    <xf numFmtId="49" fontId="1" fillId="0" borderId="10" xfId="10" applyNumberFormat="1" applyFont="1" applyBorder="1" applyAlignment="1">
      <alignment wrapText="1"/>
    </xf>
    <xf numFmtId="0" fontId="3" fillId="2" borderId="12" xfId="0" applyFont="1" applyFill="1" applyBorder="1" applyAlignment="1">
      <alignment horizontal="center" vertical="center"/>
    </xf>
    <xf numFmtId="0" fontId="4" fillId="0" borderId="27" xfId="0" applyFont="1" applyBorder="1"/>
    <xf numFmtId="0" fontId="4" fillId="0" borderId="13" xfId="0" applyFont="1" applyBorder="1"/>
    <xf numFmtId="9" fontId="3" fillId="2" borderId="1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2" borderId="12" xfId="0" applyFont="1" applyFill="1" applyBorder="1" applyAlignment="1">
      <alignment horizontal="center" vertical="center" wrapText="1"/>
    </xf>
    <xf numFmtId="0" fontId="4" fillId="0" borderId="30" xfId="0" applyFont="1" applyBorder="1"/>
    <xf numFmtId="0" fontId="3" fillId="0" borderId="1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left" vertical="center" wrapText="1"/>
    </xf>
    <xf numFmtId="0" fontId="4" fillId="0" borderId="20" xfId="0" applyFont="1" applyBorder="1"/>
    <xf numFmtId="0" fontId="4" fillId="0" borderId="21" xfId="0" applyFont="1" applyBorder="1"/>
    <xf numFmtId="0" fontId="4" fillId="0" borderId="25" xfId="0" applyFont="1" applyBorder="1"/>
    <xf numFmtId="0" fontId="0" fillId="0" borderId="0" xfId="0"/>
    <xf numFmtId="0" fontId="4" fillId="0" borderId="26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10" fillId="0" borderId="34" xfId="0" applyFont="1" applyBorder="1" applyAlignment="1">
      <alignment horizontal="center"/>
    </xf>
    <xf numFmtId="0" fontId="4" fillId="0" borderId="35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3" fillId="0" borderId="19" xfId="0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4" fillId="5" borderId="13" xfId="0" applyFont="1" applyFill="1" applyBorder="1"/>
    <xf numFmtId="0" fontId="4" fillId="5" borderId="28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5" borderId="3" xfId="0" applyFont="1" applyFill="1" applyBorder="1"/>
    <xf numFmtId="0" fontId="3" fillId="6" borderId="12" xfId="0" applyFont="1" applyFill="1" applyBorder="1" applyAlignment="1">
      <alignment horizontal="center" vertical="center"/>
    </xf>
    <xf numFmtId="0" fontId="4" fillId="5" borderId="27" xfId="0" applyFont="1" applyFill="1" applyBorder="1"/>
    <xf numFmtId="0" fontId="12" fillId="5" borderId="33" xfId="0" applyFont="1" applyFill="1" applyBorder="1" applyAlignment="1">
      <alignment horizontal="center"/>
    </xf>
    <xf numFmtId="0" fontId="4" fillId="0" borderId="28" xfId="0" applyFont="1" applyBorder="1"/>
    <xf numFmtId="0" fontId="12" fillId="5" borderId="23" xfId="0" applyFont="1" applyFill="1" applyBorder="1" applyAlignment="1">
      <alignment horizontal="center"/>
    </xf>
    <xf numFmtId="0" fontId="4" fillId="5" borderId="23" xfId="0" applyFont="1" applyFill="1" applyBorder="1"/>
    <xf numFmtId="49" fontId="2" fillId="0" borderId="13" xfId="10" applyNumberFormat="1" applyBorder="1" applyAlignment="1">
      <alignment wrapText="1"/>
    </xf>
    <xf numFmtId="0" fontId="2" fillId="0" borderId="13" xfId="10" applyBorder="1" applyAlignment="1">
      <alignment wrapText="1"/>
    </xf>
    <xf numFmtId="0" fontId="2" fillId="0" borderId="12" xfId="43" applyBorder="1" applyAlignment="1">
      <alignment wrapText="1"/>
    </xf>
  </cellXfs>
  <cellStyles count="44">
    <cellStyle name="20% - Accent1 2" xfId="20" xr:uid="{5CC618F5-6B4D-41A0-B990-9C2EE0EABCDB}"/>
    <cellStyle name="20% - Accent2 2" xfId="24" xr:uid="{89ABEF79-AFFB-4FFC-8382-E70F91CF51E7}"/>
    <cellStyle name="20% - Accent3 2" xfId="28" xr:uid="{D7DE5DAA-DBD9-4CA7-A6DD-B3AA02EFF80B}"/>
    <cellStyle name="20% - Accent4 2" xfId="32" xr:uid="{F85363A4-A24E-4DE1-9CC7-3BCC80EAA505}"/>
    <cellStyle name="20% - Accent5 2" xfId="36" xr:uid="{0AA4B54C-5A66-4181-83E6-A7AC2762CEE0}"/>
    <cellStyle name="20% - Accent6 2" xfId="40" xr:uid="{87357F37-C42A-4486-83D7-0CB4383AB98A}"/>
    <cellStyle name="40% - Accent1 2" xfId="21" xr:uid="{603D780E-074A-42C3-B131-5A581CC1646E}"/>
    <cellStyle name="40% - Accent2 2" xfId="25" xr:uid="{16EA5E77-03CD-4E9A-99D3-875B21ABC964}"/>
    <cellStyle name="40% - Accent3 2" xfId="29" xr:uid="{5848D874-5E6C-4B86-96A3-58379544C37B}"/>
    <cellStyle name="40% - Accent4 2" xfId="33" xr:uid="{4ABF4027-F937-4E4B-B4F2-099C341B0683}"/>
    <cellStyle name="40% - Accent5 2" xfId="37" xr:uid="{6B567C05-1F58-4074-85EA-152773787374}"/>
    <cellStyle name="40% - Accent6 2" xfId="41" xr:uid="{D2758053-254C-4A61-A35A-55C2836F7D3E}"/>
    <cellStyle name="60% - Accent1 2" xfId="22" xr:uid="{00F6B190-6954-40E6-9303-5E0122A0C83C}"/>
    <cellStyle name="60% - Accent2 2" xfId="26" xr:uid="{7AE4D600-4EB8-43E2-9F22-96D748B94DAE}"/>
    <cellStyle name="60% - Accent3 2" xfId="30" xr:uid="{979E39A7-E22B-4F71-8742-C6413ACDC505}"/>
    <cellStyle name="60% - Accent4 2" xfId="34" xr:uid="{E1DDC3B9-B380-434D-92D6-153B9653CD34}"/>
    <cellStyle name="60% - Accent5 2" xfId="38" xr:uid="{6A718894-1D64-4AA7-B004-378809A46694}"/>
    <cellStyle name="60% - Accent6 2" xfId="42" xr:uid="{7CCCC076-BB71-4912-904F-073601BF5068}"/>
    <cellStyle name="Accent1 2" xfId="19" xr:uid="{F231E82D-56B3-4EC9-ABE7-762E9E9DD5A8}"/>
    <cellStyle name="Accent2 2" xfId="23" xr:uid="{A549163E-4332-49C5-8896-D043B2AFDEF6}"/>
    <cellStyle name="Accent3 2" xfId="27" xr:uid="{D6856420-EAB2-4460-A88F-59F9369BE793}"/>
    <cellStyle name="Accent4 2" xfId="31" xr:uid="{A27171C1-F7C2-40E5-B914-86A698019654}"/>
    <cellStyle name="Accent5 2" xfId="35" xr:uid="{7831EFB7-4867-4D29-A9F5-B9836AD90F04}"/>
    <cellStyle name="Accent6 2" xfId="39" xr:uid="{CEB3DE92-76E2-4B4B-B272-33154FAABFFC}"/>
    <cellStyle name="Bad 2" xfId="14" xr:uid="{503A7BFD-8551-43BC-A5AE-53901ADDE0D1}"/>
    <cellStyle name="Calculation" xfId="6" builtinId="22" customBuiltin="1"/>
    <cellStyle name="Check Cell" xfId="8" builtinId="23" customBuiltin="1"/>
    <cellStyle name="Explanatory Text 2" xfId="18" xr:uid="{9E834E37-34CF-4CDF-954E-96505883D341}"/>
    <cellStyle name="Good 2" xfId="13" xr:uid="{DAA37A88-672A-45A2-B135-055D690AF66E}"/>
    <cellStyle name="Heading 1" xfId="1" builtinId="16" customBuiltin="1"/>
    <cellStyle name="Heading 2" xfId="2" builtinId="17" customBuiltin="1"/>
    <cellStyle name="Heading 3" xfId="3" builtinId="18" customBuiltin="1"/>
    <cellStyle name="Heading 4 2" xfId="12" xr:uid="{D655B697-5559-4999-AC7F-7EE27B00BBB6}"/>
    <cellStyle name="Input" xfId="4" builtinId="20" customBuiltin="1"/>
    <cellStyle name="Linked Cell" xfId="7" builtinId="24" customBuiltin="1"/>
    <cellStyle name="Neutral 2" xfId="15" xr:uid="{6D0774A1-B330-4BB6-A2B3-A03C438531ED}"/>
    <cellStyle name="Normal" xfId="0" builtinId="0"/>
    <cellStyle name="Normal 2" xfId="43" xr:uid="{055CECFE-FEF2-4B13-8118-4CE9FB297218}"/>
    <cellStyle name="Normal 3" xfId="10" xr:uid="{CF7F6C30-25E3-42C0-99ED-1F3BC6997F68}"/>
    <cellStyle name="Note 2" xfId="17" xr:uid="{2F8827DA-EEFE-4BB3-975D-5A44B82F3D77}"/>
    <cellStyle name="Output" xfId="5" builtinId="21" customBuiltin="1"/>
    <cellStyle name="Title 2" xfId="11" xr:uid="{264B304E-C33C-4CA7-9036-CC613F6816DF}"/>
    <cellStyle name="Total" xfId="9" builtinId="25" customBuiltin="1"/>
    <cellStyle name="Warning Text 2" xfId="16" xr:uid="{2CBEBD8B-A93D-4983-A594-30DC4B1FF861}"/>
  </cellStyles>
  <dxfs count="11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K17" sqref="K17"/>
    </sheetView>
  </sheetViews>
  <sheetFormatPr defaultColWidth="12.59765625" defaultRowHeight="15" customHeight="1" x14ac:dyDescent="0.25"/>
  <cols>
    <col min="1" max="1" width="15.69921875" customWidth="1"/>
    <col min="2" max="16" width="8" customWidth="1"/>
    <col min="17" max="26" width="7.69921875" customWidth="1"/>
  </cols>
  <sheetData>
    <row r="1" spans="1:26" ht="19.5" customHeight="1" x14ac:dyDescent="0.3">
      <c r="A1" s="84" t="s">
        <v>101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6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4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6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4" t="s">
        <v>1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6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4" t="s">
        <v>94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6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3">
      <c r="A6" s="5" t="s">
        <v>18</v>
      </c>
      <c r="B6" s="6">
        <v>2</v>
      </c>
      <c r="C6" s="7">
        <v>2</v>
      </c>
      <c r="D6" s="7">
        <v>0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1</v>
      </c>
      <c r="N6" s="7">
        <v>0</v>
      </c>
      <c r="O6" s="7">
        <v>0</v>
      </c>
      <c r="P6" s="7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5" t="s">
        <v>19</v>
      </c>
      <c r="B7" s="8">
        <v>2</v>
      </c>
      <c r="C7" s="9">
        <v>2</v>
      </c>
      <c r="D7" s="9">
        <v>0</v>
      </c>
      <c r="E7" s="9">
        <v>1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5" t="s">
        <v>20</v>
      </c>
      <c r="B8" s="8">
        <v>2</v>
      </c>
      <c r="C8" s="9">
        <v>2</v>
      </c>
      <c r="D8" s="9">
        <v>0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1</v>
      </c>
      <c r="N8" s="9">
        <v>0</v>
      </c>
      <c r="O8" s="9">
        <v>0</v>
      </c>
      <c r="P8" s="9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5" t="s">
        <v>21</v>
      </c>
      <c r="B9" s="8">
        <v>2</v>
      </c>
      <c r="C9" s="9">
        <v>2</v>
      </c>
      <c r="D9" s="9">
        <v>0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</v>
      </c>
      <c r="N9" s="9">
        <v>0</v>
      </c>
      <c r="O9" s="9">
        <v>0</v>
      </c>
      <c r="P9" s="9"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5" t="s">
        <v>22</v>
      </c>
      <c r="B10" s="8">
        <v>2</v>
      </c>
      <c r="C10" s="9">
        <v>2</v>
      </c>
      <c r="D10" s="9">
        <v>0</v>
      </c>
      <c r="E10" s="9">
        <v>1</v>
      </c>
      <c r="F10" s="9">
        <v>1</v>
      </c>
      <c r="G10" s="9">
        <v>1</v>
      </c>
      <c r="H10" s="9">
        <v>0</v>
      </c>
      <c r="I10" s="9">
        <v>1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 t="s">
        <v>23</v>
      </c>
      <c r="B11" s="11">
        <f t="shared" ref="B11:P11" si="0">AVERAGE(B6:B10)</f>
        <v>2</v>
      </c>
      <c r="C11" s="11">
        <f t="shared" si="0"/>
        <v>2</v>
      </c>
      <c r="D11" s="11">
        <f t="shared" si="0"/>
        <v>0</v>
      </c>
      <c r="E11" s="11">
        <f t="shared" si="0"/>
        <v>1</v>
      </c>
      <c r="F11" s="11">
        <f t="shared" si="0"/>
        <v>1</v>
      </c>
      <c r="G11" s="11">
        <f t="shared" si="0"/>
        <v>0.2</v>
      </c>
      <c r="H11" s="11">
        <f t="shared" si="0"/>
        <v>0</v>
      </c>
      <c r="I11" s="11">
        <f t="shared" si="0"/>
        <v>0.2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1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2" t="s">
        <v>24</v>
      </c>
      <c r="B12" s="13">
        <f t="shared" ref="B12:P12" si="1">ROUND(B11,0)</f>
        <v>2</v>
      </c>
      <c r="C12" s="13">
        <f t="shared" si="1"/>
        <v>2</v>
      </c>
      <c r="D12" s="13">
        <f t="shared" si="1"/>
        <v>0</v>
      </c>
      <c r="E12" s="13">
        <f t="shared" si="1"/>
        <v>1</v>
      </c>
      <c r="F12" s="13">
        <f t="shared" si="1"/>
        <v>1</v>
      </c>
      <c r="G12" s="13">
        <f t="shared" si="1"/>
        <v>0</v>
      </c>
      <c r="H12" s="13">
        <f t="shared" si="1"/>
        <v>0</v>
      </c>
      <c r="I12" s="13">
        <f t="shared" si="1"/>
        <v>0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1</v>
      </c>
      <c r="N12" s="13">
        <f t="shared" si="1"/>
        <v>0</v>
      </c>
      <c r="O12" s="13">
        <f t="shared" si="1"/>
        <v>0</v>
      </c>
      <c r="P12" s="13">
        <f t="shared" si="1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3">
      <c r="A13" s="89" t="s">
        <v>25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6"/>
      <c r="N13" s="89"/>
      <c r="O13" s="85"/>
      <c r="P13" s="86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3:M13"/>
    <mergeCell ref="N13:P13"/>
  </mergeCells>
  <pageMargins left="0.7" right="0.7" top="0.75" bottom="0.75" header="0" footer="0"/>
  <pageSetup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82"/>
  <sheetViews>
    <sheetView topLeftCell="A59" workbookViewId="0">
      <selection activeCell="D71" sqref="D71"/>
    </sheetView>
  </sheetViews>
  <sheetFormatPr defaultColWidth="12.59765625" defaultRowHeight="15" customHeight="1" x14ac:dyDescent="0.25"/>
  <cols>
    <col min="1" max="1" width="5.69921875" customWidth="1"/>
    <col min="2" max="2" width="17.5" customWidth="1"/>
    <col min="3" max="3" width="29.5" customWidth="1"/>
    <col min="4" max="5" width="14.19921875" customWidth="1"/>
    <col min="6" max="6" width="13.19921875" customWidth="1"/>
    <col min="7" max="7" width="13.3984375" customWidth="1"/>
    <col min="8" max="8" width="13.19921875" customWidth="1"/>
    <col min="9" max="26" width="7.69921875" customWidth="1"/>
  </cols>
  <sheetData>
    <row r="1" spans="1:26" ht="19.5" customHeight="1" x14ac:dyDescent="0.25">
      <c r="A1" s="84" t="str">
        <f>'CO-PO Mapping'!A1:P1</f>
        <v>DEPARTMENT OF COMPUTER SCIENCE</v>
      </c>
      <c r="B1" s="85"/>
      <c r="C1" s="85"/>
      <c r="D1" s="85"/>
      <c r="E1" s="85"/>
      <c r="F1" s="85"/>
      <c r="G1" s="85"/>
      <c r="H1" s="86"/>
    </row>
    <row r="2" spans="1:26" ht="19.5" customHeight="1" x14ac:dyDescent="0.25">
      <c r="A2" s="84" t="s">
        <v>26</v>
      </c>
      <c r="B2" s="85"/>
      <c r="C2" s="85"/>
      <c r="D2" s="85"/>
      <c r="E2" s="85"/>
      <c r="F2" s="85"/>
      <c r="G2" s="85"/>
      <c r="H2" s="86"/>
    </row>
    <row r="3" spans="1:26" ht="19.5" customHeight="1" x14ac:dyDescent="0.25">
      <c r="A3" s="84" t="str">
        <f>'CO-PO Mapping'!A3:P3</f>
        <v>II Year III Semester</v>
      </c>
      <c r="B3" s="85"/>
      <c r="C3" s="85"/>
      <c r="D3" s="85"/>
      <c r="E3" s="85"/>
      <c r="F3" s="85"/>
      <c r="G3" s="85"/>
      <c r="H3" s="86"/>
    </row>
    <row r="4" spans="1:26" ht="19.5" customHeight="1" x14ac:dyDescent="0.3">
      <c r="A4" s="84" t="str">
        <f>'CO-PO Mapping'!A4:P4</f>
        <v>SUBJECT: Advanced Engineering Mathematics                                                                                                   Faculty: Dr. Kalpana Fatawat</v>
      </c>
      <c r="B4" s="85"/>
      <c r="C4" s="85"/>
      <c r="D4" s="85"/>
      <c r="E4" s="85"/>
      <c r="F4" s="85"/>
      <c r="G4" s="85"/>
      <c r="H4" s="86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1.2" x14ac:dyDescent="0.3">
      <c r="A5" s="80" t="s">
        <v>27</v>
      </c>
      <c r="B5" s="80" t="s">
        <v>97</v>
      </c>
      <c r="C5" s="15" t="s">
        <v>98</v>
      </c>
      <c r="D5" s="12" t="s">
        <v>30</v>
      </c>
      <c r="E5" s="12" t="s">
        <v>31</v>
      </c>
      <c r="F5" s="15" t="s">
        <v>32</v>
      </c>
      <c r="G5" s="104" t="s">
        <v>33</v>
      </c>
      <c r="H5" s="8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1.2" x14ac:dyDescent="0.25">
      <c r="A6" s="82"/>
      <c r="B6" s="82"/>
      <c r="C6" s="15" t="s">
        <v>34</v>
      </c>
      <c r="D6" s="15">
        <v>70</v>
      </c>
      <c r="E6" s="15">
        <v>30</v>
      </c>
      <c r="F6" s="15">
        <f>D6+E6</f>
        <v>100</v>
      </c>
      <c r="G6" s="12" t="s">
        <v>99</v>
      </c>
      <c r="H6" s="12" t="s">
        <v>100</v>
      </c>
    </row>
    <row r="7" spans="1:26" ht="19.5" customHeight="1" x14ac:dyDescent="0.25">
      <c r="A7" s="106" t="s">
        <v>35</v>
      </c>
      <c r="B7" s="107"/>
      <c r="C7" s="108"/>
      <c r="D7" s="17">
        <v>0.6</v>
      </c>
      <c r="E7" s="17">
        <v>0.7</v>
      </c>
      <c r="F7" s="18"/>
      <c r="G7" s="19">
        <v>0.6</v>
      </c>
      <c r="H7" s="19">
        <v>0.7</v>
      </c>
    </row>
    <row r="8" spans="1:26" ht="19.5" customHeight="1" x14ac:dyDescent="0.25">
      <c r="A8" s="20">
        <v>1</v>
      </c>
      <c r="B8" s="79"/>
      <c r="C8" s="74"/>
      <c r="D8" s="78"/>
      <c r="E8" s="78"/>
      <c r="F8" s="78">
        <f>D8+E8</f>
        <v>0</v>
      </c>
      <c r="G8" s="22">
        <f t="shared" ref="G8:G37" si="0">IF((D8/$D$6)&gt;=$D$7,1,0)</f>
        <v>0</v>
      </c>
      <c r="H8" s="23">
        <f t="shared" ref="H8:H37" si="1">IF((E8/$E$6)&gt;=$E$7,1,0)</f>
        <v>0</v>
      </c>
    </row>
    <row r="9" spans="1:26" ht="19.5" customHeight="1" x14ac:dyDescent="0.25">
      <c r="A9" s="20">
        <v>2</v>
      </c>
      <c r="B9" s="73"/>
      <c r="C9" s="74"/>
      <c r="D9" s="78"/>
      <c r="E9" s="78"/>
      <c r="F9" s="78">
        <f t="shared" ref="F9:F37" si="2">D9+E9</f>
        <v>0</v>
      </c>
      <c r="G9" s="22">
        <f t="shared" si="0"/>
        <v>0</v>
      </c>
      <c r="H9" s="23">
        <f t="shared" si="1"/>
        <v>0</v>
      </c>
    </row>
    <row r="10" spans="1:26" ht="19.5" customHeight="1" x14ac:dyDescent="0.25">
      <c r="A10" s="20">
        <v>3</v>
      </c>
      <c r="B10" s="73"/>
      <c r="C10" s="74"/>
      <c r="D10" s="78"/>
      <c r="E10" s="78"/>
      <c r="F10" s="78">
        <f t="shared" si="2"/>
        <v>0</v>
      </c>
      <c r="G10" s="22">
        <f t="shared" si="0"/>
        <v>0</v>
      </c>
      <c r="H10" s="23">
        <f t="shared" si="1"/>
        <v>0</v>
      </c>
    </row>
    <row r="11" spans="1:26" ht="19.5" customHeight="1" x14ac:dyDescent="0.25">
      <c r="A11" s="20">
        <v>4</v>
      </c>
      <c r="B11" s="73"/>
      <c r="C11" s="74"/>
      <c r="D11" s="78"/>
      <c r="E11" s="78"/>
      <c r="F11" s="78">
        <f t="shared" si="2"/>
        <v>0</v>
      </c>
      <c r="G11" s="22">
        <f t="shared" si="0"/>
        <v>0</v>
      </c>
      <c r="H11" s="23">
        <f t="shared" si="1"/>
        <v>0</v>
      </c>
    </row>
    <row r="12" spans="1:26" ht="19.5" customHeight="1" x14ac:dyDescent="0.25">
      <c r="A12" s="20">
        <v>5</v>
      </c>
      <c r="B12" s="73"/>
      <c r="C12" s="74"/>
      <c r="D12" s="78"/>
      <c r="E12" s="78"/>
      <c r="F12" s="78">
        <f t="shared" si="2"/>
        <v>0</v>
      </c>
      <c r="G12" s="22">
        <f t="shared" si="0"/>
        <v>0</v>
      </c>
      <c r="H12" s="23">
        <f t="shared" si="1"/>
        <v>0</v>
      </c>
    </row>
    <row r="13" spans="1:26" ht="19.5" customHeight="1" x14ac:dyDescent="0.25">
      <c r="A13" s="20">
        <v>6</v>
      </c>
      <c r="B13" s="73"/>
      <c r="C13" s="74"/>
      <c r="D13" s="78"/>
      <c r="E13" s="78"/>
      <c r="F13" s="78">
        <f t="shared" si="2"/>
        <v>0</v>
      </c>
      <c r="G13" s="22">
        <f t="shared" si="0"/>
        <v>0</v>
      </c>
      <c r="H13" s="23">
        <f t="shared" si="1"/>
        <v>0</v>
      </c>
    </row>
    <row r="14" spans="1:26" ht="19.5" customHeight="1" x14ac:dyDescent="0.25">
      <c r="A14" s="20">
        <v>7</v>
      </c>
      <c r="B14" s="73"/>
      <c r="C14" s="74"/>
      <c r="D14" s="78"/>
      <c r="E14" s="78"/>
      <c r="F14" s="78">
        <f t="shared" si="2"/>
        <v>0</v>
      </c>
      <c r="G14" s="22">
        <f t="shared" si="0"/>
        <v>0</v>
      </c>
      <c r="H14" s="23">
        <f t="shared" si="1"/>
        <v>0</v>
      </c>
    </row>
    <row r="15" spans="1:26" ht="19.5" customHeight="1" x14ac:dyDescent="0.25">
      <c r="A15" s="20">
        <v>8</v>
      </c>
      <c r="B15" s="76"/>
      <c r="C15" s="75"/>
      <c r="D15" s="78"/>
      <c r="E15" s="78"/>
      <c r="F15" s="78">
        <f t="shared" si="2"/>
        <v>0</v>
      </c>
      <c r="G15" s="22">
        <f t="shared" si="0"/>
        <v>0</v>
      </c>
      <c r="H15" s="23">
        <f t="shared" si="1"/>
        <v>0</v>
      </c>
    </row>
    <row r="16" spans="1:26" ht="19.5" customHeight="1" x14ac:dyDescent="0.25">
      <c r="A16" s="20">
        <v>9</v>
      </c>
      <c r="B16" s="73"/>
      <c r="C16" s="74"/>
      <c r="D16" s="78"/>
      <c r="E16" s="78"/>
      <c r="F16" s="78">
        <f t="shared" si="2"/>
        <v>0</v>
      </c>
      <c r="G16" s="22">
        <f t="shared" si="0"/>
        <v>0</v>
      </c>
      <c r="H16" s="23">
        <f t="shared" si="1"/>
        <v>0</v>
      </c>
    </row>
    <row r="17" spans="1:8" ht="19.5" customHeight="1" x14ac:dyDescent="0.25">
      <c r="A17" s="20">
        <v>10</v>
      </c>
      <c r="B17" s="73"/>
      <c r="C17" s="74"/>
      <c r="D17" s="78"/>
      <c r="E17" s="78"/>
      <c r="F17" s="78">
        <f t="shared" si="2"/>
        <v>0</v>
      </c>
      <c r="G17" s="22">
        <f t="shared" si="0"/>
        <v>0</v>
      </c>
      <c r="H17" s="23">
        <f t="shared" si="1"/>
        <v>0</v>
      </c>
    </row>
    <row r="18" spans="1:8" ht="19.5" customHeight="1" x14ac:dyDescent="0.25">
      <c r="A18" s="20">
        <v>11</v>
      </c>
      <c r="B18" s="73"/>
      <c r="C18" s="74"/>
      <c r="D18" s="78"/>
      <c r="E18" s="78"/>
      <c r="F18" s="78">
        <f t="shared" si="2"/>
        <v>0</v>
      </c>
      <c r="G18" s="22">
        <f t="shared" si="0"/>
        <v>0</v>
      </c>
      <c r="H18" s="23">
        <f t="shared" si="1"/>
        <v>0</v>
      </c>
    </row>
    <row r="19" spans="1:8" ht="19.5" customHeight="1" x14ac:dyDescent="0.25">
      <c r="A19" s="20">
        <v>12</v>
      </c>
      <c r="B19" s="73"/>
      <c r="C19" s="74"/>
      <c r="D19" s="78"/>
      <c r="E19" s="78"/>
      <c r="F19" s="78">
        <f t="shared" si="2"/>
        <v>0</v>
      </c>
      <c r="G19" s="22">
        <f t="shared" si="0"/>
        <v>0</v>
      </c>
      <c r="H19" s="23">
        <f t="shared" si="1"/>
        <v>0</v>
      </c>
    </row>
    <row r="20" spans="1:8" ht="19.5" customHeight="1" x14ac:dyDescent="0.25">
      <c r="A20" s="20">
        <v>13</v>
      </c>
      <c r="B20" s="73"/>
      <c r="C20" s="74"/>
      <c r="D20" s="78"/>
      <c r="E20" s="78"/>
      <c r="F20" s="78">
        <f t="shared" si="2"/>
        <v>0</v>
      </c>
      <c r="G20" s="22">
        <f t="shared" si="0"/>
        <v>0</v>
      </c>
      <c r="H20" s="23">
        <f t="shared" si="1"/>
        <v>0</v>
      </c>
    </row>
    <row r="21" spans="1:8" ht="19.5" customHeight="1" x14ac:dyDescent="0.25">
      <c r="A21" s="20">
        <v>14</v>
      </c>
      <c r="B21" s="73"/>
      <c r="C21" s="74"/>
      <c r="D21" s="78"/>
      <c r="E21" s="78"/>
      <c r="F21" s="78">
        <f t="shared" si="2"/>
        <v>0</v>
      </c>
      <c r="G21" s="22">
        <f t="shared" si="0"/>
        <v>0</v>
      </c>
      <c r="H21" s="23">
        <f t="shared" si="1"/>
        <v>0</v>
      </c>
    </row>
    <row r="22" spans="1:8" ht="19.5" customHeight="1" x14ac:dyDescent="0.25">
      <c r="A22" s="20">
        <v>15</v>
      </c>
      <c r="B22" s="73"/>
      <c r="C22" s="74"/>
      <c r="D22" s="78"/>
      <c r="E22" s="78"/>
      <c r="F22" s="78">
        <f t="shared" si="2"/>
        <v>0</v>
      </c>
      <c r="G22" s="22">
        <f t="shared" si="0"/>
        <v>0</v>
      </c>
      <c r="H22" s="23">
        <f t="shared" si="1"/>
        <v>0</v>
      </c>
    </row>
    <row r="23" spans="1:8" ht="19.5" customHeight="1" x14ac:dyDescent="0.25">
      <c r="A23" s="20">
        <v>16</v>
      </c>
      <c r="B23" s="73"/>
      <c r="C23" s="74"/>
      <c r="D23" s="78"/>
      <c r="E23" s="78"/>
      <c r="F23" s="78">
        <f t="shared" si="2"/>
        <v>0</v>
      </c>
      <c r="G23" s="22">
        <f t="shared" si="0"/>
        <v>0</v>
      </c>
      <c r="H23" s="23">
        <f t="shared" si="1"/>
        <v>0</v>
      </c>
    </row>
    <row r="24" spans="1:8" ht="19.5" customHeight="1" x14ac:dyDescent="0.25">
      <c r="A24" s="20">
        <v>17</v>
      </c>
      <c r="B24" s="73"/>
      <c r="C24" s="74"/>
      <c r="D24" s="78"/>
      <c r="E24" s="78"/>
      <c r="F24" s="78">
        <f t="shared" si="2"/>
        <v>0</v>
      </c>
      <c r="G24" s="22">
        <f t="shared" si="0"/>
        <v>0</v>
      </c>
      <c r="H24" s="23">
        <f t="shared" si="1"/>
        <v>0</v>
      </c>
    </row>
    <row r="25" spans="1:8" ht="19.5" customHeight="1" x14ac:dyDescent="0.25">
      <c r="A25" s="20">
        <v>18</v>
      </c>
      <c r="B25" s="73"/>
      <c r="C25" s="74"/>
      <c r="D25" s="78"/>
      <c r="E25" s="78"/>
      <c r="F25" s="78">
        <f t="shared" si="2"/>
        <v>0</v>
      </c>
      <c r="G25" s="22">
        <f t="shared" si="0"/>
        <v>0</v>
      </c>
      <c r="H25" s="23">
        <f t="shared" si="1"/>
        <v>0</v>
      </c>
    </row>
    <row r="26" spans="1:8" ht="19.5" customHeight="1" x14ac:dyDescent="0.25">
      <c r="A26" s="20">
        <v>19</v>
      </c>
      <c r="B26" s="73"/>
      <c r="C26" s="74"/>
      <c r="D26" s="78"/>
      <c r="E26" s="78"/>
      <c r="F26" s="78">
        <f t="shared" si="2"/>
        <v>0</v>
      </c>
      <c r="G26" s="22">
        <f t="shared" si="0"/>
        <v>0</v>
      </c>
      <c r="H26" s="23">
        <f t="shared" si="1"/>
        <v>0</v>
      </c>
    </row>
    <row r="27" spans="1:8" ht="19.5" customHeight="1" x14ac:dyDescent="0.25">
      <c r="A27" s="20">
        <v>20</v>
      </c>
      <c r="B27" s="73"/>
      <c r="C27" s="74"/>
      <c r="D27" s="78"/>
      <c r="E27" s="78"/>
      <c r="F27" s="78">
        <f t="shared" si="2"/>
        <v>0</v>
      </c>
      <c r="G27" s="22">
        <f t="shared" si="0"/>
        <v>0</v>
      </c>
      <c r="H27" s="23">
        <f t="shared" si="1"/>
        <v>0</v>
      </c>
    </row>
    <row r="28" spans="1:8" ht="19.5" customHeight="1" x14ac:dyDescent="0.25">
      <c r="A28" s="20">
        <v>21</v>
      </c>
      <c r="B28" s="73"/>
      <c r="C28" s="74"/>
      <c r="D28" s="78"/>
      <c r="E28" s="78"/>
      <c r="F28" s="78">
        <f t="shared" si="2"/>
        <v>0</v>
      </c>
      <c r="G28" s="22">
        <f t="shared" si="0"/>
        <v>0</v>
      </c>
      <c r="H28" s="23">
        <f t="shared" si="1"/>
        <v>0</v>
      </c>
    </row>
    <row r="29" spans="1:8" ht="19.5" customHeight="1" x14ac:dyDescent="0.25">
      <c r="A29" s="20">
        <v>22</v>
      </c>
      <c r="B29" s="73"/>
      <c r="C29" s="74"/>
      <c r="D29" s="78"/>
      <c r="E29" s="78"/>
      <c r="F29" s="78">
        <f t="shared" si="2"/>
        <v>0</v>
      </c>
      <c r="G29" s="22">
        <f t="shared" si="0"/>
        <v>0</v>
      </c>
      <c r="H29" s="23">
        <f t="shared" si="1"/>
        <v>0</v>
      </c>
    </row>
    <row r="30" spans="1:8" ht="19.5" customHeight="1" x14ac:dyDescent="0.25">
      <c r="A30" s="20">
        <v>23</v>
      </c>
      <c r="B30" s="73"/>
      <c r="C30" s="74"/>
      <c r="D30" s="78"/>
      <c r="E30" s="78"/>
      <c r="F30" s="78">
        <f t="shared" si="2"/>
        <v>0</v>
      </c>
      <c r="G30" s="22">
        <f t="shared" si="0"/>
        <v>0</v>
      </c>
      <c r="H30" s="23">
        <f t="shared" si="1"/>
        <v>0</v>
      </c>
    </row>
    <row r="31" spans="1:8" ht="19.5" customHeight="1" x14ac:dyDescent="0.25">
      <c r="A31" s="20">
        <v>24</v>
      </c>
      <c r="B31" s="73"/>
      <c r="C31" s="74"/>
      <c r="D31" s="78"/>
      <c r="E31" s="78"/>
      <c r="F31" s="78">
        <f t="shared" si="2"/>
        <v>0</v>
      </c>
      <c r="G31" s="22">
        <f t="shared" si="0"/>
        <v>0</v>
      </c>
      <c r="H31" s="23">
        <f t="shared" si="1"/>
        <v>0</v>
      </c>
    </row>
    <row r="32" spans="1:8" ht="19.5" customHeight="1" x14ac:dyDescent="0.25">
      <c r="A32" s="20">
        <v>25</v>
      </c>
      <c r="B32" s="73"/>
      <c r="C32" s="74"/>
      <c r="D32" s="78"/>
      <c r="E32" s="78"/>
      <c r="F32" s="78">
        <f t="shared" si="2"/>
        <v>0</v>
      </c>
      <c r="G32" s="22">
        <f t="shared" si="0"/>
        <v>0</v>
      </c>
      <c r="H32" s="23">
        <f t="shared" si="1"/>
        <v>0</v>
      </c>
    </row>
    <row r="33" spans="1:8" ht="19.5" customHeight="1" x14ac:dyDescent="0.25">
      <c r="A33" s="20">
        <v>26</v>
      </c>
      <c r="B33" s="73"/>
      <c r="C33" s="74"/>
      <c r="D33" s="78"/>
      <c r="E33" s="78"/>
      <c r="F33" s="78">
        <f t="shared" si="2"/>
        <v>0</v>
      </c>
      <c r="G33" s="22">
        <f t="shared" si="0"/>
        <v>0</v>
      </c>
      <c r="H33" s="23">
        <f t="shared" si="1"/>
        <v>0</v>
      </c>
    </row>
    <row r="34" spans="1:8" ht="19.5" customHeight="1" x14ac:dyDescent="0.25">
      <c r="A34" s="20">
        <v>27</v>
      </c>
      <c r="B34" s="73"/>
      <c r="C34" s="74"/>
      <c r="D34" s="78"/>
      <c r="E34" s="78"/>
      <c r="F34" s="78">
        <f t="shared" si="2"/>
        <v>0</v>
      </c>
      <c r="G34" s="22">
        <f t="shared" si="0"/>
        <v>0</v>
      </c>
      <c r="H34" s="23">
        <f t="shared" si="1"/>
        <v>0</v>
      </c>
    </row>
    <row r="35" spans="1:8" ht="19.5" customHeight="1" x14ac:dyDescent="0.25">
      <c r="A35" s="20">
        <v>28</v>
      </c>
      <c r="B35" s="73"/>
      <c r="C35" s="74"/>
      <c r="D35" s="78"/>
      <c r="E35" s="78"/>
      <c r="F35" s="78">
        <f t="shared" si="2"/>
        <v>0</v>
      </c>
      <c r="G35" s="22">
        <f t="shared" si="0"/>
        <v>0</v>
      </c>
      <c r="H35" s="23">
        <f t="shared" si="1"/>
        <v>0</v>
      </c>
    </row>
    <row r="36" spans="1:8" ht="19.5" customHeight="1" x14ac:dyDescent="0.25">
      <c r="A36" s="20">
        <v>29</v>
      </c>
      <c r="B36" s="73"/>
      <c r="C36" s="74"/>
      <c r="D36" s="78"/>
      <c r="E36" s="78"/>
      <c r="F36" s="78">
        <f t="shared" si="2"/>
        <v>0</v>
      </c>
      <c r="G36" s="22">
        <f t="shared" si="0"/>
        <v>0</v>
      </c>
      <c r="H36" s="23">
        <f t="shared" si="1"/>
        <v>0</v>
      </c>
    </row>
    <row r="37" spans="1:8" ht="19.5" customHeight="1" x14ac:dyDescent="0.25">
      <c r="A37" s="20">
        <v>30</v>
      </c>
      <c r="B37" s="73"/>
      <c r="C37" s="74"/>
      <c r="D37" s="78"/>
      <c r="E37" s="78"/>
      <c r="F37" s="78">
        <f t="shared" si="2"/>
        <v>0</v>
      </c>
      <c r="G37" s="22">
        <f t="shared" si="0"/>
        <v>0</v>
      </c>
      <c r="H37" s="23">
        <f t="shared" si="1"/>
        <v>0</v>
      </c>
    </row>
    <row r="38" spans="1:8" ht="19.5" customHeight="1" x14ac:dyDescent="0.25">
      <c r="A38" s="20">
        <v>31</v>
      </c>
      <c r="B38" s="122"/>
      <c r="C38" s="123"/>
      <c r="D38" s="124"/>
      <c r="E38" s="124"/>
      <c r="F38" s="78">
        <f t="shared" ref="F38:F67" si="3">D38+E38</f>
        <v>0</v>
      </c>
      <c r="G38" s="22">
        <f t="shared" ref="G38:G67" si="4">IF((D38/$D$6)&gt;=$D$7,1,0)</f>
        <v>0</v>
      </c>
      <c r="H38" s="23">
        <f t="shared" ref="H38:H67" si="5">IF((E38/$E$6)&gt;=$E$7,1,0)</f>
        <v>0</v>
      </c>
    </row>
    <row r="39" spans="1:8" ht="19.5" customHeight="1" x14ac:dyDescent="0.25">
      <c r="A39" s="20">
        <v>32</v>
      </c>
      <c r="B39" s="122"/>
      <c r="C39" s="123"/>
      <c r="D39" s="124"/>
      <c r="E39" s="124"/>
      <c r="F39" s="78">
        <f t="shared" si="3"/>
        <v>0</v>
      </c>
      <c r="G39" s="22">
        <f t="shared" si="4"/>
        <v>0</v>
      </c>
      <c r="H39" s="23">
        <f t="shared" si="5"/>
        <v>0</v>
      </c>
    </row>
    <row r="40" spans="1:8" ht="19.5" customHeight="1" x14ac:dyDescent="0.25">
      <c r="A40" s="20">
        <v>33</v>
      </c>
      <c r="B40" s="122"/>
      <c r="C40" s="123"/>
      <c r="D40" s="124"/>
      <c r="E40" s="124"/>
      <c r="F40" s="78">
        <f t="shared" si="3"/>
        <v>0</v>
      </c>
      <c r="G40" s="22">
        <f t="shared" si="4"/>
        <v>0</v>
      </c>
      <c r="H40" s="23">
        <f t="shared" si="5"/>
        <v>0</v>
      </c>
    </row>
    <row r="41" spans="1:8" ht="19.5" customHeight="1" x14ac:dyDescent="0.25">
      <c r="A41" s="20">
        <v>34</v>
      </c>
      <c r="B41" s="122"/>
      <c r="C41" s="123"/>
      <c r="D41" s="124"/>
      <c r="E41" s="124"/>
      <c r="F41" s="78">
        <f t="shared" si="3"/>
        <v>0</v>
      </c>
      <c r="G41" s="22">
        <f t="shared" si="4"/>
        <v>0</v>
      </c>
      <c r="H41" s="23">
        <f t="shared" si="5"/>
        <v>0</v>
      </c>
    </row>
    <row r="42" spans="1:8" ht="19.5" customHeight="1" x14ac:dyDescent="0.25">
      <c r="A42" s="20">
        <v>35</v>
      </c>
      <c r="B42" s="122"/>
      <c r="C42" s="123"/>
      <c r="D42" s="124"/>
      <c r="E42" s="124"/>
      <c r="F42" s="78">
        <f t="shared" si="3"/>
        <v>0</v>
      </c>
      <c r="G42" s="22">
        <f t="shared" si="4"/>
        <v>0</v>
      </c>
      <c r="H42" s="23">
        <f t="shared" si="5"/>
        <v>0</v>
      </c>
    </row>
    <row r="43" spans="1:8" ht="19.5" customHeight="1" x14ac:dyDescent="0.25">
      <c r="A43" s="20">
        <v>36</v>
      </c>
      <c r="B43" s="122"/>
      <c r="C43" s="123"/>
      <c r="D43" s="124"/>
      <c r="E43" s="124"/>
      <c r="F43" s="78">
        <f t="shared" si="3"/>
        <v>0</v>
      </c>
      <c r="G43" s="22">
        <f t="shared" si="4"/>
        <v>0</v>
      </c>
      <c r="H43" s="23">
        <f t="shared" si="5"/>
        <v>0</v>
      </c>
    </row>
    <row r="44" spans="1:8" ht="19.5" customHeight="1" x14ac:dyDescent="0.25">
      <c r="A44" s="20">
        <v>37</v>
      </c>
      <c r="B44" s="122"/>
      <c r="C44" s="123"/>
      <c r="D44" s="124"/>
      <c r="E44" s="124"/>
      <c r="F44" s="78">
        <f t="shared" si="3"/>
        <v>0</v>
      </c>
      <c r="G44" s="22">
        <f t="shared" si="4"/>
        <v>0</v>
      </c>
      <c r="H44" s="23">
        <f t="shared" si="5"/>
        <v>0</v>
      </c>
    </row>
    <row r="45" spans="1:8" ht="19.5" customHeight="1" x14ac:dyDescent="0.25">
      <c r="A45" s="20">
        <v>38</v>
      </c>
      <c r="B45" s="122"/>
      <c r="C45" s="123"/>
      <c r="D45" s="124"/>
      <c r="E45" s="124"/>
      <c r="F45" s="78">
        <f t="shared" si="3"/>
        <v>0</v>
      </c>
      <c r="G45" s="22">
        <f t="shared" si="4"/>
        <v>0</v>
      </c>
      <c r="H45" s="23">
        <f t="shared" si="5"/>
        <v>0</v>
      </c>
    </row>
    <row r="46" spans="1:8" ht="19.5" customHeight="1" x14ac:dyDescent="0.25">
      <c r="A46" s="20">
        <v>39</v>
      </c>
      <c r="B46" s="122"/>
      <c r="C46" s="123"/>
      <c r="D46" s="124"/>
      <c r="E46" s="124"/>
      <c r="F46" s="78">
        <f t="shared" si="3"/>
        <v>0</v>
      </c>
      <c r="G46" s="22">
        <f t="shared" si="4"/>
        <v>0</v>
      </c>
      <c r="H46" s="23">
        <f t="shared" si="5"/>
        <v>0</v>
      </c>
    </row>
    <row r="47" spans="1:8" ht="19.5" customHeight="1" x14ac:dyDescent="0.25">
      <c r="A47" s="20">
        <v>40</v>
      </c>
      <c r="B47" s="122"/>
      <c r="C47" s="123"/>
      <c r="D47" s="124"/>
      <c r="E47" s="124"/>
      <c r="F47" s="78">
        <f t="shared" si="3"/>
        <v>0</v>
      </c>
      <c r="G47" s="22">
        <f t="shared" si="4"/>
        <v>0</v>
      </c>
      <c r="H47" s="23">
        <f t="shared" si="5"/>
        <v>0</v>
      </c>
    </row>
    <row r="48" spans="1:8" ht="19.5" customHeight="1" x14ac:dyDescent="0.25">
      <c r="A48" s="20">
        <v>41</v>
      </c>
      <c r="B48" s="122"/>
      <c r="C48" s="123"/>
      <c r="D48" s="124"/>
      <c r="E48" s="124"/>
      <c r="F48" s="78">
        <f t="shared" si="3"/>
        <v>0</v>
      </c>
      <c r="G48" s="22">
        <f t="shared" si="4"/>
        <v>0</v>
      </c>
      <c r="H48" s="23">
        <f t="shared" si="5"/>
        <v>0</v>
      </c>
    </row>
    <row r="49" spans="1:8" ht="19.5" customHeight="1" x14ac:dyDescent="0.25">
      <c r="A49" s="20">
        <v>42</v>
      </c>
      <c r="B49" s="122"/>
      <c r="C49" s="123"/>
      <c r="D49" s="124"/>
      <c r="E49" s="124"/>
      <c r="F49" s="78">
        <f t="shared" si="3"/>
        <v>0</v>
      </c>
      <c r="G49" s="22">
        <f t="shared" si="4"/>
        <v>0</v>
      </c>
      <c r="H49" s="23">
        <f t="shared" si="5"/>
        <v>0</v>
      </c>
    </row>
    <row r="50" spans="1:8" ht="19.5" customHeight="1" x14ac:dyDescent="0.25">
      <c r="A50" s="20">
        <v>43</v>
      </c>
      <c r="B50" s="122"/>
      <c r="C50" s="123"/>
      <c r="D50" s="124"/>
      <c r="E50" s="124"/>
      <c r="F50" s="78">
        <f t="shared" si="3"/>
        <v>0</v>
      </c>
      <c r="G50" s="22">
        <f t="shared" si="4"/>
        <v>0</v>
      </c>
      <c r="H50" s="23">
        <f t="shared" si="5"/>
        <v>0</v>
      </c>
    </row>
    <row r="51" spans="1:8" ht="19.5" customHeight="1" x14ac:dyDescent="0.25">
      <c r="A51" s="20">
        <v>44</v>
      </c>
      <c r="B51" s="122"/>
      <c r="C51" s="123"/>
      <c r="D51" s="124"/>
      <c r="E51" s="124"/>
      <c r="F51" s="78">
        <f t="shared" si="3"/>
        <v>0</v>
      </c>
      <c r="G51" s="22">
        <f t="shared" si="4"/>
        <v>0</v>
      </c>
      <c r="H51" s="23">
        <f t="shared" si="5"/>
        <v>0</v>
      </c>
    </row>
    <row r="52" spans="1:8" ht="19.5" customHeight="1" x14ac:dyDescent="0.25">
      <c r="A52" s="20">
        <v>45</v>
      </c>
      <c r="B52" s="122"/>
      <c r="C52" s="123"/>
      <c r="D52" s="124"/>
      <c r="E52" s="124"/>
      <c r="F52" s="78">
        <f t="shared" si="3"/>
        <v>0</v>
      </c>
      <c r="G52" s="22">
        <f t="shared" si="4"/>
        <v>0</v>
      </c>
      <c r="H52" s="23">
        <f t="shared" si="5"/>
        <v>0</v>
      </c>
    </row>
    <row r="53" spans="1:8" ht="19.5" customHeight="1" x14ac:dyDescent="0.25">
      <c r="A53" s="20">
        <v>46</v>
      </c>
      <c r="B53" s="122"/>
      <c r="C53" s="123"/>
      <c r="D53" s="124"/>
      <c r="E53" s="124"/>
      <c r="F53" s="78">
        <f t="shared" si="3"/>
        <v>0</v>
      </c>
      <c r="G53" s="22">
        <f t="shared" si="4"/>
        <v>0</v>
      </c>
      <c r="H53" s="23">
        <f t="shared" si="5"/>
        <v>0</v>
      </c>
    </row>
    <row r="54" spans="1:8" ht="19.5" customHeight="1" x14ac:dyDescent="0.25">
      <c r="A54" s="20">
        <v>47</v>
      </c>
      <c r="B54" s="122"/>
      <c r="C54" s="123"/>
      <c r="D54" s="124"/>
      <c r="E54" s="124"/>
      <c r="F54" s="78">
        <f t="shared" si="3"/>
        <v>0</v>
      </c>
      <c r="G54" s="22">
        <f t="shared" si="4"/>
        <v>0</v>
      </c>
      <c r="H54" s="23">
        <f t="shared" si="5"/>
        <v>0</v>
      </c>
    </row>
    <row r="55" spans="1:8" ht="19.5" customHeight="1" x14ac:dyDescent="0.25">
      <c r="A55" s="20">
        <v>48</v>
      </c>
      <c r="B55" s="122"/>
      <c r="C55" s="123"/>
      <c r="D55" s="124"/>
      <c r="E55" s="124"/>
      <c r="F55" s="78">
        <f t="shared" si="3"/>
        <v>0</v>
      </c>
      <c r="G55" s="22">
        <f t="shared" si="4"/>
        <v>0</v>
      </c>
      <c r="H55" s="23">
        <f t="shared" si="5"/>
        <v>0</v>
      </c>
    </row>
    <row r="56" spans="1:8" ht="19.5" customHeight="1" x14ac:dyDescent="0.25">
      <c r="A56" s="20">
        <v>49</v>
      </c>
      <c r="B56" s="122"/>
      <c r="C56" s="123"/>
      <c r="D56" s="124"/>
      <c r="E56" s="124"/>
      <c r="F56" s="78">
        <f t="shared" si="3"/>
        <v>0</v>
      </c>
      <c r="G56" s="22">
        <f t="shared" si="4"/>
        <v>0</v>
      </c>
      <c r="H56" s="23">
        <f t="shared" si="5"/>
        <v>0</v>
      </c>
    </row>
    <row r="57" spans="1:8" ht="19.5" customHeight="1" x14ac:dyDescent="0.25">
      <c r="A57" s="20">
        <v>50</v>
      </c>
      <c r="B57" s="122"/>
      <c r="C57" s="123"/>
      <c r="D57" s="124"/>
      <c r="E57" s="124"/>
      <c r="F57" s="78">
        <f t="shared" si="3"/>
        <v>0</v>
      </c>
      <c r="G57" s="22">
        <f t="shared" si="4"/>
        <v>0</v>
      </c>
      <c r="H57" s="23">
        <f t="shared" si="5"/>
        <v>0</v>
      </c>
    </row>
    <row r="58" spans="1:8" ht="19.5" customHeight="1" x14ac:dyDescent="0.25">
      <c r="A58" s="20">
        <v>51</v>
      </c>
      <c r="B58" s="122"/>
      <c r="C58" s="123"/>
      <c r="D58" s="124"/>
      <c r="E58" s="124"/>
      <c r="F58" s="78">
        <f t="shared" si="3"/>
        <v>0</v>
      </c>
      <c r="G58" s="22">
        <f t="shared" si="4"/>
        <v>0</v>
      </c>
      <c r="H58" s="23">
        <f t="shared" si="5"/>
        <v>0</v>
      </c>
    </row>
    <row r="59" spans="1:8" ht="19.5" customHeight="1" x14ac:dyDescent="0.25">
      <c r="A59" s="20">
        <v>52</v>
      </c>
      <c r="B59" s="122"/>
      <c r="C59" s="123"/>
      <c r="D59" s="124"/>
      <c r="E59" s="124"/>
      <c r="F59" s="78">
        <f t="shared" si="3"/>
        <v>0</v>
      </c>
      <c r="G59" s="22">
        <f t="shared" si="4"/>
        <v>0</v>
      </c>
      <c r="H59" s="23">
        <f t="shared" si="5"/>
        <v>0</v>
      </c>
    </row>
    <row r="60" spans="1:8" ht="19.5" customHeight="1" x14ac:dyDescent="0.25">
      <c r="A60" s="20">
        <v>53</v>
      </c>
      <c r="B60" s="122"/>
      <c r="C60" s="123"/>
      <c r="D60" s="124"/>
      <c r="E60" s="124"/>
      <c r="F60" s="78">
        <f t="shared" si="3"/>
        <v>0</v>
      </c>
      <c r="G60" s="22">
        <f t="shared" si="4"/>
        <v>0</v>
      </c>
      <c r="H60" s="23">
        <f t="shared" si="5"/>
        <v>0</v>
      </c>
    </row>
    <row r="61" spans="1:8" ht="19.5" customHeight="1" x14ac:dyDescent="0.25">
      <c r="A61" s="20">
        <v>54</v>
      </c>
      <c r="B61" s="122"/>
      <c r="C61" s="123"/>
      <c r="D61" s="124"/>
      <c r="E61" s="124"/>
      <c r="F61" s="78">
        <f t="shared" si="3"/>
        <v>0</v>
      </c>
      <c r="G61" s="22">
        <f t="shared" si="4"/>
        <v>0</v>
      </c>
      <c r="H61" s="23">
        <f t="shared" si="5"/>
        <v>0</v>
      </c>
    </row>
    <row r="62" spans="1:8" ht="19.5" customHeight="1" x14ac:dyDescent="0.25">
      <c r="A62" s="20">
        <v>55</v>
      </c>
      <c r="B62" s="122"/>
      <c r="C62" s="123"/>
      <c r="D62" s="124"/>
      <c r="E62" s="124"/>
      <c r="F62" s="78">
        <f t="shared" si="3"/>
        <v>0</v>
      </c>
      <c r="G62" s="22">
        <f t="shared" si="4"/>
        <v>0</v>
      </c>
      <c r="H62" s="23">
        <f t="shared" si="5"/>
        <v>0</v>
      </c>
    </row>
    <row r="63" spans="1:8" ht="19.5" customHeight="1" x14ac:dyDescent="0.25">
      <c r="A63" s="20">
        <v>56</v>
      </c>
      <c r="B63" s="122"/>
      <c r="C63" s="123"/>
      <c r="D63" s="124"/>
      <c r="E63" s="124"/>
      <c r="F63" s="78">
        <f t="shared" si="3"/>
        <v>0</v>
      </c>
      <c r="G63" s="22">
        <f t="shared" si="4"/>
        <v>0</v>
      </c>
      <c r="H63" s="23">
        <f t="shared" si="5"/>
        <v>0</v>
      </c>
    </row>
    <row r="64" spans="1:8" ht="19.5" customHeight="1" x14ac:dyDescent="0.25">
      <c r="A64" s="20">
        <v>57</v>
      </c>
      <c r="B64" s="122"/>
      <c r="C64" s="123"/>
      <c r="D64" s="124"/>
      <c r="E64" s="124"/>
      <c r="F64" s="78">
        <f t="shared" si="3"/>
        <v>0</v>
      </c>
      <c r="G64" s="22">
        <f t="shared" si="4"/>
        <v>0</v>
      </c>
      <c r="H64" s="23">
        <f t="shared" si="5"/>
        <v>0</v>
      </c>
    </row>
    <row r="65" spans="1:8" ht="19.5" customHeight="1" x14ac:dyDescent="0.25">
      <c r="A65" s="20">
        <v>58</v>
      </c>
      <c r="B65" s="122"/>
      <c r="C65" s="123"/>
      <c r="D65" s="124"/>
      <c r="E65" s="124"/>
      <c r="F65" s="78">
        <f t="shared" si="3"/>
        <v>0</v>
      </c>
      <c r="G65" s="22">
        <f t="shared" si="4"/>
        <v>0</v>
      </c>
      <c r="H65" s="23">
        <f t="shared" si="5"/>
        <v>0</v>
      </c>
    </row>
    <row r="66" spans="1:8" ht="19.5" customHeight="1" x14ac:dyDescent="0.25">
      <c r="A66" s="20">
        <v>59</v>
      </c>
      <c r="B66" s="122"/>
      <c r="C66" s="123"/>
      <c r="D66" s="124"/>
      <c r="E66" s="124"/>
      <c r="F66" s="78">
        <f t="shared" si="3"/>
        <v>0</v>
      </c>
      <c r="G66" s="22">
        <f t="shared" si="4"/>
        <v>0</v>
      </c>
      <c r="H66" s="23">
        <f t="shared" si="5"/>
        <v>0</v>
      </c>
    </row>
    <row r="67" spans="1:8" ht="19.5" customHeight="1" x14ac:dyDescent="0.25">
      <c r="A67" s="20">
        <v>60</v>
      </c>
      <c r="B67" s="122"/>
      <c r="C67" s="123"/>
      <c r="D67" s="124"/>
      <c r="E67" s="124"/>
      <c r="F67" s="78">
        <f t="shared" si="3"/>
        <v>0</v>
      </c>
      <c r="G67" s="22">
        <f t="shared" si="4"/>
        <v>0</v>
      </c>
      <c r="H67" s="23">
        <f t="shared" si="5"/>
        <v>0</v>
      </c>
    </row>
    <row r="68" spans="1:8" ht="19.5" customHeight="1" x14ac:dyDescent="0.25">
      <c r="A68" s="20"/>
      <c r="B68" s="26"/>
      <c r="C68" s="27"/>
      <c r="D68" s="28">
        <v>60</v>
      </c>
      <c r="E68" s="28">
        <v>60</v>
      </c>
      <c r="F68" s="25"/>
      <c r="G68" s="15">
        <f>COUNTIF(G8:G67,1)</f>
        <v>0</v>
      </c>
      <c r="H68" s="15">
        <f>COUNTIF(H8:H67,1)</f>
        <v>0</v>
      </c>
    </row>
    <row r="69" spans="1:8" ht="15.75" customHeight="1" x14ac:dyDescent="0.25">
      <c r="A69" s="29" t="s">
        <v>36</v>
      </c>
      <c r="B69" s="30"/>
      <c r="C69" s="31"/>
      <c r="D69" s="32" t="s">
        <v>37</v>
      </c>
      <c r="E69" s="32" t="s">
        <v>38</v>
      </c>
      <c r="F69" s="105" t="s">
        <v>39</v>
      </c>
      <c r="G69" s="85"/>
      <c r="H69" s="86"/>
    </row>
    <row r="70" spans="1:8" ht="19.5" customHeight="1" x14ac:dyDescent="0.25">
      <c r="A70" s="29" t="s">
        <v>40</v>
      </c>
      <c r="B70" s="30"/>
      <c r="C70" s="31"/>
      <c r="D70" s="33">
        <f>ROUND((G68/D68*100),0)</f>
        <v>0</v>
      </c>
      <c r="E70" s="32">
        <f t="shared" ref="E70:E71" si="6">IF(D70&gt;100,"ERROR",IF(D70&gt;=61,3,IF(D70&gt;=46,2,IF(D70&gt;=16,1,IF(D70&gt;15,0,0)))))</f>
        <v>0</v>
      </c>
      <c r="F70" s="34"/>
      <c r="G70" s="35"/>
      <c r="H70" s="36"/>
    </row>
    <row r="71" spans="1:8" ht="19.5" customHeight="1" x14ac:dyDescent="0.25">
      <c r="A71" s="29" t="s">
        <v>41</v>
      </c>
      <c r="B71" s="30"/>
      <c r="C71" s="31"/>
      <c r="D71" s="33">
        <f>ROUND((H68/E68*100),0)</f>
        <v>0</v>
      </c>
      <c r="E71" s="33">
        <f t="shared" si="6"/>
        <v>0</v>
      </c>
      <c r="F71" s="37"/>
      <c r="G71" s="38"/>
      <c r="H71" s="39"/>
    </row>
    <row r="72" spans="1:8" ht="15.75" customHeight="1" x14ac:dyDescent="0.3">
      <c r="D72" s="40"/>
      <c r="E72" s="40"/>
    </row>
    <row r="73" spans="1:8" ht="15.75" customHeight="1" x14ac:dyDescent="0.3">
      <c r="D73" s="40"/>
      <c r="E73" s="40"/>
    </row>
    <row r="74" spans="1:8" ht="15.75" customHeight="1" x14ac:dyDescent="0.3">
      <c r="D74" s="40"/>
      <c r="E74" s="40"/>
    </row>
    <row r="75" spans="1:8" ht="15.75" customHeight="1" x14ac:dyDescent="0.3">
      <c r="D75" s="40"/>
      <c r="E75" s="40"/>
    </row>
    <row r="76" spans="1:8" ht="15.75" customHeight="1" x14ac:dyDescent="0.3">
      <c r="D76" s="40"/>
      <c r="E76" s="40"/>
    </row>
    <row r="77" spans="1:8" ht="15.75" customHeight="1" x14ac:dyDescent="0.3">
      <c r="D77" s="40"/>
      <c r="E77" s="40"/>
    </row>
    <row r="78" spans="1:8" ht="15.75" customHeight="1" x14ac:dyDescent="0.3">
      <c r="D78" s="40"/>
      <c r="E78" s="40"/>
    </row>
    <row r="79" spans="1:8" ht="15.75" customHeight="1" x14ac:dyDescent="0.3">
      <c r="D79" s="40"/>
      <c r="E79" s="40"/>
    </row>
    <row r="80" spans="1:8" ht="15.75" customHeight="1" x14ac:dyDescent="0.3">
      <c r="D80" s="40"/>
      <c r="E80" s="40"/>
    </row>
    <row r="81" spans="4:5" ht="15.75" customHeight="1" x14ac:dyDescent="0.3">
      <c r="D81" s="40"/>
      <c r="E81" s="40"/>
    </row>
    <row r="82" spans="4:5" ht="15.75" customHeight="1" x14ac:dyDescent="0.3">
      <c r="D82" s="40"/>
      <c r="E82" s="40"/>
    </row>
    <row r="83" spans="4:5" ht="15.75" customHeight="1" x14ac:dyDescent="0.3">
      <c r="D83" s="40"/>
      <c r="E83" s="40"/>
    </row>
    <row r="84" spans="4:5" ht="15.75" customHeight="1" x14ac:dyDescent="0.3">
      <c r="D84" s="40"/>
      <c r="E84" s="40"/>
    </row>
    <row r="85" spans="4:5" ht="15.75" customHeight="1" x14ac:dyDescent="0.3">
      <c r="D85" s="40"/>
      <c r="E85" s="40"/>
    </row>
    <row r="86" spans="4:5" ht="15.75" customHeight="1" x14ac:dyDescent="0.3">
      <c r="D86" s="40"/>
      <c r="E86" s="40"/>
    </row>
    <row r="87" spans="4:5" ht="15.75" customHeight="1" x14ac:dyDescent="0.3">
      <c r="D87" s="40"/>
      <c r="E87" s="40"/>
    </row>
    <row r="88" spans="4:5" ht="15.75" customHeight="1" x14ac:dyDescent="0.3">
      <c r="D88" s="40"/>
      <c r="E88" s="40"/>
    </row>
    <row r="89" spans="4:5" ht="15.75" customHeight="1" x14ac:dyDescent="0.3">
      <c r="D89" s="40"/>
      <c r="E89" s="40"/>
    </row>
    <row r="90" spans="4:5" ht="15.75" customHeight="1" x14ac:dyDescent="0.3">
      <c r="D90" s="40"/>
      <c r="E90" s="40"/>
    </row>
    <row r="91" spans="4:5" ht="15.75" customHeight="1" x14ac:dyDescent="0.3">
      <c r="D91" s="40"/>
      <c r="E91" s="40"/>
    </row>
    <row r="92" spans="4:5" ht="15.75" customHeight="1" x14ac:dyDescent="0.3">
      <c r="D92" s="40"/>
      <c r="E92" s="40"/>
    </row>
    <row r="93" spans="4:5" ht="15.75" customHeight="1" x14ac:dyDescent="0.3">
      <c r="D93" s="40"/>
      <c r="E93" s="40"/>
    </row>
    <row r="94" spans="4:5" ht="15.75" customHeight="1" x14ac:dyDescent="0.3">
      <c r="D94" s="40"/>
      <c r="E94" s="40"/>
    </row>
    <row r="95" spans="4:5" ht="15.75" customHeight="1" x14ac:dyDescent="0.3">
      <c r="D95" s="40"/>
      <c r="E95" s="40"/>
    </row>
    <row r="96" spans="4:5" ht="15.75" customHeight="1" x14ac:dyDescent="0.3">
      <c r="D96" s="40"/>
      <c r="E96" s="40"/>
    </row>
    <row r="97" spans="4:5" ht="15.75" customHeight="1" x14ac:dyDescent="0.3">
      <c r="D97" s="40"/>
      <c r="E97" s="40"/>
    </row>
    <row r="98" spans="4:5" ht="15.75" customHeight="1" x14ac:dyDescent="0.3">
      <c r="D98" s="40"/>
      <c r="E98" s="40"/>
    </row>
    <row r="99" spans="4:5" ht="15.75" customHeight="1" x14ac:dyDescent="0.3">
      <c r="D99" s="40"/>
      <c r="E99" s="40"/>
    </row>
    <row r="100" spans="4:5" ht="15.75" customHeight="1" x14ac:dyDescent="0.3">
      <c r="D100" s="40"/>
      <c r="E100" s="40"/>
    </row>
    <row r="101" spans="4:5" ht="15.75" customHeight="1" x14ac:dyDescent="0.3">
      <c r="D101" s="40"/>
      <c r="E101" s="40"/>
    </row>
    <row r="102" spans="4:5" ht="15.75" customHeight="1" x14ac:dyDescent="0.3">
      <c r="D102" s="40"/>
      <c r="E102" s="40"/>
    </row>
    <row r="103" spans="4:5" ht="15.75" customHeight="1" x14ac:dyDescent="0.3">
      <c r="D103" s="40"/>
      <c r="E103" s="40"/>
    </row>
    <row r="104" spans="4:5" ht="15.75" customHeight="1" x14ac:dyDescent="0.3">
      <c r="D104" s="40"/>
      <c r="E104" s="40"/>
    </row>
    <row r="105" spans="4:5" ht="15.75" customHeight="1" x14ac:dyDescent="0.3">
      <c r="D105" s="40"/>
      <c r="E105" s="40"/>
    </row>
    <row r="106" spans="4:5" ht="15.75" customHeight="1" x14ac:dyDescent="0.3">
      <c r="D106" s="40"/>
      <c r="E106" s="40"/>
    </row>
    <row r="107" spans="4:5" ht="15.75" customHeight="1" x14ac:dyDescent="0.3">
      <c r="D107" s="40"/>
      <c r="E107" s="40"/>
    </row>
    <row r="108" spans="4:5" ht="15.75" customHeight="1" x14ac:dyDescent="0.3">
      <c r="D108" s="40"/>
      <c r="E108" s="40"/>
    </row>
    <row r="109" spans="4:5" ht="15.75" customHeight="1" x14ac:dyDescent="0.3">
      <c r="D109" s="40"/>
      <c r="E109" s="40"/>
    </row>
    <row r="110" spans="4:5" ht="15.75" customHeight="1" x14ac:dyDescent="0.3">
      <c r="D110" s="40"/>
      <c r="E110" s="40"/>
    </row>
    <row r="111" spans="4:5" ht="15.75" customHeight="1" x14ac:dyDescent="0.3">
      <c r="D111" s="40"/>
      <c r="E111" s="40"/>
    </row>
    <row r="112" spans="4:5" ht="15.75" customHeight="1" x14ac:dyDescent="0.3">
      <c r="D112" s="40"/>
      <c r="E112" s="40"/>
    </row>
    <row r="113" spans="4:5" ht="15.75" customHeight="1" x14ac:dyDescent="0.3">
      <c r="D113" s="40"/>
      <c r="E113" s="40"/>
    </row>
    <row r="114" spans="4:5" ht="15.75" customHeight="1" x14ac:dyDescent="0.3">
      <c r="D114" s="40"/>
      <c r="E114" s="40"/>
    </row>
    <row r="115" spans="4:5" ht="15.75" customHeight="1" x14ac:dyDescent="0.3">
      <c r="D115" s="40"/>
      <c r="E115" s="40"/>
    </row>
    <row r="116" spans="4:5" ht="15.75" customHeight="1" x14ac:dyDescent="0.3">
      <c r="D116" s="40"/>
      <c r="E116" s="40"/>
    </row>
    <row r="117" spans="4:5" ht="15.75" customHeight="1" x14ac:dyDescent="0.3">
      <c r="D117" s="40"/>
      <c r="E117" s="40"/>
    </row>
    <row r="118" spans="4:5" ht="15.75" customHeight="1" x14ac:dyDescent="0.3">
      <c r="D118" s="40"/>
      <c r="E118" s="40"/>
    </row>
    <row r="119" spans="4:5" ht="15.75" customHeight="1" x14ac:dyDescent="0.3">
      <c r="D119" s="40"/>
      <c r="E119" s="40"/>
    </row>
    <row r="120" spans="4:5" ht="15.75" customHeight="1" x14ac:dyDescent="0.3">
      <c r="D120" s="40"/>
      <c r="E120" s="40"/>
    </row>
    <row r="121" spans="4:5" ht="15.75" customHeight="1" x14ac:dyDescent="0.3">
      <c r="D121" s="40"/>
      <c r="E121" s="40"/>
    </row>
    <row r="122" spans="4:5" ht="15.75" customHeight="1" x14ac:dyDescent="0.3">
      <c r="D122" s="40"/>
      <c r="E122" s="40"/>
    </row>
    <row r="123" spans="4:5" ht="15.75" customHeight="1" x14ac:dyDescent="0.3">
      <c r="D123" s="40"/>
      <c r="E123" s="40"/>
    </row>
    <row r="124" spans="4:5" ht="15.75" customHeight="1" x14ac:dyDescent="0.3">
      <c r="D124" s="40"/>
      <c r="E124" s="40"/>
    </row>
    <row r="125" spans="4:5" ht="15.75" customHeight="1" x14ac:dyDescent="0.3">
      <c r="D125" s="40"/>
      <c r="E125" s="40"/>
    </row>
    <row r="126" spans="4:5" ht="15.75" customHeight="1" x14ac:dyDescent="0.3">
      <c r="D126" s="40"/>
      <c r="E126" s="40"/>
    </row>
    <row r="127" spans="4:5" ht="15.75" customHeight="1" x14ac:dyDescent="0.3">
      <c r="D127" s="40"/>
      <c r="E127" s="40"/>
    </row>
    <row r="128" spans="4:5" ht="15.75" customHeight="1" x14ac:dyDescent="0.3">
      <c r="D128" s="40"/>
      <c r="E128" s="40"/>
    </row>
    <row r="129" spans="4:5" ht="15.75" customHeight="1" x14ac:dyDescent="0.3">
      <c r="D129" s="40"/>
      <c r="E129" s="40"/>
    </row>
    <row r="130" spans="4:5" ht="15.75" customHeight="1" x14ac:dyDescent="0.3">
      <c r="D130" s="40"/>
      <c r="E130" s="40"/>
    </row>
    <row r="131" spans="4:5" ht="15.75" customHeight="1" x14ac:dyDescent="0.3">
      <c r="D131" s="40"/>
      <c r="E131" s="40"/>
    </row>
    <row r="132" spans="4:5" ht="15.75" customHeight="1" x14ac:dyDescent="0.3">
      <c r="D132" s="40"/>
      <c r="E132" s="40"/>
    </row>
    <row r="133" spans="4:5" ht="15.75" customHeight="1" x14ac:dyDescent="0.3">
      <c r="D133" s="40"/>
      <c r="E133" s="40"/>
    </row>
    <row r="134" spans="4:5" ht="15.75" customHeight="1" x14ac:dyDescent="0.3">
      <c r="D134" s="40"/>
      <c r="E134" s="40"/>
    </row>
    <row r="135" spans="4:5" ht="15.75" customHeight="1" x14ac:dyDescent="0.3">
      <c r="D135" s="40"/>
      <c r="E135" s="40"/>
    </row>
    <row r="136" spans="4:5" ht="15.75" customHeight="1" x14ac:dyDescent="0.3">
      <c r="D136" s="40"/>
      <c r="E136" s="40"/>
    </row>
    <row r="137" spans="4:5" ht="15.75" customHeight="1" x14ac:dyDescent="0.3">
      <c r="D137" s="40"/>
      <c r="E137" s="40"/>
    </row>
    <row r="138" spans="4:5" ht="15.75" customHeight="1" x14ac:dyDescent="0.3">
      <c r="D138" s="40"/>
      <c r="E138" s="40"/>
    </row>
    <row r="139" spans="4:5" ht="15.75" customHeight="1" x14ac:dyDescent="0.3">
      <c r="D139" s="40"/>
      <c r="E139" s="40"/>
    </row>
    <row r="140" spans="4:5" ht="15.75" customHeight="1" x14ac:dyDescent="0.3">
      <c r="D140" s="40"/>
      <c r="E140" s="40"/>
    </row>
    <row r="141" spans="4:5" ht="15.75" customHeight="1" x14ac:dyDescent="0.3">
      <c r="D141" s="40"/>
      <c r="E141" s="40"/>
    </row>
    <row r="142" spans="4:5" ht="15.75" customHeight="1" x14ac:dyDescent="0.3">
      <c r="D142" s="40"/>
      <c r="E142" s="40"/>
    </row>
    <row r="143" spans="4:5" ht="15.75" customHeight="1" x14ac:dyDescent="0.3">
      <c r="D143" s="40"/>
      <c r="E143" s="40"/>
    </row>
    <row r="144" spans="4:5" ht="15.75" customHeight="1" x14ac:dyDescent="0.3">
      <c r="D144" s="40"/>
      <c r="E144" s="40"/>
    </row>
    <row r="145" spans="4:5" ht="15.75" customHeight="1" x14ac:dyDescent="0.3">
      <c r="D145" s="40"/>
      <c r="E145" s="40"/>
    </row>
    <row r="146" spans="4:5" ht="15.75" customHeight="1" x14ac:dyDescent="0.3">
      <c r="D146" s="40"/>
      <c r="E146" s="40"/>
    </row>
    <row r="147" spans="4:5" ht="15.75" customHeight="1" x14ac:dyDescent="0.3">
      <c r="D147" s="40"/>
      <c r="E147" s="40"/>
    </row>
    <row r="148" spans="4:5" ht="15.75" customHeight="1" x14ac:dyDescent="0.3">
      <c r="D148" s="40"/>
      <c r="E148" s="40"/>
    </row>
    <row r="149" spans="4:5" ht="15.75" customHeight="1" x14ac:dyDescent="0.3">
      <c r="D149" s="40"/>
      <c r="E149" s="40"/>
    </row>
    <row r="150" spans="4:5" ht="15.75" customHeight="1" x14ac:dyDescent="0.3">
      <c r="D150" s="40"/>
      <c r="E150" s="40"/>
    </row>
    <row r="151" spans="4:5" ht="15.75" customHeight="1" x14ac:dyDescent="0.3">
      <c r="D151" s="40"/>
      <c r="E151" s="40"/>
    </row>
    <row r="152" spans="4:5" ht="15.75" customHeight="1" x14ac:dyDescent="0.3">
      <c r="D152" s="40"/>
      <c r="E152" s="40"/>
    </row>
    <row r="153" spans="4:5" ht="15.75" customHeight="1" x14ac:dyDescent="0.3">
      <c r="D153" s="40"/>
      <c r="E153" s="40"/>
    </row>
    <row r="154" spans="4:5" ht="15.75" customHeight="1" x14ac:dyDescent="0.3">
      <c r="D154" s="40"/>
      <c r="E154" s="40"/>
    </row>
    <row r="155" spans="4:5" ht="15.75" customHeight="1" x14ac:dyDescent="0.3">
      <c r="D155" s="40"/>
      <c r="E155" s="40"/>
    </row>
    <row r="156" spans="4:5" ht="15.75" customHeight="1" x14ac:dyDescent="0.3">
      <c r="D156" s="40"/>
      <c r="E156" s="40"/>
    </row>
    <row r="157" spans="4:5" ht="15.75" customHeight="1" x14ac:dyDescent="0.3">
      <c r="D157" s="40"/>
      <c r="E157" s="40"/>
    </row>
    <row r="158" spans="4:5" ht="15.75" customHeight="1" x14ac:dyDescent="0.3">
      <c r="D158" s="40"/>
      <c r="E158" s="40"/>
    </row>
    <row r="159" spans="4:5" ht="15.75" customHeight="1" x14ac:dyDescent="0.3">
      <c r="D159" s="40"/>
      <c r="E159" s="40"/>
    </row>
    <row r="160" spans="4:5" ht="15.75" customHeight="1" x14ac:dyDescent="0.3">
      <c r="D160" s="40"/>
      <c r="E160" s="40"/>
    </row>
    <row r="161" spans="4:5" ht="15.75" customHeight="1" x14ac:dyDescent="0.3">
      <c r="D161" s="40"/>
      <c r="E161" s="40"/>
    </row>
    <row r="162" spans="4:5" ht="15.75" customHeight="1" x14ac:dyDescent="0.3">
      <c r="D162" s="40"/>
      <c r="E162" s="40"/>
    </row>
    <row r="163" spans="4:5" ht="15.75" customHeight="1" x14ac:dyDescent="0.3">
      <c r="D163" s="40"/>
      <c r="E163" s="40"/>
    </row>
    <row r="164" spans="4:5" ht="15.75" customHeight="1" x14ac:dyDescent="0.3">
      <c r="D164" s="40"/>
      <c r="E164" s="40"/>
    </row>
    <row r="165" spans="4:5" ht="15.75" customHeight="1" x14ac:dyDescent="0.3">
      <c r="D165" s="40"/>
      <c r="E165" s="40"/>
    </row>
    <row r="166" spans="4:5" ht="15.75" customHeight="1" x14ac:dyDescent="0.3">
      <c r="D166" s="40"/>
      <c r="E166" s="40"/>
    </row>
    <row r="167" spans="4:5" ht="15.75" customHeight="1" x14ac:dyDescent="0.3">
      <c r="D167" s="40"/>
      <c r="E167" s="40"/>
    </row>
    <row r="168" spans="4:5" ht="15.75" customHeight="1" x14ac:dyDescent="0.3">
      <c r="D168" s="40"/>
      <c r="E168" s="40"/>
    </row>
    <row r="169" spans="4:5" ht="15.75" customHeight="1" x14ac:dyDescent="0.3">
      <c r="D169" s="40"/>
      <c r="E169" s="40"/>
    </row>
    <row r="170" spans="4:5" ht="15.75" customHeight="1" x14ac:dyDescent="0.3">
      <c r="D170" s="40"/>
      <c r="E170" s="40"/>
    </row>
    <row r="171" spans="4:5" ht="15.75" customHeight="1" x14ac:dyDescent="0.3">
      <c r="D171" s="40"/>
      <c r="E171" s="40"/>
    </row>
    <row r="172" spans="4:5" ht="15.75" customHeight="1" x14ac:dyDescent="0.3">
      <c r="D172" s="40"/>
      <c r="E172" s="40"/>
    </row>
    <row r="173" spans="4:5" ht="15.75" customHeight="1" x14ac:dyDescent="0.3">
      <c r="D173" s="40"/>
      <c r="E173" s="40"/>
    </row>
    <row r="174" spans="4:5" ht="15.75" customHeight="1" x14ac:dyDescent="0.3">
      <c r="D174" s="40"/>
      <c r="E174" s="40"/>
    </row>
    <row r="175" spans="4:5" ht="15.75" customHeight="1" x14ac:dyDescent="0.3">
      <c r="D175" s="40"/>
      <c r="E175" s="40"/>
    </row>
    <row r="176" spans="4:5" ht="15.75" customHeight="1" x14ac:dyDescent="0.3">
      <c r="D176" s="40"/>
      <c r="E176" s="40"/>
    </row>
    <row r="177" spans="4:5" ht="15.75" customHeight="1" x14ac:dyDescent="0.3">
      <c r="D177" s="40"/>
      <c r="E177" s="40"/>
    </row>
    <row r="178" spans="4:5" ht="15.75" customHeight="1" x14ac:dyDescent="0.3">
      <c r="D178" s="40"/>
      <c r="E178" s="40"/>
    </row>
    <row r="179" spans="4:5" ht="15.75" customHeight="1" x14ac:dyDescent="0.3">
      <c r="D179" s="40"/>
      <c r="E179" s="40"/>
    </row>
    <row r="180" spans="4:5" ht="15.75" customHeight="1" x14ac:dyDescent="0.3">
      <c r="D180" s="40"/>
      <c r="E180" s="40"/>
    </row>
    <row r="181" spans="4:5" ht="15.75" customHeight="1" x14ac:dyDescent="0.3">
      <c r="D181" s="40"/>
      <c r="E181" s="40"/>
    </row>
    <row r="182" spans="4:5" ht="15.75" customHeight="1" x14ac:dyDescent="0.3">
      <c r="D182" s="40"/>
      <c r="E182" s="40"/>
    </row>
    <row r="183" spans="4:5" ht="15.75" customHeight="1" x14ac:dyDescent="0.3">
      <c r="D183" s="40"/>
      <c r="E183" s="40"/>
    </row>
    <row r="184" spans="4:5" ht="15.75" customHeight="1" x14ac:dyDescent="0.3">
      <c r="D184" s="40"/>
      <c r="E184" s="40"/>
    </row>
    <row r="185" spans="4:5" ht="15.75" customHeight="1" x14ac:dyDescent="0.3">
      <c r="D185" s="40"/>
      <c r="E185" s="40"/>
    </row>
    <row r="186" spans="4:5" ht="15.75" customHeight="1" x14ac:dyDescent="0.3">
      <c r="D186" s="40"/>
      <c r="E186" s="40"/>
    </row>
    <row r="187" spans="4:5" ht="15.75" customHeight="1" x14ac:dyDescent="0.3">
      <c r="D187" s="40"/>
      <c r="E187" s="40"/>
    </row>
    <row r="188" spans="4:5" ht="15.75" customHeight="1" x14ac:dyDescent="0.3">
      <c r="D188" s="40"/>
      <c r="E188" s="40"/>
    </row>
    <row r="189" spans="4:5" ht="15.75" customHeight="1" x14ac:dyDescent="0.3">
      <c r="D189" s="40"/>
      <c r="E189" s="40"/>
    </row>
    <row r="190" spans="4:5" ht="15.75" customHeight="1" x14ac:dyDescent="0.3">
      <c r="D190" s="40"/>
      <c r="E190" s="40"/>
    </row>
    <row r="191" spans="4:5" ht="15.75" customHeight="1" x14ac:dyDescent="0.3">
      <c r="D191" s="40"/>
      <c r="E191" s="40"/>
    </row>
    <row r="192" spans="4:5" ht="15.75" customHeight="1" x14ac:dyDescent="0.3">
      <c r="D192" s="40"/>
      <c r="E192" s="40"/>
    </row>
    <row r="193" spans="4:5" ht="15.75" customHeight="1" x14ac:dyDescent="0.3">
      <c r="D193" s="40"/>
      <c r="E193" s="40"/>
    </row>
    <row r="194" spans="4:5" ht="15.75" customHeight="1" x14ac:dyDescent="0.3">
      <c r="D194" s="40"/>
      <c r="E194" s="40"/>
    </row>
    <row r="195" spans="4:5" ht="15.75" customHeight="1" x14ac:dyDescent="0.3">
      <c r="D195" s="40"/>
      <c r="E195" s="40"/>
    </row>
    <row r="196" spans="4:5" ht="15.75" customHeight="1" x14ac:dyDescent="0.3">
      <c r="D196" s="40"/>
      <c r="E196" s="40"/>
    </row>
    <row r="197" spans="4:5" ht="15.75" customHeight="1" x14ac:dyDescent="0.3">
      <c r="D197" s="40"/>
      <c r="E197" s="40"/>
    </row>
    <row r="198" spans="4:5" ht="15.75" customHeight="1" x14ac:dyDescent="0.3">
      <c r="D198" s="40"/>
      <c r="E198" s="40"/>
    </row>
    <row r="199" spans="4:5" ht="15.75" customHeight="1" x14ac:dyDescent="0.3">
      <c r="D199" s="40"/>
      <c r="E199" s="40"/>
    </row>
    <row r="200" spans="4:5" ht="15.75" customHeight="1" x14ac:dyDescent="0.3">
      <c r="D200" s="40"/>
      <c r="E200" s="40"/>
    </row>
    <row r="201" spans="4:5" ht="15.75" customHeight="1" x14ac:dyDescent="0.3">
      <c r="D201" s="40"/>
      <c r="E201" s="40"/>
    </row>
    <row r="202" spans="4:5" ht="15.75" customHeight="1" x14ac:dyDescent="0.3">
      <c r="D202" s="40"/>
      <c r="E202" s="40"/>
    </row>
    <row r="203" spans="4:5" ht="15.75" customHeight="1" x14ac:dyDescent="0.3">
      <c r="D203" s="40"/>
      <c r="E203" s="40"/>
    </row>
    <row r="204" spans="4:5" ht="15.75" customHeight="1" x14ac:dyDescent="0.3">
      <c r="D204" s="40"/>
      <c r="E204" s="40"/>
    </row>
    <row r="205" spans="4:5" ht="15.75" customHeight="1" x14ac:dyDescent="0.3">
      <c r="D205" s="40"/>
      <c r="E205" s="40"/>
    </row>
    <row r="206" spans="4:5" ht="15.75" customHeight="1" x14ac:dyDescent="0.3">
      <c r="D206" s="40"/>
      <c r="E206" s="40"/>
    </row>
    <row r="207" spans="4:5" ht="15.75" customHeight="1" x14ac:dyDescent="0.3">
      <c r="D207" s="40"/>
      <c r="E207" s="40"/>
    </row>
    <row r="208" spans="4:5" ht="15.75" customHeight="1" x14ac:dyDescent="0.3">
      <c r="D208" s="40"/>
      <c r="E208" s="40"/>
    </row>
    <row r="209" spans="4:5" ht="15.75" customHeight="1" x14ac:dyDescent="0.3">
      <c r="D209" s="40"/>
      <c r="E209" s="40"/>
    </row>
    <row r="210" spans="4:5" ht="15.75" customHeight="1" x14ac:dyDescent="0.3">
      <c r="D210" s="40"/>
      <c r="E210" s="40"/>
    </row>
    <row r="211" spans="4:5" ht="15.75" customHeight="1" x14ac:dyDescent="0.3">
      <c r="D211" s="40"/>
      <c r="E211" s="40"/>
    </row>
    <row r="212" spans="4:5" ht="15.75" customHeight="1" x14ac:dyDescent="0.3">
      <c r="D212" s="40"/>
      <c r="E212" s="40"/>
    </row>
    <row r="213" spans="4:5" ht="15.75" customHeight="1" x14ac:dyDescent="0.3">
      <c r="D213" s="40"/>
      <c r="E213" s="40"/>
    </row>
    <row r="214" spans="4:5" ht="15.75" customHeight="1" x14ac:dyDescent="0.3">
      <c r="D214" s="40"/>
      <c r="E214" s="40"/>
    </row>
    <row r="215" spans="4:5" ht="15.75" customHeight="1" x14ac:dyDescent="0.3">
      <c r="D215" s="40"/>
      <c r="E215" s="40"/>
    </row>
    <row r="216" spans="4:5" ht="15.75" customHeight="1" x14ac:dyDescent="0.3">
      <c r="D216" s="40"/>
      <c r="E216" s="40"/>
    </row>
    <row r="217" spans="4:5" ht="15.75" customHeight="1" x14ac:dyDescent="0.3">
      <c r="D217" s="40"/>
      <c r="E217" s="40"/>
    </row>
    <row r="218" spans="4:5" ht="15.75" customHeight="1" x14ac:dyDescent="0.3">
      <c r="D218" s="40"/>
      <c r="E218" s="40"/>
    </row>
    <row r="219" spans="4:5" ht="15.75" customHeight="1" x14ac:dyDescent="0.3">
      <c r="D219" s="40"/>
      <c r="E219" s="40"/>
    </row>
    <row r="220" spans="4:5" ht="15.75" customHeight="1" x14ac:dyDescent="0.3">
      <c r="D220" s="40"/>
      <c r="E220" s="40"/>
    </row>
    <row r="221" spans="4:5" ht="15.75" customHeight="1" x14ac:dyDescent="0.3">
      <c r="D221" s="40"/>
      <c r="E221" s="40"/>
    </row>
    <row r="222" spans="4:5" ht="15.75" customHeight="1" x14ac:dyDescent="0.3">
      <c r="D222" s="40"/>
      <c r="E222" s="40"/>
    </row>
    <row r="223" spans="4:5" ht="15.75" customHeight="1" x14ac:dyDescent="0.3">
      <c r="D223" s="40"/>
      <c r="E223" s="40"/>
    </row>
    <row r="224" spans="4:5" ht="15.75" customHeight="1" x14ac:dyDescent="0.3">
      <c r="D224" s="40"/>
      <c r="E224" s="40"/>
    </row>
    <row r="225" spans="4:5" ht="15.75" customHeight="1" x14ac:dyDescent="0.3">
      <c r="D225" s="40"/>
      <c r="E225" s="40"/>
    </row>
    <row r="226" spans="4:5" ht="15.75" customHeight="1" x14ac:dyDescent="0.3">
      <c r="D226" s="40"/>
      <c r="E226" s="40"/>
    </row>
    <row r="227" spans="4:5" ht="15.75" customHeight="1" x14ac:dyDescent="0.3">
      <c r="D227" s="40"/>
      <c r="E227" s="40"/>
    </row>
    <row r="228" spans="4:5" ht="15.75" customHeight="1" x14ac:dyDescent="0.3">
      <c r="D228" s="40"/>
      <c r="E228" s="40"/>
    </row>
    <row r="229" spans="4:5" ht="15.75" customHeight="1" x14ac:dyDescent="0.3">
      <c r="D229" s="40"/>
      <c r="E229" s="40"/>
    </row>
    <row r="230" spans="4:5" ht="15.75" customHeight="1" x14ac:dyDescent="0.3">
      <c r="D230" s="40"/>
      <c r="E230" s="40"/>
    </row>
    <row r="231" spans="4:5" ht="15.75" customHeight="1" x14ac:dyDescent="0.3">
      <c r="D231" s="40"/>
      <c r="E231" s="40"/>
    </row>
    <row r="232" spans="4:5" ht="15.75" customHeight="1" x14ac:dyDescent="0.3">
      <c r="D232" s="40"/>
      <c r="E232" s="40"/>
    </row>
    <row r="233" spans="4:5" ht="15.75" customHeight="1" x14ac:dyDescent="0.3">
      <c r="D233" s="40"/>
      <c r="E233" s="40"/>
    </row>
    <row r="234" spans="4:5" ht="15.75" customHeight="1" x14ac:dyDescent="0.3">
      <c r="D234" s="40"/>
      <c r="E234" s="40"/>
    </row>
    <row r="235" spans="4:5" ht="15.75" customHeight="1" x14ac:dyDescent="0.3">
      <c r="D235" s="40"/>
      <c r="E235" s="40"/>
    </row>
    <row r="236" spans="4:5" ht="15.75" customHeight="1" x14ac:dyDescent="0.3">
      <c r="D236" s="40"/>
      <c r="E236" s="40"/>
    </row>
    <row r="237" spans="4:5" ht="15.75" customHeight="1" x14ac:dyDescent="0.3">
      <c r="D237" s="40"/>
      <c r="E237" s="40"/>
    </row>
    <row r="238" spans="4:5" ht="15.75" customHeight="1" x14ac:dyDescent="0.3">
      <c r="D238" s="40"/>
      <c r="E238" s="40"/>
    </row>
    <row r="239" spans="4:5" ht="15.75" customHeight="1" x14ac:dyDescent="0.3">
      <c r="D239" s="40"/>
      <c r="E239" s="40"/>
    </row>
    <row r="240" spans="4:5" ht="15.75" customHeight="1" x14ac:dyDescent="0.3">
      <c r="D240" s="40"/>
      <c r="E240" s="40"/>
    </row>
    <row r="241" spans="4:5" ht="15.75" customHeight="1" x14ac:dyDescent="0.3">
      <c r="D241" s="40"/>
      <c r="E241" s="40"/>
    </row>
    <row r="242" spans="4:5" ht="15.75" customHeight="1" x14ac:dyDescent="0.3">
      <c r="D242" s="40"/>
      <c r="E242" s="40"/>
    </row>
    <row r="243" spans="4:5" ht="15.75" customHeight="1" x14ac:dyDescent="0.3">
      <c r="D243" s="40"/>
      <c r="E243" s="40"/>
    </row>
    <row r="244" spans="4:5" ht="15.75" customHeight="1" x14ac:dyDescent="0.3">
      <c r="D244" s="40"/>
      <c r="E244" s="40"/>
    </row>
    <row r="245" spans="4:5" ht="15.75" customHeight="1" x14ac:dyDescent="0.3">
      <c r="D245" s="40"/>
      <c r="E245" s="40"/>
    </row>
    <row r="246" spans="4:5" ht="15.75" customHeight="1" x14ac:dyDescent="0.3">
      <c r="D246" s="40"/>
      <c r="E246" s="40"/>
    </row>
    <row r="247" spans="4:5" ht="15.75" customHeight="1" x14ac:dyDescent="0.3">
      <c r="D247" s="40"/>
      <c r="E247" s="40"/>
    </row>
    <row r="248" spans="4:5" ht="15.75" customHeight="1" x14ac:dyDescent="0.3">
      <c r="D248" s="40"/>
      <c r="E248" s="40"/>
    </row>
    <row r="249" spans="4:5" ht="15.75" customHeight="1" x14ac:dyDescent="0.3">
      <c r="D249" s="40"/>
      <c r="E249" s="40"/>
    </row>
    <row r="250" spans="4:5" ht="15.75" customHeight="1" x14ac:dyDescent="0.3">
      <c r="D250" s="40"/>
      <c r="E250" s="40"/>
    </row>
    <row r="251" spans="4:5" ht="15.75" customHeight="1" x14ac:dyDescent="0.3">
      <c r="D251" s="40"/>
      <c r="E251" s="40"/>
    </row>
    <row r="252" spans="4:5" ht="15.75" customHeight="1" x14ac:dyDescent="0.3">
      <c r="D252" s="40"/>
      <c r="E252" s="40"/>
    </row>
    <row r="253" spans="4:5" ht="15.75" customHeight="1" x14ac:dyDescent="0.3">
      <c r="D253" s="40"/>
      <c r="E253" s="40"/>
    </row>
    <row r="254" spans="4:5" ht="15.75" customHeight="1" x14ac:dyDescent="0.3">
      <c r="D254" s="40"/>
      <c r="E254" s="40"/>
    </row>
    <row r="255" spans="4:5" ht="15.75" customHeight="1" x14ac:dyDescent="0.3">
      <c r="D255" s="40"/>
      <c r="E255" s="40"/>
    </row>
    <row r="256" spans="4:5" ht="15.75" customHeight="1" x14ac:dyDescent="0.3">
      <c r="D256" s="40"/>
      <c r="E256" s="40"/>
    </row>
    <row r="257" spans="4:5" ht="15.75" customHeight="1" x14ac:dyDescent="0.3">
      <c r="D257" s="40"/>
      <c r="E257" s="40"/>
    </row>
    <row r="258" spans="4:5" ht="15.75" customHeight="1" x14ac:dyDescent="0.3">
      <c r="D258" s="40"/>
      <c r="E258" s="40"/>
    </row>
    <row r="259" spans="4:5" ht="15.75" customHeight="1" x14ac:dyDescent="0.3">
      <c r="D259" s="40"/>
      <c r="E259" s="40"/>
    </row>
    <row r="260" spans="4:5" ht="15.75" customHeight="1" x14ac:dyDescent="0.3">
      <c r="D260" s="40"/>
      <c r="E260" s="40"/>
    </row>
    <row r="261" spans="4:5" ht="15.75" customHeight="1" x14ac:dyDescent="0.3">
      <c r="D261" s="40"/>
      <c r="E261" s="40"/>
    </row>
    <row r="262" spans="4:5" ht="15.75" customHeight="1" x14ac:dyDescent="0.3">
      <c r="D262" s="40"/>
      <c r="E262" s="40"/>
    </row>
    <row r="263" spans="4:5" ht="15.75" customHeight="1" x14ac:dyDescent="0.3">
      <c r="D263" s="40"/>
      <c r="E263" s="40"/>
    </row>
    <row r="264" spans="4:5" ht="15.75" customHeight="1" x14ac:dyDescent="0.3">
      <c r="D264" s="40"/>
      <c r="E264" s="40"/>
    </row>
    <row r="265" spans="4:5" ht="15.75" customHeight="1" x14ac:dyDescent="0.3">
      <c r="D265" s="40"/>
      <c r="E265" s="40"/>
    </row>
    <row r="266" spans="4:5" ht="15.75" customHeight="1" x14ac:dyDescent="0.3">
      <c r="D266" s="40"/>
      <c r="E266" s="40"/>
    </row>
    <row r="267" spans="4:5" ht="15.75" customHeight="1" x14ac:dyDescent="0.3">
      <c r="D267" s="40"/>
      <c r="E267" s="40"/>
    </row>
    <row r="268" spans="4:5" ht="15.75" customHeight="1" x14ac:dyDescent="0.3">
      <c r="D268" s="40"/>
      <c r="E268" s="40"/>
    </row>
    <row r="269" spans="4:5" ht="15.75" customHeight="1" x14ac:dyDescent="0.3">
      <c r="D269" s="40"/>
      <c r="E269" s="40"/>
    </row>
    <row r="270" spans="4:5" ht="15.75" customHeight="1" x14ac:dyDescent="0.3">
      <c r="D270" s="40"/>
      <c r="E270" s="40"/>
    </row>
    <row r="271" spans="4:5" ht="15.75" customHeight="1" x14ac:dyDescent="0.3">
      <c r="D271" s="40"/>
      <c r="E271" s="40"/>
    </row>
    <row r="272" spans="4:5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</sheetData>
  <mergeCells count="9">
    <mergeCell ref="G5:H5"/>
    <mergeCell ref="F69:H69"/>
    <mergeCell ref="A1:H1"/>
    <mergeCell ref="A2:H2"/>
    <mergeCell ref="A3:H3"/>
    <mergeCell ref="A4:H4"/>
    <mergeCell ref="A5:A6"/>
    <mergeCell ref="B5:B6"/>
    <mergeCell ref="A7:C7"/>
  </mergeCells>
  <conditionalFormatting sqref="E8:E67">
    <cfRule type="cellIs" dxfId="10" priority="19" operator="equal">
      <formula>"F"</formula>
    </cfRule>
    <cfRule type="colorScale" priority="20">
      <colorScale>
        <cfvo type="formula" val="F"/>
        <cfvo type="max"/>
        <color rgb="FFFF7128"/>
        <color rgb="FFFFEF9C"/>
      </colorScale>
    </cfRule>
  </conditionalFormatting>
  <conditionalFormatting sqref="F8:F67">
    <cfRule type="containsText" dxfId="9" priority="3" operator="containsText" text="AB">
      <formula>NOT(ISERROR(SEARCH(("AB"),(F8))))</formula>
    </cfRule>
  </conditionalFormatting>
  <conditionalFormatting sqref="G8:H67">
    <cfRule type="cellIs" dxfId="8" priority="8" operator="equal">
      <formula>0</formula>
    </cfRule>
  </conditionalFormatting>
  <pageMargins left="0.7" right="0.7" top="0.75" bottom="0.75" header="0" footer="0"/>
  <pageSetup paperSize="9" orientation="landscape"/>
  <rowBreaks count="1" manualBreakCount="1">
    <brk id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00"/>
  <sheetViews>
    <sheetView workbookViewId="0">
      <selection activeCell="F12" sqref="F12"/>
    </sheetView>
  </sheetViews>
  <sheetFormatPr defaultColWidth="12.59765625" defaultRowHeight="15" customHeight="1" x14ac:dyDescent="0.25"/>
  <cols>
    <col min="1" max="1" width="10.8984375" customWidth="1"/>
    <col min="2" max="2" width="8.8984375" customWidth="1"/>
    <col min="3" max="3" width="12.8984375" customWidth="1"/>
    <col min="4" max="4" width="13.19921875" customWidth="1"/>
    <col min="5" max="5" width="11" customWidth="1"/>
    <col min="6" max="7" width="12.69921875" customWidth="1"/>
    <col min="8" max="8" width="17.69921875" customWidth="1"/>
    <col min="9" max="9" width="13.19921875" customWidth="1"/>
    <col min="10" max="26" width="12.69921875" customWidth="1"/>
  </cols>
  <sheetData>
    <row r="1" spans="1:9" ht="19.5" customHeight="1" x14ac:dyDescent="0.25">
      <c r="A1" s="84" t="str">
        <f>'CO-PO Mapping'!A1:P1</f>
        <v>DEPARTMENT OF COMPUTER SCIENCE</v>
      </c>
      <c r="B1" s="85"/>
      <c r="C1" s="85"/>
      <c r="D1" s="85"/>
      <c r="E1" s="85"/>
      <c r="F1" s="85"/>
      <c r="G1" s="85"/>
      <c r="H1" s="85"/>
      <c r="I1" s="86"/>
    </row>
    <row r="2" spans="1:9" ht="19.5" customHeight="1" x14ac:dyDescent="0.25">
      <c r="A2" s="84" t="s">
        <v>42</v>
      </c>
      <c r="B2" s="85"/>
      <c r="C2" s="85"/>
      <c r="D2" s="85"/>
      <c r="E2" s="85"/>
      <c r="F2" s="85"/>
      <c r="G2" s="85"/>
      <c r="H2" s="85"/>
      <c r="I2" s="86"/>
    </row>
    <row r="3" spans="1:9" ht="19.5" customHeight="1" x14ac:dyDescent="0.25">
      <c r="A3" s="84" t="str">
        <f>'CO-PO Mapping'!A3:P3</f>
        <v>II Year III Semester</v>
      </c>
      <c r="B3" s="85"/>
      <c r="C3" s="85"/>
      <c r="D3" s="85"/>
      <c r="E3" s="85"/>
      <c r="F3" s="85"/>
      <c r="G3" s="85"/>
      <c r="H3" s="85"/>
      <c r="I3" s="86"/>
    </row>
    <row r="4" spans="1:9" ht="19.5" customHeight="1" x14ac:dyDescent="0.25">
      <c r="A4" s="84" t="str">
        <f>'CO-PO Mapping'!A4:P4</f>
        <v>SUBJECT: Advanced Engineering Mathematics                                                                                                   Faculty: Dr. Kalpana Fatawat</v>
      </c>
      <c r="B4" s="85"/>
      <c r="C4" s="85"/>
      <c r="D4" s="85"/>
      <c r="E4" s="85"/>
      <c r="F4" s="85"/>
      <c r="G4" s="85"/>
      <c r="H4" s="85"/>
      <c r="I4" s="86"/>
    </row>
    <row r="5" spans="1:9" ht="78" x14ac:dyDescent="0.25">
      <c r="A5" s="12" t="s">
        <v>43</v>
      </c>
      <c r="B5" s="12" t="s">
        <v>44</v>
      </c>
      <c r="C5" s="12" t="s">
        <v>45</v>
      </c>
      <c r="D5" s="12" t="s">
        <v>46</v>
      </c>
      <c r="E5" s="12" t="s">
        <v>47</v>
      </c>
      <c r="F5" s="12" t="s">
        <v>48</v>
      </c>
      <c r="G5" s="12" t="s">
        <v>46</v>
      </c>
      <c r="H5" s="12" t="s">
        <v>49</v>
      </c>
      <c r="I5" s="12" t="s">
        <v>50</v>
      </c>
    </row>
    <row r="6" spans="1:9" ht="19.5" customHeight="1" x14ac:dyDescent="0.25">
      <c r="A6" s="41" t="str">
        <f>'CO-PO Mapping'!A11</f>
        <v>CO35CS203 Avg</v>
      </c>
      <c r="B6" s="41" t="s">
        <v>51</v>
      </c>
      <c r="C6" s="41">
        <f>'Sessional + End Term Assessment'!D70</f>
        <v>0</v>
      </c>
      <c r="D6" s="41">
        <f>'Sessional + End Term Assessment'!E70</f>
        <v>0</v>
      </c>
      <c r="E6" s="41">
        <f>D6*'Sessional + End Term Assessment'!D6/'Sessional + End Term Assessment'!F6</f>
        <v>0</v>
      </c>
      <c r="F6" s="41">
        <f>'Sessional + End Term Assessment'!D71</f>
        <v>0</v>
      </c>
      <c r="G6" s="41">
        <f>'Sessional + End Term Assessment'!E71</f>
        <v>0</v>
      </c>
      <c r="H6" s="41">
        <f>G6*'Sessional + End Term Assessment'!E6/'Sessional + End Term Assessment'!F6</f>
        <v>0</v>
      </c>
      <c r="I6" s="41">
        <f>E6+H6</f>
        <v>0</v>
      </c>
    </row>
    <row r="7" spans="1:9" ht="30.75" customHeight="1" x14ac:dyDescent="0.25">
      <c r="A7" s="109" t="s">
        <v>52</v>
      </c>
      <c r="B7" s="91"/>
      <c r="C7" s="91"/>
      <c r="D7" s="91"/>
      <c r="E7" s="91"/>
      <c r="F7" s="92"/>
      <c r="G7" s="105" t="s">
        <v>39</v>
      </c>
      <c r="H7" s="85"/>
      <c r="I7" s="86"/>
    </row>
    <row r="8" spans="1:9" ht="13.8" x14ac:dyDescent="0.25">
      <c r="A8" s="93"/>
      <c r="B8" s="94"/>
      <c r="C8" s="94"/>
      <c r="D8" s="94"/>
      <c r="E8" s="94"/>
      <c r="F8" s="95"/>
      <c r="G8" s="109"/>
      <c r="H8" s="91"/>
      <c r="I8" s="92"/>
    </row>
    <row r="9" spans="1:9" ht="13.8" x14ac:dyDescent="0.25">
      <c r="A9" s="96"/>
      <c r="B9" s="97"/>
      <c r="C9" s="97"/>
      <c r="D9" s="97"/>
      <c r="E9" s="97"/>
      <c r="F9" s="98"/>
      <c r="G9" s="96"/>
      <c r="H9" s="97"/>
      <c r="I9" s="9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1:I1"/>
    <mergeCell ref="A2:I2"/>
    <mergeCell ref="A3:I3"/>
    <mergeCell ref="A4:I4"/>
    <mergeCell ref="A7:F9"/>
    <mergeCell ref="G7:I7"/>
    <mergeCell ref="G8:I9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0.8984375" customWidth="1"/>
    <col min="2" max="26" width="7.69921875" customWidth="1"/>
  </cols>
  <sheetData>
    <row r="1" spans="1:26" ht="19.5" customHeight="1" x14ac:dyDescent="0.25">
      <c r="A1" s="84" t="str">
        <f>'CO-PO Mapping'!A1:P1</f>
        <v>DEPARTMENT OF COMPUTER SCIENCE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6"/>
    </row>
    <row r="2" spans="1:26" ht="19.5" customHeight="1" x14ac:dyDescent="0.25">
      <c r="A2" s="84" t="s">
        <v>53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6"/>
    </row>
    <row r="3" spans="1:26" ht="19.5" customHeight="1" x14ac:dyDescent="0.25">
      <c r="A3" s="84" t="str">
        <f>'CO-PO Mapping'!A4:P4</f>
        <v>SUBJECT: Advanced Engineering Mathematics                                                                                                   Faculty: Dr. Kalpana Fatawat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6"/>
    </row>
    <row r="4" spans="1:26" ht="19.5" customHeight="1" x14ac:dyDescent="0.25">
      <c r="A4" s="84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6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9.5" customHeight="1" x14ac:dyDescent="0.25">
      <c r="A6" s="23" t="str">
        <f>'CO-PO Mapping'!A11</f>
        <v>CO35CS203 Avg</v>
      </c>
      <c r="B6" s="43">
        <f>'Attainment of Subject Code'!$I$6*'CO-PO Mapping'!B12/3</f>
        <v>0</v>
      </c>
      <c r="C6" s="43">
        <f>'Attainment of Subject Code'!$I$6*'CO-PO Mapping'!C12/3</f>
        <v>0</v>
      </c>
      <c r="D6" s="43">
        <f>'Attainment of Subject Code'!$I$6*'CO-PO Mapping'!D12/3</f>
        <v>0</v>
      </c>
      <c r="E6" s="43">
        <f>'Attainment of Subject Code'!$I$6*'CO-PO Mapping'!E12/3</f>
        <v>0</v>
      </c>
      <c r="F6" s="43">
        <f>'Attainment of Subject Code'!$I$6*'CO-PO Mapping'!F12/3</f>
        <v>0</v>
      </c>
      <c r="G6" s="43">
        <f>'Attainment of Subject Code'!$I$6*'CO-PO Mapping'!G12/3</f>
        <v>0</v>
      </c>
      <c r="H6" s="43">
        <f>'Attainment of Subject Code'!$I$6*'CO-PO Mapping'!H12/3</f>
        <v>0</v>
      </c>
      <c r="I6" s="43">
        <f>'Attainment of Subject Code'!$I$6*'CO-PO Mapping'!I12/3</f>
        <v>0</v>
      </c>
      <c r="J6" s="43">
        <f>'Attainment of Subject Code'!$I$6*'CO-PO Mapping'!J12/3</f>
        <v>0</v>
      </c>
      <c r="K6" s="43">
        <f>'Attainment of Subject Code'!$I$6*'CO-PO Mapping'!K12/3</f>
        <v>0</v>
      </c>
      <c r="L6" s="43">
        <f>'Attainment of Subject Code'!$I$6*'CO-PO Mapping'!L12/3</f>
        <v>0</v>
      </c>
      <c r="M6" s="43">
        <f>'Attainment of Subject Code'!$I$6*'CO-PO Mapping'!M12/3</f>
        <v>0</v>
      </c>
      <c r="N6" s="43">
        <f>'Attainment of Subject Code'!$I$6*'CO-PO Mapping'!N12/3</f>
        <v>0</v>
      </c>
      <c r="O6" s="43">
        <f>'Attainment of Subject Code'!$I$6*'CO-PO Mapping'!O12/3</f>
        <v>0</v>
      </c>
      <c r="P6" s="43">
        <f>'Attainment of Subject Code'!$I$6*'CO-PO Mapping'!P12/3</f>
        <v>0</v>
      </c>
    </row>
    <row r="7" spans="1:26" ht="39.75" customHeight="1" x14ac:dyDescent="0.25">
      <c r="A7" s="89" t="s">
        <v>39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6"/>
      <c r="N7" s="89"/>
      <c r="O7" s="85"/>
      <c r="P7" s="8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7:M7"/>
    <mergeCell ref="N7:P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820"/>
  <sheetViews>
    <sheetView topLeftCell="A57" workbookViewId="0">
      <selection activeCell="B71" sqref="B71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35.3984375" customWidth="1"/>
    <col min="4" max="11" width="15.19921875" customWidth="1"/>
    <col min="12" max="15" width="14.69921875" customWidth="1"/>
    <col min="16" max="17" width="15.19921875" customWidth="1"/>
    <col min="18" max="18" width="9.8984375" customWidth="1"/>
    <col min="19" max="20" width="8" customWidth="1"/>
    <col min="21" max="21" width="10.8984375" customWidth="1"/>
    <col min="22" max="22" width="4.69921875" customWidth="1"/>
    <col min="23" max="24" width="8" customWidth="1"/>
    <col min="25" max="25" width="12.69921875" customWidth="1"/>
    <col min="26" max="26" width="15.5" customWidth="1"/>
    <col min="27" max="29" width="12.69921875" customWidth="1"/>
  </cols>
  <sheetData>
    <row r="1" spans="1:29" ht="19.5" customHeight="1" x14ac:dyDescent="0.25">
      <c r="A1" s="113" t="str">
        <f>'CO-PO Mapping'!A1:R1</f>
        <v>DEPARTMENT OF COMPUTER SCIENCE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5"/>
      <c r="S1" s="44"/>
      <c r="T1" s="44"/>
      <c r="U1" s="44"/>
      <c r="V1" s="44"/>
      <c r="W1" s="44"/>
      <c r="X1" s="44"/>
    </row>
    <row r="2" spans="1:29" ht="19.5" customHeight="1" x14ac:dyDescent="0.25">
      <c r="A2" s="113" t="s">
        <v>55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5"/>
      <c r="S2" s="44"/>
      <c r="T2" s="44"/>
      <c r="U2" s="44"/>
      <c r="V2" s="44"/>
      <c r="W2" s="44"/>
      <c r="X2" s="44"/>
    </row>
    <row r="3" spans="1:29" ht="19.5" customHeight="1" x14ac:dyDescent="0.25">
      <c r="A3" s="113" t="str">
        <f>'CO-PO Mapping'!A3:R3</f>
        <v>II Year III Semester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5"/>
      <c r="S3" s="44"/>
      <c r="T3" s="44"/>
      <c r="U3" s="44"/>
      <c r="V3" s="44"/>
      <c r="W3" s="44"/>
      <c r="X3" s="44"/>
    </row>
    <row r="4" spans="1:29" ht="19.5" customHeight="1" x14ac:dyDescent="0.25">
      <c r="A4" s="116" t="s">
        <v>27</v>
      </c>
      <c r="B4" s="110" t="s">
        <v>97</v>
      </c>
      <c r="C4" s="65" t="s">
        <v>29</v>
      </c>
      <c r="D4" s="113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116" t="s">
        <v>95</v>
      </c>
      <c r="S4" s="4"/>
      <c r="T4" s="4"/>
      <c r="U4" s="4"/>
      <c r="V4" s="4"/>
      <c r="W4" s="4"/>
      <c r="X4" s="4"/>
    </row>
    <row r="5" spans="1:29" ht="19.5" customHeight="1" x14ac:dyDescent="0.25">
      <c r="A5" s="117"/>
      <c r="B5" s="117"/>
      <c r="C5" s="65" t="s">
        <v>57</v>
      </c>
      <c r="D5" s="65" t="s">
        <v>58</v>
      </c>
      <c r="E5" s="110" t="s">
        <v>59</v>
      </c>
      <c r="F5" s="110" t="s">
        <v>60</v>
      </c>
      <c r="G5" s="110" t="s">
        <v>61</v>
      </c>
      <c r="H5" s="65" t="s">
        <v>62</v>
      </c>
      <c r="I5" s="110" t="s">
        <v>59</v>
      </c>
      <c r="J5" s="110" t="s">
        <v>60</v>
      </c>
      <c r="K5" s="110" t="s">
        <v>61</v>
      </c>
      <c r="L5" s="65" t="s">
        <v>63</v>
      </c>
      <c r="M5" s="110" t="s">
        <v>64</v>
      </c>
      <c r="N5" s="110" t="s">
        <v>65</v>
      </c>
      <c r="O5" s="110" t="s">
        <v>66</v>
      </c>
      <c r="P5" s="65" t="s">
        <v>67</v>
      </c>
      <c r="Q5" s="65" t="s">
        <v>68</v>
      </c>
      <c r="R5" s="111"/>
      <c r="S5" s="44"/>
      <c r="T5" s="44"/>
      <c r="U5" s="44"/>
      <c r="V5" s="44"/>
      <c r="W5" s="44"/>
      <c r="X5" s="44"/>
    </row>
    <row r="6" spans="1:29" ht="54.75" customHeight="1" x14ac:dyDescent="0.3">
      <c r="A6" s="111"/>
      <c r="B6" s="111"/>
      <c r="C6" s="65" t="s">
        <v>34</v>
      </c>
      <c r="D6" s="66">
        <v>28</v>
      </c>
      <c r="E6" s="111"/>
      <c r="F6" s="111"/>
      <c r="G6" s="111"/>
      <c r="H6" s="66">
        <v>28</v>
      </c>
      <c r="I6" s="111"/>
      <c r="J6" s="111"/>
      <c r="K6" s="111"/>
      <c r="L6" s="66">
        <v>14</v>
      </c>
      <c r="M6" s="112"/>
      <c r="N6" s="112"/>
      <c r="O6" s="112"/>
      <c r="P6" s="67"/>
      <c r="Q6" s="67"/>
      <c r="R6" s="68">
        <v>70</v>
      </c>
      <c r="S6" s="44"/>
      <c r="T6" s="44"/>
      <c r="U6" s="44"/>
      <c r="V6" s="44"/>
      <c r="W6" s="44"/>
      <c r="X6" s="44"/>
      <c r="Z6" s="46"/>
      <c r="AA6" s="46"/>
      <c r="AB6" s="46"/>
      <c r="AC6" s="46"/>
    </row>
    <row r="7" spans="1:29" ht="28.2" customHeight="1" x14ac:dyDescent="0.3">
      <c r="A7" s="69">
        <f>'Sessional + End Term Assessment'!A8</f>
        <v>1</v>
      </c>
      <c r="B7" s="78">
        <f>'Sessional + End Term Assessment'!B8</f>
        <v>0</v>
      </c>
      <c r="C7" s="78">
        <f>'Sessional + End Term Assessment'!C8</f>
        <v>0</v>
      </c>
      <c r="D7" s="77"/>
      <c r="E7" s="70">
        <f t="shared" ref="E7:E36" si="0">IF(D7&gt;=($D$6*0.7),1,0)</f>
        <v>0</v>
      </c>
      <c r="F7" s="70">
        <f t="shared" ref="F7:F36" si="1">IF(D7&gt;=($D$6*0.8),1,0)</f>
        <v>0</v>
      </c>
      <c r="G7" s="70">
        <f t="shared" ref="G7:G36" si="2">IF(D7&gt;=($D$6*0.9),1,0)</f>
        <v>0</v>
      </c>
      <c r="H7" s="77"/>
      <c r="I7" s="70">
        <f t="shared" ref="I7:I36" si="3">IF(H7&gt;=($H$6*0.7),1,0)</f>
        <v>0</v>
      </c>
      <c r="J7" s="70">
        <f t="shared" ref="J7:J36" si="4">IF(H7&gt;=($H$6*0.7),1,0)</f>
        <v>0</v>
      </c>
      <c r="K7" s="70">
        <f t="shared" ref="K7:K36" si="5">IF(H7&gt;=($H$6*0.9),1,0)</f>
        <v>0</v>
      </c>
      <c r="L7" s="77"/>
      <c r="M7" s="70">
        <f t="shared" ref="M7:M36" si="6">IF(L7&gt;=($L$6*0.7),1,0)</f>
        <v>0</v>
      </c>
      <c r="N7" s="70">
        <f t="shared" ref="N7:N36" si="7">IF(L7&gt;=($L$6*0.8),1,0)</f>
        <v>0</v>
      </c>
      <c r="O7" s="70">
        <f t="shared" ref="O7:O36" si="8">IF(L7&gt;=($L$6*0.9),1,0)</f>
        <v>0</v>
      </c>
      <c r="P7" s="70"/>
      <c r="Q7" s="70"/>
      <c r="R7" s="77"/>
      <c r="S7" s="48"/>
      <c r="T7" s="48"/>
      <c r="U7" s="48"/>
      <c r="V7" s="48"/>
      <c r="W7" s="44"/>
      <c r="X7" s="44"/>
      <c r="Y7" s="48"/>
      <c r="Z7" s="44"/>
      <c r="AA7" s="46"/>
      <c r="AB7" s="46"/>
      <c r="AC7" s="46"/>
    </row>
    <row r="8" spans="1:29" ht="19.5" customHeight="1" x14ac:dyDescent="0.3">
      <c r="A8" s="69">
        <f>'Sessional + End Term Assessment'!A9</f>
        <v>2</v>
      </c>
      <c r="B8" s="78">
        <f>'Sessional + End Term Assessment'!B9</f>
        <v>0</v>
      </c>
      <c r="C8" s="78">
        <f>'Sessional + End Term Assessment'!C9</f>
        <v>0</v>
      </c>
      <c r="D8" s="77"/>
      <c r="E8" s="70">
        <f t="shared" si="0"/>
        <v>0</v>
      </c>
      <c r="F8" s="70">
        <f t="shared" si="1"/>
        <v>0</v>
      </c>
      <c r="G8" s="70">
        <f t="shared" si="2"/>
        <v>0</v>
      </c>
      <c r="H8" s="77"/>
      <c r="I8" s="70">
        <f t="shared" si="3"/>
        <v>0</v>
      </c>
      <c r="J8" s="70">
        <f t="shared" si="4"/>
        <v>0</v>
      </c>
      <c r="K8" s="70">
        <f t="shared" si="5"/>
        <v>0</v>
      </c>
      <c r="L8" s="77"/>
      <c r="M8" s="70">
        <f t="shared" si="6"/>
        <v>0</v>
      </c>
      <c r="N8" s="70">
        <f t="shared" si="7"/>
        <v>0</v>
      </c>
      <c r="O8" s="70">
        <f t="shared" si="8"/>
        <v>0</v>
      </c>
      <c r="P8" s="70"/>
      <c r="Q8" s="70"/>
      <c r="S8" s="48"/>
      <c r="T8" s="48"/>
      <c r="U8" s="48"/>
      <c r="V8" s="48"/>
      <c r="W8" s="44"/>
      <c r="X8" s="44"/>
      <c r="Y8" s="48"/>
      <c r="Z8" s="46"/>
      <c r="AA8" s="46"/>
      <c r="AB8" s="46"/>
      <c r="AC8" s="46"/>
    </row>
    <row r="9" spans="1:29" ht="19.5" customHeight="1" x14ac:dyDescent="0.3">
      <c r="A9" s="69">
        <f>'Sessional + End Term Assessment'!A10</f>
        <v>3</v>
      </c>
      <c r="B9" s="78">
        <f>'Sessional + End Term Assessment'!B10</f>
        <v>0</v>
      </c>
      <c r="C9" s="78">
        <f>'Sessional + End Term Assessment'!C10</f>
        <v>0</v>
      </c>
      <c r="D9" s="77"/>
      <c r="E9" s="70">
        <f t="shared" si="0"/>
        <v>0</v>
      </c>
      <c r="F9" s="70">
        <f t="shared" si="1"/>
        <v>0</v>
      </c>
      <c r="G9" s="70">
        <f t="shared" si="2"/>
        <v>0</v>
      </c>
      <c r="H9" s="77"/>
      <c r="I9" s="70">
        <f t="shared" si="3"/>
        <v>0</v>
      </c>
      <c r="J9" s="70">
        <f t="shared" si="4"/>
        <v>0</v>
      </c>
      <c r="K9" s="70">
        <f t="shared" si="5"/>
        <v>0</v>
      </c>
      <c r="L9" s="77"/>
      <c r="M9" s="70">
        <f t="shared" si="6"/>
        <v>0</v>
      </c>
      <c r="N9" s="70">
        <f t="shared" si="7"/>
        <v>0</v>
      </c>
      <c r="O9" s="70">
        <f t="shared" si="8"/>
        <v>0</v>
      </c>
      <c r="P9" s="70"/>
      <c r="Q9" s="70"/>
      <c r="R9" s="77"/>
      <c r="S9" s="48"/>
      <c r="T9" s="48"/>
      <c r="U9" s="48"/>
      <c r="V9" s="48"/>
      <c r="W9" s="44"/>
      <c r="X9" s="44"/>
      <c r="Y9" s="48"/>
      <c r="Z9" s="46"/>
      <c r="AA9" s="46"/>
      <c r="AB9" s="46"/>
      <c r="AC9" s="46"/>
    </row>
    <row r="10" spans="1:29" ht="19.5" customHeight="1" x14ac:dyDescent="0.3">
      <c r="A10" s="69">
        <f>'Sessional + End Term Assessment'!A11</f>
        <v>4</v>
      </c>
      <c r="B10" s="78">
        <f>'Sessional + End Term Assessment'!B11</f>
        <v>0</v>
      </c>
      <c r="C10" s="78">
        <f>'Sessional + End Term Assessment'!C11</f>
        <v>0</v>
      </c>
      <c r="D10" s="77"/>
      <c r="E10" s="70">
        <f t="shared" si="0"/>
        <v>0</v>
      </c>
      <c r="F10" s="70">
        <f t="shared" si="1"/>
        <v>0</v>
      </c>
      <c r="G10" s="70">
        <f t="shared" si="2"/>
        <v>0</v>
      </c>
      <c r="H10" s="77"/>
      <c r="I10" s="70">
        <f t="shared" si="3"/>
        <v>0</v>
      </c>
      <c r="J10" s="70">
        <f t="shared" si="4"/>
        <v>0</v>
      </c>
      <c r="K10" s="70">
        <f t="shared" si="5"/>
        <v>0</v>
      </c>
      <c r="L10" s="77"/>
      <c r="M10" s="70">
        <f t="shared" si="6"/>
        <v>0</v>
      </c>
      <c r="N10" s="70">
        <f t="shared" si="7"/>
        <v>0</v>
      </c>
      <c r="O10" s="70">
        <f t="shared" si="8"/>
        <v>0</v>
      </c>
      <c r="P10" s="70"/>
      <c r="Q10" s="70"/>
      <c r="R10" s="77"/>
      <c r="S10" s="48"/>
      <c r="T10" s="48"/>
      <c r="U10" s="48"/>
      <c r="V10" s="48"/>
      <c r="X10" s="44"/>
      <c r="Y10" s="48"/>
      <c r="Z10" s="46"/>
      <c r="AA10" s="46"/>
      <c r="AB10" s="46"/>
      <c r="AC10" s="46"/>
    </row>
    <row r="11" spans="1:29" ht="19.5" customHeight="1" x14ac:dyDescent="0.3">
      <c r="A11" s="69">
        <f>'Sessional + End Term Assessment'!A12</f>
        <v>5</v>
      </c>
      <c r="B11" s="78">
        <f>'Sessional + End Term Assessment'!B12</f>
        <v>0</v>
      </c>
      <c r="C11" s="78">
        <f>'Sessional + End Term Assessment'!C12</f>
        <v>0</v>
      </c>
      <c r="D11" s="77"/>
      <c r="E11" s="70">
        <f t="shared" si="0"/>
        <v>0</v>
      </c>
      <c r="F11" s="70">
        <f t="shared" si="1"/>
        <v>0</v>
      </c>
      <c r="G11" s="70">
        <f t="shared" si="2"/>
        <v>0</v>
      </c>
      <c r="H11" s="77"/>
      <c r="I11" s="70">
        <f t="shared" si="3"/>
        <v>0</v>
      </c>
      <c r="J11" s="70">
        <f t="shared" si="4"/>
        <v>0</v>
      </c>
      <c r="K11" s="70">
        <f t="shared" si="5"/>
        <v>0</v>
      </c>
      <c r="L11" s="77"/>
      <c r="M11" s="70">
        <f t="shared" si="6"/>
        <v>0</v>
      </c>
      <c r="N11" s="70">
        <f t="shared" si="7"/>
        <v>0</v>
      </c>
      <c r="O11" s="70">
        <f t="shared" si="8"/>
        <v>0</v>
      </c>
      <c r="P11" s="70"/>
      <c r="Q11" s="70"/>
      <c r="R11" s="77"/>
      <c r="S11" s="48"/>
      <c r="T11" s="48"/>
      <c r="U11" s="48"/>
      <c r="V11" s="48"/>
      <c r="W11" s="44"/>
      <c r="X11" s="44"/>
      <c r="Y11" s="48"/>
      <c r="Z11" s="46"/>
      <c r="AA11" s="46"/>
      <c r="AB11" s="46"/>
      <c r="AC11" s="46"/>
    </row>
    <row r="12" spans="1:29" ht="19.5" customHeight="1" x14ac:dyDescent="0.3">
      <c r="A12" s="69">
        <f>'Sessional + End Term Assessment'!A13</f>
        <v>6</v>
      </c>
      <c r="B12" s="78">
        <f>'Sessional + End Term Assessment'!B13</f>
        <v>0</v>
      </c>
      <c r="C12" s="78">
        <f>'Sessional + End Term Assessment'!C13</f>
        <v>0</v>
      </c>
      <c r="D12" s="77"/>
      <c r="E12" s="70">
        <f t="shared" si="0"/>
        <v>0</v>
      </c>
      <c r="F12" s="70">
        <f t="shared" si="1"/>
        <v>0</v>
      </c>
      <c r="G12" s="70">
        <f t="shared" si="2"/>
        <v>0</v>
      </c>
      <c r="H12" s="77"/>
      <c r="I12" s="70">
        <f t="shared" si="3"/>
        <v>0</v>
      </c>
      <c r="J12" s="70">
        <f t="shared" si="4"/>
        <v>0</v>
      </c>
      <c r="K12" s="70">
        <f t="shared" si="5"/>
        <v>0</v>
      </c>
      <c r="L12" s="77"/>
      <c r="M12" s="70">
        <f t="shared" si="6"/>
        <v>0</v>
      </c>
      <c r="N12" s="70">
        <f t="shared" si="7"/>
        <v>0</v>
      </c>
      <c r="O12" s="70">
        <f t="shared" si="8"/>
        <v>0</v>
      </c>
      <c r="P12" s="70"/>
      <c r="Q12" s="70"/>
      <c r="S12" s="48"/>
      <c r="T12" s="48"/>
      <c r="U12" s="48"/>
      <c r="V12" s="48"/>
      <c r="W12" s="44"/>
      <c r="X12" s="44"/>
      <c r="Y12" s="48"/>
      <c r="Z12" s="46"/>
      <c r="AA12" s="46"/>
      <c r="AB12" s="46"/>
      <c r="AC12" s="46"/>
    </row>
    <row r="13" spans="1:29" ht="19.5" customHeight="1" x14ac:dyDescent="0.3">
      <c r="A13" s="69">
        <f>'Sessional + End Term Assessment'!A14</f>
        <v>7</v>
      </c>
      <c r="B13" s="78">
        <f>'Sessional + End Term Assessment'!B14</f>
        <v>0</v>
      </c>
      <c r="C13" s="78">
        <f>'Sessional + End Term Assessment'!C14</f>
        <v>0</v>
      </c>
      <c r="D13" s="77"/>
      <c r="E13" s="70">
        <f t="shared" si="0"/>
        <v>0</v>
      </c>
      <c r="F13" s="70">
        <f t="shared" si="1"/>
        <v>0</v>
      </c>
      <c r="G13" s="70">
        <f t="shared" si="2"/>
        <v>0</v>
      </c>
      <c r="H13" s="77"/>
      <c r="I13" s="70">
        <f t="shared" si="3"/>
        <v>0</v>
      </c>
      <c r="J13" s="70">
        <f t="shared" si="4"/>
        <v>0</v>
      </c>
      <c r="K13" s="70">
        <f t="shared" si="5"/>
        <v>0</v>
      </c>
      <c r="L13" s="77"/>
      <c r="M13" s="70">
        <f t="shared" si="6"/>
        <v>0</v>
      </c>
      <c r="N13" s="70">
        <f t="shared" si="7"/>
        <v>0</v>
      </c>
      <c r="O13" s="70">
        <f t="shared" si="8"/>
        <v>0</v>
      </c>
      <c r="P13" s="70"/>
      <c r="Q13" s="70"/>
      <c r="R13" s="77"/>
      <c r="S13" s="48"/>
      <c r="T13" s="48"/>
      <c r="U13" s="48"/>
      <c r="V13" s="48"/>
      <c r="W13" s="44"/>
      <c r="X13" s="44"/>
      <c r="Y13" s="48"/>
      <c r="Z13" s="46"/>
      <c r="AA13" s="46"/>
      <c r="AB13" s="46"/>
      <c r="AC13" s="46"/>
    </row>
    <row r="14" spans="1:29" ht="19.5" customHeight="1" x14ac:dyDescent="0.3">
      <c r="A14" s="69">
        <f>'Sessional + End Term Assessment'!A15</f>
        <v>8</v>
      </c>
      <c r="B14" s="78">
        <f>'Sessional + End Term Assessment'!B15</f>
        <v>0</v>
      </c>
      <c r="C14" s="78">
        <f>'Sessional + End Term Assessment'!C15</f>
        <v>0</v>
      </c>
      <c r="D14" s="77"/>
      <c r="E14" s="70">
        <f t="shared" si="0"/>
        <v>0</v>
      </c>
      <c r="F14" s="70">
        <f t="shared" si="1"/>
        <v>0</v>
      </c>
      <c r="G14" s="70">
        <f t="shared" si="2"/>
        <v>0</v>
      </c>
      <c r="H14" s="77"/>
      <c r="I14" s="70">
        <f t="shared" si="3"/>
        <v>0</v>
      </c>
      <c r="J14" s="70">
        <f t="shared" si="4"/>
        <v>0</v>
      </c>
      <c r="K14" s="70">
        <f t="shared" si="5"/>
        <v>0</v>
      </c>
      <c r="L14" s="77"/>
      <c r="M14" s="70">
        <f t="shared" si="6"/>
        <v>0</v>
      </c>
      <c r="N14" s="70">
        <f t="shared" si="7"/>
        <v>0</v>
      </c>
      <c r="O14" s="70">
        <f t="shared" si="8"/>
        <v>0</v>
      </c>
      <c r="P14" s="70"/>
      <c r="Q14" s="70"/>
      <c r="R14" s="77"/>
      <c r="S14" s="48"/>
      <c r="T14" s="48"/>
      <c r="U14" s="48"/>
      <c r="V14" s="48"/>
      <c r="W14" s="44"/>
      <c r="X14" s="44"/>
      <c r="Y14" s="48"/>
      <c r="Z14" s="46"/>
      <c r="AA14" s="46"/>
      <c r="AB14" s="46"/>
      <c r="AC14" s="46"/>
    </row>
    <row r="15" spans="1:29" ht="19.5" customHeight="1" x14ac:dyDescent="0.3">
      <c r="A15" s="69">
        <f>'Sessional + End Term Assessment'!A16</f>
        <v>9</v>
      </c>
      <c r="B15" s="78">
        <f>'Sessional + End Term Assessment'!B16</f>
        <v>0</v>
      </c>
      <c r="C15" s="78">
        <f>'Sessional + End Term Assessment'!C16</f>
        <v>0</v>
      </c>
      <c r="D15" s="77"/>
      <c r="E15" s="70">
        <f t="shared" si="0"/>
        <v>0</v>
      </c>
      <c r="F15" s="70">
        <f t="shared" si="1"/>
        <v>0</v>
      </c>
      <c r="G15" s="70">
        <f t="shared" si="2"/>
        <v>0</v>
      </c>
      <c r="H15" s="77"/>
      <c r="I15" s="70">
        <f t="shared" si="3"/>
        <v>0</v>
      </c>
      <c r="J15" s="70">
        <f t="shared" si="4"/>
        <v>0</v>
      </c>
      <c r="K15" s="70">
        <f t="shared" si="5"/>
        <v>0</v>
      </c>
      <c r="L15" s="77"/>
      <c r="M15" s="70">
        <f t="shared" si="6"/>
        <v>0</v>
      </c>
      <c r="N15" s="70">
        <f t="shared" si="7"/>
        <v>0</v>
      </c>
      <c r="O15" s="70">
        <f t="shared" si="8"/>
        <v>0</v>
      </c>
      <c r="P15" s="70"/>
      <c r="Q15" s="70"/>
      <c r="S15" s="48"/>
      <c r="T15" s="48"/>
      <c r="U15" s="48"/>
      <c r="V15" s="48"/>
      <c r="W15" s="44"/>
      <c r="X15" s="44"/>
      <c r="Y15" s="48"/>
      <c r="Z15" s="46"/>
      <c r="AA15" s="46"/>
      <c r="AB15" s="46"/>
      <c r="AC15" s="46"/>
    </row>
    <row r="16" spans="1:29" ht="19.5" customHeight="1" x14ac:dyDescent="0.3">
      <c r="A16" s="69">
        <f>'Sessional + End Term Assessment'!A17</f>
        <v>10</v>
      </c>
      <c r="B16" s="78">
        <f>'Sessional + End Term Assessment'!B17</f>
        <v>0</v>
      </c>
      <c r="C16" s="78">
        <f>'Sessional + End Term Assessment'!C17</f>
        <v>0</v>
      </c>
      <c r="D16" s="77"/>
      <c r="E16" s="70">
        <f t="shared" si="0"/>
        <v>0</v>
      </c>
      <c r="F16" s="70">
        <f t="shared" si="1"/>
        <v>0</v>
      </c>
      <c r="G16" s="70">
        <f t="shared" si="2"/>
        <v>0</v>
      </c>
      <c r="H16" s="77"/>
      <c r="I16" s="70">
        <f t="shared" si="3"/>
        <v>0</v>
      </c>
      <c r="J16" s="70">
        <f t="shared" si="4"/>
        <v>0</v>
      </c>
      <c r="K16" s="70">
        <f t="shared" si="5"/>
        <v>0</v>
      </c>
      <c r="L16" s="77"/>
      <c r="M16" s="70">
        <f t="shared" si="6"/>
        <v>0</v>
      </c>
      <c r="N16" s="70">
        <f t="shared" si="7"/>
        <v>0</v>
      </c>
      <c r="O16" s="70">
        <f t="shared" si="8"/>
        <v>0</v>
      </c>
      <c r="P16" s="70"/>
      <c r="Q16" s="70"/>
      <c r="R16" s="77"/>
      <c r="S16" s="48"/>
      <c r="T16" s="48"/>
      <c r="U16" s="48"/>
      <c r="V16" s="48"/>
      <c r="W16" s="44"/>
      <c r="X16" s="44"/>
      <c r="Y16" s="48"/>
      <c r="Z16" s="46"/>
      <c r="AA16" s="46"/>
      <c r="AB16" s="46"/>
      <c r="AC16" s="46"/>
    </row>
    <row r="17" spans="1:29" ht="19.5" customHeight="1" x14ac:dyDescent="0.3">
      <c r="A17" s="69">
        <f>'Sessional + End Term Assessment'!A18</f>
        <v>11</v>
      </c>
      <c r="B17" s="78">
        <f>'Sessional + End Term Assessment'!B18</f>
        <v>0</v>
      </c>
      <c r="C17" s="78">
        <f>'Sessional + End Term Assessment'!C18</f>
        <v>0</v>
      </c>
      <c r="E17" s="70">
        <f t="shared" si="0"/>
        <v>0</v>
      </c>
      <c r="F17" s="70">
        <f t="shared" si="1"/>
        <v>0</v>
      </c>
      <c r="G17" s="70">
        <f t="shared" si="2"/>
        <v>0</v>
      </c>
      <c r="I17" s="70">
        <f t="shared" si="3"/>
        <v>0</v>
      </c>
      <c r="J17" s="70">
        <f t="shared" si="4"/>
        <v>0</v>
      </c>
      <c r="K17" s="70">
        <f t="shared" si="5"/>
        <v>0</v>
      </c>
      <c r="M17" s="70">
        <f t="shared" si="6"/>
        <v>0</v>
      </c>
      <c r="N17" s="70">
        <f t="shared" si="7"/>
        <v>0</v>
      </c>
      <c r="O17" s="70">
        <f t="shared" si="8"/>
        <v>0</v>
      </c>
      <c r="P17" s="70"/>
      <c r="Q17" s="70"/>
      <c r="S17" s="48"/>
      <c r="T17" s="48"/>
      <c r="U17" s="48"/>
      <c r="V17" s="48"/>
      <c r="W17" s="44"/>
      <c r="X17" s="44"/>
      <c r="Y17" s="48"/>
      <c r="Z17" s="46"/>
      <c r="AA17" s="46"/>
      <c r="AB17" s="46"/>
      <c r="AC17" s="46"/>
    </row>
    <row r="18" spans="1:29" ht="19.5" customHeight="1" x14ac:dyDescent="0.3">
      <c r="A18" s="69">
        <f>'Sessional + End Term Assessment'!A19</f>
        <v>12</v>
      </c>
      <c r="B18" s="78">
        <f>'Sessional + End Term Assessment'!B19</f>
        <v>0</v>
      </c>
      <c r="C18" s="78">
        <f>'Sessional + End Term Assessment'!C19</f>
        <v>0</v>
      </c>
      <c r="D18" s="77"/>
      <c r="E18" s="70">
        <f t="shared" si="0"/>
        <v>0</v>
      </c>
      <c r="F18" s="70">
        <f t="shared" si="1"/>
        <v>0</v>
      </c>
      <c r="G18" s="70">
        <f t="shared" si="2"/>
        <v>0</v>
      </c>
      <c r="H18" s="77"/>
      <c r="I18" s="70">
        <f t="shared" si="3"/>
        <v>0</v>
      </c>
      <c r="J18" s="70">
        <f t="shared" si="4"/>
        <v>0</v>
      </c>
      <c r="K18" s="70">
        <f t="shared" si="5"/>
        <v>0</v>
      </c>
      <c r="L18" s="77"/>
      <c r="M18" s="70">
        <f t="shared" si="6"/>
        <v>0</v>
      </c>
      <c r="N18" s="70">
        <f t="shared" si="7"/>
        <v>0</v>
      </c>
      <c r="O18" s="70">
        <f t="shared" si="8"/>
        <v>0</v>
      </c>
      <c r="P18" s="70"/>
      <c r="Q18" s="70"/>
      <c r="S18" s="48"/>
      <c r="T18" s="48"/>
      <c r="U18" s="48"/>
      <c r="V18" s="48"/>
      <c r="W18" s="44"/>
      <c r="X18" s="44"/>
      <c r="Y18" s="48"/>
      <c r="Z18" s="46"/>
      <c r="AA18" s="46"/>
      <c r="AB18" s="46"/>
      <c r="AC18" s="46"/>
    </row>
    <row r="19" spans="1:29" ht="19.5" customHeight="1" x14ac:dyDescent="0.3">
      <c r="A19" s="69">
        <f>'Sessional + End Term Assessment'!A20</f>
        <v>13</v>
      </c>
      <c r="B19" s="78">
        <f>'Sessional + End Term Assessment'!B20</f>
        <v>0</v>
      </c>
      <c r="C19" s="78">
        <f>'Sessional + End Term Assessment'!C20</f>
        <v>0</v>
      </c>
      <c r="E19" s="70">
        <f t="shared" si="0"/>
        <v>0</v>
      </c>
      <c r="F19" s="70">
        <f t="shared" si="1"/>
        <v>0</v>
      </c>
      <c r="G19" s="70">
        <f t="shared" si="2"/>
        <v>0</v>
      </c>
      <c r="I19" s="70">
        <f t="shared" si="3"/>
        <v>0</v>
      </c>
      <c r="J19" s="70">
        <f t="shared" si="4"/>
        <v>0</v>
      </c>
      <c r="K19" s="70">
        <f t="shared" si="5"/>
        <v>0</v>
      </c>
      <c r="M19" s="70">
        <f t="shared" si="6"/>
        <v>0</v>
      </c>
      <c r="N19" s="70">
        <f t="shared" si="7"/>
        <v>0</v>
      </c>
      <c r="O19" s="70">
        <f t="shared" si="8"/>
        <v>0</v>
      </c>
      <c r="P19" s="70"/>
      <c r="Q19" s="70"/>
      <c r="S19" s="48"/>
      <c r="T19" s="48"/>
      <c r="U19" s="48"/>
      <c r="V19" s="48"/>
      <c r="W19" s="44"/>
      <c r="X19" s="44"/>
      <c r="Y19" s="48"/>
      <c r="Z19" s="46"/>
      <c r="AA19" s="46"/>
      <c r="AB19" s="46"/>
      <c r="AC19" s="46"/>
    </row>
    <row r="20" spans="1:29" ht="19.5" customHeight="1" x14ac:dyDescent="0.3">
      <c r="A20" s="69">
        <f>'Sessional + End Term Assessment'!A21</f>
        <v>14</v>
      </c>
      <c r="B20" s="78">
        <f>'Sessional + End Term Assessment'!B21</f>
        <v>0</v>
      </c>
      <c r="C20" s="78">
        <f>'Sessional + End Term Assessment'!C21</f>
        <v>0</v>
      </c>
      <c r="D20" s="77"/>
      <c r="E20" s="70">
        <f t="shared" si="0"/>
        <v>0</v>
      </c>
      <c r="F20" s="70">
        <f t="shared" si="1"/>
        <v>0</v>
      </c>
      <c r="G20" s="70">
        <f t="shared" si="2"/>
        <v>0</v>
      </c>
      <c r="H20" s="77"/>
      <c r="I20" s="70">
        <f t="shared" si="3"/>
        <v>0</v>
      </c>
      <c r="J20" s="70">
        <f t="shared" si="4"/>
        <v>0</v>
      </c>
      <c r="K20" s="70">
        <f t="shared" si="5"/>
        <v>0</v>
      </c>
      <c r="L20" s="77"/>
      <c r="M20" s="70">
        <f t="shared" si="6"/>
        <v>0</v>
      </c>
      <c r="N20" s="70">
        <f t="shared" si="7"/>
        <v>0</v>
      </c>
      <c r="O20" s="70">
        <f t="shared" si="8"/>
        <v>0</v>
      </c>
      <c r="P20" s="70"/>
      <c r="Q20" s="70"/>
      <c r="R20" s="77"/>
      <c r="S20" s="48"/>
      <c r="T20" s="48"/>
      <c r="U20" s="48"/>
      <c r="V20" s="48"/>
      <c r="W20" s="44"/>
      <c r="X20" s="44"/>
      <c r="Y20" s="48"/>
      <c r="Z20" s="46"/>
      <c r="AA20" s="46"/>
      <c r="AB20" s="46"/>
      <c r="AC20" s="46"/>
    </row>
    <row r="21" spans="1:29" ht="19.5" customHeight="1" x14ac:dyDescent="0.3">
      <c r="A21" s="69">
        <f>'Sessional + End Term Assessment'!A22</f>
        <v>15</v>
      </c>
      <c r="B21" s="78">
        <f>'Sessional + End Term Assessment'!B22</f>
        <v>0</v>
      </c>
      <c r="C21" s="78">
        <f>'Sessional + End Term Assessment'!C22</f>
        <v>0</v>
      </c>
      <c r="D21" s="77"/>
      <c r="E21" s="70">
        <f t="shared" si="0"/>
        <v>0</v>
      </c>
      <c r="F21" s="70">
        <f t="shared" si="1"/>
        <v>0</v>
      </c>
      <c r="G21" s="70">
        <f t="shared" si="2"/>
        <v>0</v>
      </c>
      <c r="H21" s="77"/>
      <c r="I21" s="70">
        <f t="shared" si="3"/>
        <v>0</v>
      </c>
      <c r="J21" s="70">
        <f t="shared" si="4"/>
        <v>0</v>
      </c>
      <c r="K21" s="70">
        <f t="shared" si="5"/>
        <v>0</v>
      </c>
      <c r="L21" s="77"/>
      <c r="M21" s="70">
        <f t="shared" si="6"/>
        <v>0</v>
      </c>
      <c r="N21" s="70">
        <f t="shared" si="7"/>
        <v>0</v>
      </c>
      <c r="O21" s="70">
        <f t="shared" si="8"/>
        <v>0</v>
      </c>
      <c r="P21" s="70"/>
      <c r="Q21" s="70"/>
      <c r="R21" s="77"/>
      <c r="S21" s="48"/>
      <c r="T21" s="48"/>
      <c r="U21" s="48"/>
      <c r="V21" s="48"/>
      <c r="W21" s="44"/>
      <c r="X21" s="44"/>
      <c r="Y21" s="48"/>
      <c r="Z21" s="46"/>
      <c r="AA21" s="46"/>
      <c r="AB21" s="46"/>
      <c r="AC21" s="46"/>
    </row>
    <row r="22" spans="1:29" ht="19.5" customHeight="1" x14ac:dyDescent="0.3">
      <c r="A22" s="69">
        <f>'Sessional + End Term Assessment'!A23</f>
        <v>16</v>
      </c>
      <c r="B22" s="78">
        <f>'Sessional + End Term Assessment'!B23</f>
        <v>0</v>
      </c>
      <c r="C22" s="78">
        <f>'Sessional + End Term Assessment'!C23</f>
        <v>0</v>
      </c>
      <c r="D22" s="77"/>
      <c r="E22" s="70">
        <f t="shared" si="0"/>
        <v>0</v>
      </c>
      <c r="F22" s="70">
        <f t="shared" si="1"/>
        <v>0</v>
      </c>
      <c r="G22" s="70">
        <f t="shared" si="2"/>
        <v>0</v>
      </c>
      <c r="H22" s="77"/>
      <c r="I22" s="70">
        <f t="shared" si="3"/>
        <v>0</v>
      </c>
      <c r="J22" s="70">
        <f t="shared" si="4"/>
        <v>0</v>
      </c>
      <c r="K22" s="70">
        <f t="shared" si="5"/>
        <v>0</v>
      </c>
      <c r="L22" s="77"/>
      <c r="M22" s="70">
        <f t="shared" si="6"/>
        <v>0</v>
      </c>
      <c r="N22" s="70">
        <f t="shared" si="7"/>
        <v>0</v>
      </c>
      <c r="O22" s="70">
        <f t="shared" si="8"/>
        <v>0</v>
      </c>
      <c r="P22" s="70"/>
      <c r="Q22" s="70"/>
      <c r="S22" s="48"/>
      <c r="T22" s="48"/>
      <c r="U22" s="48"/>
      <c r="V22" s="48"/>
      <c r="W22" s="44"/>
      <c r="X22" s="44"/>
      <c r="Y22" s="48"/>
      <c r="Z22" s="46"/>
      <c r="AA22" s="46"/>
      <c r="AB22" s="46"/>
      <c r="AC22" s="46"/>
    </row>
    <row r="23" spans="1:29" ht="19.5" customHeight="1" x14ac:dyDescent="0.3">
      <c r="A23" s="69">
        <f>'Sessional + End Term Assessment'!A24</f>
        <v>17</v>
      </c>
      <c r="B23" s="78">
        <f>'Sessional + End Term Assessment'!B24</f>
        <v>0</v>
      </c>
      <c r="C23" s="78">
        <f>'Sessional + End Term Assessment'!C24</f>
        <v>0</v>
      </c>
      <c r="D23" s="77"/>
      <c r="E23" s="70">
        <f t="shared" si="0"/>
        <v>0</v>
      </c>
      <c r="F23" s="70">
        <f t="shared" si="1"/>
        <v>0</v>
      </c>
      <c r="G23" s="70">
        <f t="shared" si="2"/>
        <v>0</v>
      </c>
      <c r="H23" s="77"/>
      <c r="I23" s="70">
        <f t="shared" si="3"/>
        <v>0</v>
      </c>
      <c r="J23" s="70">
        <f t="shared" si="4"/>
        <v>0</v>
      </c>
      <c r="K23" s="70">
        <f t="shared" si="5"/>
        <v>0</v>
      </c>
      <c r="L23" s="77"/>
      <c r="M23" s="70">
        <f t="shared" si="6"/>
        <v>0</v>
      </c>
      <c r="N23" s="70">
        <f t="shared" si="7"/>
        <v>0</v>
      </c>
      <c r="O23" s="70">
        <f t="shared" si="8"/>
        <v>0</v>
      </c>
      <c r="P23" s="70"/>
      <c r="Q23" s="70"/>
      <c r="R23" s="77"/>
      <c r="S23" s="48"/>
      <c r="T23" s="48"/>
      <c r="U23" s="48"/>
      <c r="V23" s="48"/>
      <c r="W23" s="44"/>
      <c r="X23" s="44"/>
      <c r="Y23" s="48"/>
      <c r="Z23" s="46"/>
      <c r="AA23" s="46"/>
      <c r="AB23" s="46"/>
      <c r="AC23" s="46"/>
    </row>
    <row r="24" spans="1:29" ht="19.5" customHeight="1" x14ac:dyDescent="0.3">
      <c r="A24" s="69">
        <f>'Sessional + End Term Assessment'!A25</f>
        <v>18</v>
      </c>
      <c r="B24" s="78">
        <f>'Sessional + End Term Assessment'!B25</f>
        <v>0</v>
      </c>
      <c r="C24" s="78">
        <f>'Sessional + End Term Assessment'!C25</f>
        <v>0</v>
      </c>
      <c r="D24" s="77"/>
      <c r="E24" s="70">
        <f t="shared" si="0"/>
        <v>0</v>
      </c>
      <c r="F24" s="70">
        <f t="shared" si="1"/>
        <v>0</v>
      </c>
      <c r="G24" s="70">
        <f t="shared" si="2"/>
        <v>0</v>
      </c>
      <c r="H24" s="77"/>
      <c r="I24" s="70">
        <f t="shared" si="3"/>
        <v>0</v>
      </c>
      <c r="J24" s="70">
        <f t="shared" si="4"/>
        <v>0</v>
      </c>
      <c r="K24" s="70">
        <f t="shared" si="5"/>
        <v>0</v>
      </c>
      <c r="L24" s="77"/>
      <c r="M24" s="70">
        <f t="shared" si="6"/>
        <v>0</v>
      </c>
      <c r="N24" s="70">
        <f t="shared" si="7"/>
        <v>0</v>
      </c>
      <c r="O24" s="70">
        <f t="shared" si="8"/>
        <v>0</v>
      </c>
      <c r="P24" s="70"/>
      <c r="Q24" s="70"/>
      <c r="R24" s="77"/>
      <c r="S24" s="48"/>
      <c r="T24" s="48"/>
      <c r="U24" s="48"/>
      <c r="V24" s="48"/>
      <c r="W24" s="44"/>
      <c r="X24" s="44"/>
      <c r="Y24" s="48"/>
      <c r="Z24" s="46"/>
      <c r="AA24" s="46"/>
      <c r="AB24" s="46"/>
      <c r="AC24" s="46"/>
    </row>
    <row r="25" spans="1:29" ht="19.5" customHeight="1" x14ac:dyDescent="0.3">
      <c r="A25" s="69">
        <f>'Sessional + End Term Assessment'!A26</f>
        <v>19</v>
      </c>
      <c r="B25" s="78">
        <f>'Sessional + End Term Assessment'!B26</f>
        <v>0</v>
      </c>
      <c r="C25" s="78">
        <f>'Sessional + End Term Assessment'!C26</f>
        <v>0</v>
      </c>
      <c r="D25" s="77"/>
      <c r="E25" s="70">
        <f t="shared" si="0"/>
        <v>0</v>
      </c>
      <c r="F25" s="70">
        <f t="shared" si="1"/>
        <v>0</v>
      </c>
      <c r="G25" s="70">
        <f t="shared" si="2"/>
        <v>0</v>
      </c>
      <c r="H25" s="77"/>
      <c r="I25" s="70">
        <f t="shared" si="3"/>
        <v>0</v>
      </c>
      <c r="J25" s="70">
        <f t="shared" si="4"/>
        <v>0</v>
      </c>
      <c r="K25" s="70">
        <f t="shared" si="5"/>
        <v>0</v>
      </c>
      <c r="L25" s="77"/>
      <c r="M25" s="70">
        <f t="shared" si="6"/>
        <v>0</v>
      </c>
      <c r="N25" s="70">
        <f t="shared" si="7"/>
        <v>0</v>
      </c>
      <c r="O25" s="70">
        <f t="shared" si="8"/>
        <v>0</v>
      </c>
      <c r="P25" s="70"/>
      <c r="Q25" s="70"/>
      <c r="R25" s="77"/>
      <c r="S25" s="48"/>
      <c r="T25" s="48"/>
      <c r="U25" s="48"/>
      <c r="V25" s="48"/>
      <c r="W25" s="44"/>
      <c r="X25" s="44"/>
      <c r="Y25" s="48"/>
      <c r="Z25" s="46"/>
      <c r="AA25" s="46"/>
      <c r="AB25" s="46"/>
      <c r="AC25" s="46"/>
    </row>
    <row r="26" spans="1:29" ht="19.5" customHeight="1" x14ac:dyDescent="0.3">
      <c r="A26" s="69">
        <f>'Sessional + End Term Assessment'!A27</f>
        <v>20</v>
      </c>
      <c r="B26" s="78">
        <f>'Sessional + End Term Assessment'!B27</f>
        <v>0</v>
      </c>
      <c r="C26" s="78">
        <f>'Sessional + End Term Assessment'!C27</f>
        <v>0</v>
      </c>
      <c r="D26" s="77"/>
      <c r="E26" s="70">
        <f t="shared" si="0"/>
        <v>0</v>
      </c>
      <c r="F26" s="70">
        <f t="shared" si="1"/>
        <v>0</v>
      </c>
      <c r="G26" s="70">
        <f t="shared" si="2"/>
        <v>0</v>
      </c>
      <c r="H26" s="77"/>
      <c r="I26" s="70">
        <f t="shared" si="3"/>
        <v>0</v>
      </c>
      <c r="J26" s="70">
        <f t="shared" si="4"/>
        <v>0</v>
      </c>
      <c r="K26" s="70">
        <f t="shared" si="5"/>
        <v>0</v>
      </c>
      <c r="L26" s="77"/>
      <c r="M26" s="70">
        <f t="shared" si="6"/>
        <v>0</v>
      </c>
      <c r="N26" s="70">
        <f t="shared" si="7"/>
        <v>0</v>
      </c>
      <c r="O26" s="70">
        <f t="shared" si="8"/>
        <v>0</v>
      </c>
      <c r="P26" s="70"/>
      <c r="Q26" s="70"/>
      <c r="R26" s="77"/>
      <c r="S26" s="48"/>
      <c r="T26" s="48"/>
      <c r="U26" s="48"/>
      <c r="V26" s="48"/>
      <c r="W26" s="44"/>
      <c r="X26" s="44"/>
      <c r="Y26" s="48"/>
      <c r="Z26" s="46"/>
      <c r="AA26" s="46"/>
      <c r="AB26" s="46"/>
      <c r="AC26" s="46"/>
    </row>
    <row r="27" spans="1:29" ht="19.5" customHeight="1" x14ac:dyDescent="0.3">
      <c r="A27" s="69">
        <f>'Sessional + End Term Assessment'!A28</f>
        <v>21</v>
      </c>
      <c r="B27" s="78">
        <f>'Sessional + End Term Assessment'!B28</f>
        <v>0</v>
      </c>
      <c r="C27" s="78">
        <f>'Sessional + End Term Assessment'!C28</f>
        <v>0</v>
      </c>
      <c r="D27" s="77"/>
      <c r="E27" s="70">
        <f t="shared" si="0"/>
        <v>0</v>
      </c>
      <c r="F27" s="70">
        <f t="shared" si="1"/>
        <v>0</v>
      </c>
      <c r="G27" s="70">
        <f t="shared" si="2"/>
        <v>0</v>
      </c>
      <c r="H27" s="77"/>
      <c r="I27" s="70">
        <f t="shared" si="3"/>
        <v>0</v>
      </c>
      <c r="J27" s="70">
        <f t="shared" si="4"/>
        <v>0</v>
      </c>
      <c r="K27" s="70">
        <f t="shared" si="5"/>
        <v>0</v>
      </c>
      <c r="L27" s="77"/>
      <c r="M27" s="70">
        <f t="shared" si="6"/>
        <v>0</v>
      </c>
      <c r="N27" s="70">
        <f t="shared" si="7"/>
        <v>0</v>
      </c>
      <c r="O27" s="70">
        <f t="shared" si="8"/>
        <v>0</v>
      </c>
      <c r="P27" s="70"/>
      <c r="Q27" s="70"/>
      <c r="S27" s="48"/>
      <c r="T27" s="48"/>
      <c r="U27" s="48"/>
      <c r="V27" s="48"/>
      <c r="W27" s="44"/>
      <c r="X27" s="44"/>
      <c r="Y27" s="48"/>
      <c r="Z27" s="46"/>
      <c r="AA27" s="46"/>
      <c r="AB27" s="46"/>
      <c r="AC27" s="46"/>
    </row>
    <row r="28" spans="1:29" ht="19.5" customHeight="1" x14ac:dyDescent="0.3">
      <c r="A28" s="69">
        <f>'Sessional + End Term Assessment'!A29</f>
        <v>22</v>
      </c>
      <c r="B28" s="78">
        <f>'Sessional + End Term Assessment'!B29</f>
        <v>0</v>
      </c>
      <c r="C28" s="78">
        <f>'Sessional + End Term Assessment'!C29</f>
        <v>0</v>
      </c>
      <c r="E28" s="70">
        <f t="shared" si="0"/>
        <v>0</v>
      </c>
      <c r="F28" s="70">
        <f t="shared" si="1"/>
        <v>0</v>
      </c>
      <c r="G28" s="70">
        <f t="shared" si="2"/>
        <v>0</v>
      </c>
      <c r="I28" s="70">
        <f t="shared" si="3"/>
        <v>0</v>
      </c>
      <c r="J28" s="70">
        <f t="shared" si="4"/>
        <v>0</v>
      </c>
      <c r="K28" s="70">
        <f t="shared" si="5"/>
        <v>0</v>
      </c>
      <c r="M28" s="70">
        <f t="shared" si="6"/>
        <v>0</v>
      </c>
      <c r="N28" s="70">
        <f t="shared" si="7"/>
        <v>0</v>
      </c>
      <c r="O28" s="70">
        <f t="shared" si="8"/>
        <v>0</v>
      </c>
      <c r="P28" s="70"/>
      <c r="Q28" s="70"/>
      <c r="S28" s="48"/>
      <c r="T28" s="48"/>
      <c r="U28" s="48"/>
      <c r="V28" s="48"/>
      <c r="W28" s="44"/>
      <c r="X28" s="44"/>
      <c r="Y28" s="48"/>
      <c r="Z28" s="46"/>
      <c r="AA28" s="46"/>
      <c r="AB28" s="46"/>
      <c r="AC28" s="46"/>
    </row>
    <row r="29" spans="1:29" ht="19.5" customHeight="1" x14ac:dyDescent="0.3">
      <c r="A29" s="69">
        <f>'Sessional + End Term Assessment'!A30</f>
        <v>23</v>
      </c>
      <c r="B29" s="78">
        <f>'Sessional + End Term Assessment'!B30</f>
        <v>0</v>
      </c>
      <c r="C29" s="78">
        <f>'Sessional + End Term Assessment'!C30</f>
        <v>0</v>
      </c>
      <c r="D29" s="77"/>
      <c r="E29" s="70">
        <f t="shared" si="0"/>
        <v>0</v>
      </c>
      <c r="F29" s="70">
        <f t="shared" si="1"/>
        <v>0</v>
      </c>
      <c r="G29" s="70">
        <f t="shared" si="2"/>
        <v>0</v>
      </c>
      <c r="H29" s="77"/>
      <c r="I29" s="70">
        <f t="shared" si="3"/>
        <v>0</v>
      </c>
      <c r="J29" s="70">
        <f t="shared" si="4"/>
        <v>0</v>
      </c>
      <c r="K29" s="70">
        <f t="shared" si="5"/>
        <v>0</v>
      </c>
      <c r="L29" s="77"/>
      <c r="M29" s="70">
        <f t="shared" si="6"/>
        <v>0</v>
      </c>
      <c r="N29" s="70">
        <f t="shared" si="7"/>
        <v>0</v>
      </c>
      <c r="O29" s="70">
        <f t="shared" si="8"/>
        <v>0</v>
      </c>
      <c r="P29" s="70"/>
      <c r="Q29" s="70"/>
      <c r="S29" s="48"/>
      <c r="T29" s="48"/>
      <c r="U29" s="48"/>
      <c r="V29" s="48"/>
      <c r="W29" s="44"/>
      <c r="X29" s="44"/>
      <c r="Y29" s="48"/>
      <c r="Z29" s="46"/>
      <c r="AA29" s="46"/>
      <c r="AB29" s="46"/>
      <c r="AC29" s="46"/>
    </row>
    <row r="30" spans="1:29" ht="19.5" customHeight="1" x14ac:dyDescent="0.3">
      <c r="A30" s="69">
        <f>'Sessional + End Term Assessment'!A31</f>
        <v>24</v>
      </c>
      <c r="B30" s="78">
        <f>'Sessional + End Term Assessment'!B31</f>
        <v>0</v>
      </c>
      <c r="C30" s="78">
        <f>'Sessional + End Term Assessment'!C31</f>
        <v>0</v>
      </c>
      <c r="D30" s="77"/>
      <c r="E30" s="70">
        <f t="shared" si="0"/>
        <v>0</v>
      </c>
      <c r="F30" s="70">
        <f t="shared" si="1"/>
        <v>0</v>
      </c>
      <c r="G30" s="70">
        <f t="shared" si="2"/>
        <v>0</v>
      </c>
      <c r="H30" s="77"/>
      <c r="I30" s="70">
        <f t="shared" si="3"/>
        <v>0</v>
      </c>
      <c r="J30" s="70">
        <f t="shared" si="4"/>
        <v>0</v>
      </c>
      <c r="K30" s="70">
        <f t="shared" si="5"/>
        <v>0</v>
      </c>
      <c r="L30" s="77"/>
      <c r="M30" s="70">
        <f t="shared" si="6"/>
        <v>0</v>
      </c>
      <c r="N30" s="70">
        <f t="shared" si="7"/>
        <v>0</v>
      </c>
      <c r="O30" s="70">
        <f t="shared" si="8"/>
        <v>0</v>
      </c>
      <c r="P30" s="70"/>
      <c r="Q30" s="70"/>
      <c r="R30" s="77"/>
      <c r="S30" s="48"/>
      <c r="T30" s="48"/>
      <c r="U30" s="48"/>
      <c r="V30" s="48"/>
      <c r="W30" s="44"/>
      <c r="X30" s="44"/>
      <c r="Y30" s="48"/>
      <c r="Z30" s="46"/>
      <c r="AA30" s="46"/>
      <c r="AB30" s="46"/>
      <c r="AC30" s="46"/>
    </row>
    <row r="31" spans="1:29" ht="19.5" customHeight="1" x14ac:dyDescent="0.3">
      <c r="A31" s="69">
        <f>'Sessional + End Term Assessment'!A32</f>
        <v>25</v>
      </c>
      <c r="B31" s="78">
        <f>'Sessional + End Term Assessment'!B32</f>
        <v>0</v>
      </c>
      <c r="C31" s="78">
        <f>'Sessional + End Term Assessment'!C32</f>
        <v>0</v>
      </c>
      <c r="D31" s="77"/>
      <c r="E31" s="70">
        <f t="shared" si="0"/>
        <v>0</v>
      </c>
      <c r="F31" s="70">
        <f t="shared" si="1"/>
        <v>0</v>
      </c>
      <c r="G31" s="70">
        <f t="shared" si="2"/>
        <v>0</v>
      </c>
      <c r="H31" s="77"/>
      <c r="I31" s="70">
        <f t="shared" si="3"/>
        <v>0</v>
      </c>
      <c r="J31" s="70">
        <f t="shared" si="4"/>
        <v>0</v>
      </c>
      <c r="K31" s="70">
        <f t="shared" si="5"/>
        <v>0</v>
      </c>
      <c r="L31" s="77"/>
      <c r="M31" s="70">
        <f t="shared" si="6"/>
        <v>0</v>
      </c>
      <c r="N31" s="70">
        <f t="shared" si="7"/>
        <v>0</v>
      </c>
      <c r="O31" s="70">
        <f t="shared" si="8"/>
        <v>0</v>
      </c>
      <c r="P31" s="70"/>
      <c r="Q31" s="70"/>
      <c r="R31" s="77"/>
      <c r="S31" s="48"/>
      <c r="T31" s="48"/>
      <c r="U31" s="48"/>
      <c r="V31" s="48"/>
      <c r="W31" s="44"/>
      <c r="X31" s="44"/>
      <c r="Y31" s="48"/>
      <c r="Z31" s="46"/>
      <c r="AA31" s="46"/>
      <c r="AB31" s="46"/>
      <c r="AC31" s="46"/>
    </row>
    <row r="32" spans="1:29" ht="19.5" customHeight="1" x14ac:dyDescent="0.3">
      <c r="A32" s="69">
        <f>'Sessional + End Term Assessment'!A33</f>
        <v>26</v>
      </c>
      <c r="B32" s="78">
        <f>'Sessional + End Term Assessment'!B33</f>
        <v>0</v>
      </c>
      <c r="C32" s="78">
        <f>'Sessional + End Term Assessment'!C33</f>
        <v>0</v>
      </c>
      <c r="E32" s="70">
        <f t="shared" si="0"/>
        <v>0</v>
      </c>
      <c r="F32" s="70">
        <f t="shared" si="1"/>
        <v>0</v>
      </c>
      <c r="G32" s="70">
        <f t="shared" si="2"/>
        <v>0</v>
      </c>
      <c r="I32" s="70">
        <f t="shared" si="3"/>
        <v>0</v>
      </c>
      <c r="J32" s="70">
        <f t="shared" si="4"/>
        <v>0</v>
      </c>
      <c r="K32" s="70">
        <f t="shared" si="5"/>
        <v>0</v>
      </c>
      <c r="M32" s="70">
        <f t="shared" si="6"/>
        <v>0</v>
      </c>
      <c r="N32" s="70">
        <f t="shared" si="7"/>
        <v>0</v>
      </c>
      <c r="O32" s="70">
        <f t="shared" si="8"/>
        <v>0</v>
      </c>
      <c r="P32" s="70"/>
      <c r="Q32" s="70"/>
      <c r="S32" s="48"/>
      <c r="T32" s="48"/>
      <c r="U32" s="48"/>
      <c r="V32" s="48"/>
      <c r="W32" s="44"/>
      <c r="X32" s="44"/>
      <c r="Y32" s="48"/>
      <c r="Z32" s="46"/>
      <c r="AA32" s="46"/>
      <c r="AB32" s="46"/>
      <c r="AC32" s="46"/>
    </row>
    <row r="33" spans="1:29" ht="19.5" customHeight="1" x14ac:dyDescent="0.3">
      <c r="A33" s="69">
        <f>'Sessional + End Term Assessment'!A34</f>
        <v>27</v>
      </c>
      <c r="B33" s="78">
        <f>'Sessional + End Term Assessment'!B34</f>
        <v>0</v>
      </c>
      <c r="C33" s="78">
        <f>'Sessional + End Term Assessment'!C34</f>
        <v>0</v>
      </c>
      <c r="D33" s="77"/>
      <c r="E33" s="70">
        <f t="shared" si="0"/>
        <v>0</v>
      </c>
      <c r="F33" s="70">
        <f t="shared" si="1"/>
        <v>0</v>
      </c>
      <c r="G33" s="70">
        <f t="shared" si="2"/>
        <v>0</v>
      </c>
      <c r="H33" s="77"/>
      <c r="I33" s="70">
        <f t="shared" si="3"/>
        <v>0</v>
      </c>
      <c r="J33" s="70">
        <f t="shared" si="4"/>
        <v>0</v>
      </c>
      <c r="K33" s="70">
        <f t="shared" si="5"/>
        <v>0</v>
      </c>
      <c r="L33" s="77"/>
      <c r="M33" s="70">
        <f t="shared" si="6"/>
        <v>0</v>
      </c>
      <c r="N33" s="70">
        <f t="shared" si="7"/>
        <v>0</v>
      </c>
      <c r="O33" s="70">
        <f t="shared" si="8"/>
        <v>0</v>
      </c>
      <c r="P33" s="70"/>
      <c r="Q33" s="70"/>
      <c r="R33" s="77"/>
      <c r="S33" s="48"/>
      <c r="T33" s="48"/>
      <c r="U33" s="48"/>
      <c r="V33" s="48"/>
      <c r="W33" s="44"/>
      <c r="X33" s="44"/>
      <c r="Y33" s="48"/>
      <c r="Z33" s="46"/>
      <c r="AA33" s="46"/>
      <c r="AB33" s="46"/>
      <c r="AC33" s="46"/>
    </row>
    <row r="34" spans="1:29" ht="19.5" customHeight="1" x14ac:dyDescent="0.3">
      <c r="A34" s="69">
        <f>'Sessional + End Term Assessment'!A35</f>
        <v>28</v>
      </c>
      <c r="B34" s="78">
        <f>'Sessional + End Term Assessment'!B35</f>
        <v>0</v>
      </c>
      <c r="C34" s="78">
        <f>'Sessional + End Term Assessment'!C35</f>
        <v>0</v>
      </c>
      <c r="D34" s="77"/>
      <c r="E34" s="70">
        <f t="shared" si="0"/>
        <v>0</v>
      </c>
      <c r="F34" s="70">
        <f t="shared" si="1"/>
        <v>0</v>
      </c>
      <c r="G34" s="70">
        <f t="shared" si="2"/>
        <v>0</v>
      </c>
      <c r="H34" s="77"/>
      <c r="I34" s="70">
        <f t="shared" si="3"/>
        <v>0</v>
      </c>
      <c r="J34" s="70">
        <f t="shared" si="4"/>
        <v>0</v>
      </c>
      <c r="K34" s="70">
        <f t="shared" si="5"/>
        <v>0</v>
      </c>
      <c r="L34" s="77"/>
      <c r="M34" s="70">
        <f t="shared" si="6"/>
        <v>0</v>
      </c>
      <c r="N34" s="70">
        <f t="shared" si="7"/>
        <v>0</v>
      </c>
      <c r="O34" s="70">
        <f t="shared" si="8"/>
        <v>0</v>
      </c>
      <c r="P34" s="70"/>
      <c r="Q34" s="70"/>
      <c r="S34" s="48"/>
      <c r="T34" s="48"/>
      <c r="U34" s="48"/>
      <c r="V34" s="48"/>
      <c r="W34" s="44"/>
      <c r="X34" s="44"/>
      <c r="Y34" s="48"/>
      <c r="Z34" s="46"/>
      <c r="AA34" s="46"/>
      <c r="AB34" s="46"/>
      <c r="AC34" s="46"/>
    </row>
    <row r="35" spans="1:29" ht="19.5" customHeight="1" x14ac:dyDescent="0.3">
      <c r="A35" s="69">
        <f>'Sessional + End Term Assessment'!A36</f>
        <v>29</v>
      </c>
      <c r="B35" s="78">
        <f>'Sessional + End Term Assessment'!B36</f>
        <v>0</v>
      </c>
      <c r="C35" s="78">
        <f>'Sessional + End Term Assessment'!C36</f>
        <v>0</v>
      </c>
      <c r="D35" s="77"/>
      <c r="E35" s="70">
        <f t="shared" si="0"/>
        <v>0</v>
      </c>
      <c r="F35" s="70">
        <f t="shared" si="1"/>
        <v>0</v>
      </c>
      <c r="G35" s="70">
        <f t="shared" si="2"/>
        <v>0</v>
      </c>
      <c r="H35" s="77"/>
      <c r="I35" s="70">
        <f t="shared" si="3"/>
        <v>0</v>
      </c>
      <c r="J35" s="70">
        <f t="shared" si="4"/>
        <v>0</v>
      </c>
      <c r="K35" s="70">
        <f t="shared" si="5"/>
        <v>0</v>
      </c>
      <c r="L35" s="77"/>
      <c r="M35" s="70">
        <f t="shared" si="6"/>
        <v>0</v>
      </c>
      <c r="N35" s="70">
        <f t="shared" si="7"/>
        <v>0</v>
      </c>
      <c r="O35" s="70">
        <f t="shared" si="8"/>
        <v>0</v>
      </c>
      <c r="P35" s="70"/>
      <c r="Q35" s="70"/>
      <c r="R35" s="77"/>
      <c r="S35" s="48"/>
      <c r="T35" s="48"/>
      <c r="U35" s="48"/>
      <c r="V35" s="48"/>
      <c r="W35" s="44"/>
      <c r="X35" s="44"/>
      <c r="Y35" s="48"/>
      <c r="Z35" s="46"/>
      <c r="AA35" s="46"/>
      <c r="AB35" s="46"/>
      <c r="AC35" s="46"/>
    </row>
    <row r="36" spans="1:29" ht="19.5" customHeight="1" x14ac:dyDescent="0.3">
      <c r="A36" s="69">
        <f>'Sessional + End Term Assessment'!A37</f>
        <v>30</v>
      </c>
      <c r="B36" s="78">
        <f>'Sessional + End Term Assessment'!B37</f>
        <v>0</v>
      </c>
      <c r="C36" s="78">
        <f>'Sessional + End Term Assessment'!C37</f>
        <v>0</v>
      </c>
      <c r="E36" s="70">
        <f t="shared" si="0"/>
        <v>0</v>
      </c>
      <c r="F36" s="70">
        <f t="shared" si="1"/>
        <v>0</v>
      </c>
      <c r="G36" s="70">
        <f t="shared" si="2"/>
        <v>0</v>
      </c>
      <c r="I36" s="70">
        <f t="shared" si="3"/>
        <v>0</v>
      </c>
      <c r="J36" s="70">
        <f t="shared" si="4"/>
        <v>0</v>
      </c>
      <c r="K36" s="70">
        <f t="shared" si="5"/>
        <v>0</v>
      </c>
      <c r="M36" s="70">
        <f t="shared" si="6"/>
        <v>0</v>
      </c>
      <c r="N36" s="70">
        <f t="shared" si="7"/>
        <v>0</v>
      </c>
      <c r="O36" s="70">
        <f t="shared" si="8"/>
        <v>0</v>
      </c>
      <c r="P36" s="70"/>
      <c r="Q36" s="70"/>
      <c r="S36" s="48"/>
      <c r="T36" s="48"/>
      <c r="U36" s="48"/>
      <c r="V36" s="48"/>
      <c r="W36" s="44"/>
      <c r="X36" s="44"/>
      <c r="Y36" s="48"/>
      <c r="Z36" s="46"/>
      <c r="AA36" s="46"/>
      <c r="AB36" s="46"/>
      <c r="AC36" s="46"/>
    </row>
    <row r="37" spans="1:29" ht="15.75" customHeight="1" x14ac:dyDescent="0.3">
      <c r="A37" s="69">
        <f>'Sessional + End Term Assessment'!A38</f>
        <v>31</v>
      </c>
      <c r="B37" s="78">
        <f>'Sessional + End Term Assessment'!B38</f>
        <v>0</v>
      </c>
      <c r="C37" s="78">
        <f>'Sessional + End Term Assessment'!C38</f>
        <v>0</v>
      </c>
      <c r="D37" s="77"/>
      <c r="E37" s="70">
        <f t="shared" ref="E37:E64" si="9">IF(D37&gt;=($D$6*0.7),1,0)</f>
        <v>0</v>
      </c>
      <c r="F37" s="70">
        <f t="shared" ref="F37:F64" si="10">IF(D37&gt;=($D$6*0.8),1,0)</f>
        <v>0</v>
      </c>
      <c r="G37" s="70">
        <f t="shared" ref="G37:G64" si="11">IF(D37&gt;=($D$6*0.9),1,0)</f>
        <v>0</v>
      </c>
      <c r="H37" s="77"/>
      <c r="I37" s="70">
        <f t="shared" ref="I37:I64" si="12">IF(H37&gt;=($H$6*0.7),1,0)</f>
        <v>0</v>
      </c>
      <c r="J37" s="70">
        <f t="shared" ref="J37:J64" si="13">IF(H37&gt;=($H$6*0.7),1,0)</f>
        <v>0</v>
      </c>
      <c r="K37" s="70">
        <f t="shared" ref="K37:K64" si="14">IF(H37&gt;=($H$6*0.9),1,0)</f>
        <v>0</v>
      </c>
      <c r="L37" s="77"/>
      <c r="M37" s="70">
        <f t="shared" ref="M37:M64" si="15">IF(L37&gt;=($L$6*0.7),1,0)</f>
        <v>0</v>
      </c>
      <c r="N37" s="70">
        <f t="shared" ref="N37:N64" si="16">IF(L37&gt;=($L$6*0.8),1,0)</f>
        <v>0</v>
      </c>
      <c r="O37" s="70">
        <f t="shared" ref="O37:O64" si="17">IF(L37&gt;=($L$6*0.9),1,0)</f>
        <v>0</v>
      </c>
      <c r="P37" s="70"/>
      <c r="Q37" s="70"/>
      <c r="R37" s="44"/>
      <c r="S37" s="44"/>
      <c r="T37" s="44"/>
      <c r="U37" s="44"/>
      <c r="V37" s="44"/>
      <c r="W37" s="44"/>
      <c r="X37" s="44"/>
    </row>
    <row r="38" spans="1:29" ht="15.75" customHeight="1" x14ac:dyDescent="0.3">
      <c r="A38" s="69">
        <f>'Sessional + End Term Assessment'!A39</f>
        <v>32</v>
      </c>
      <c r="B38" s="78">
        <f>'Sessional + End Term Assessment'!B39</f>
        <v>0</v>
      </c>
      <c r="C38" s="78">
        <f>'Sessional + End Term Assessment'!C39</f>
        <v>0</v>
      </c>
      <c r="D38" s="77"/>
      <c r="E38" s="70">
        <f t="shared" si="9"/>
        <v>0</v>
      </c>
      <c r="F38" s="70">
        <f t="shared" si="10"/>
        <v>0</v>
      </c>
      <c r="G38" s="70">
        <f t="shared" si="11"/>
        <v>0</v>
      </c>
      <c r="H38" s="77"/>
      <c r="I38" s="70">
        <f t="shared" si="12"/>
        <v>0</v>
      </c>
      <c r="J38" s="70">
        <f t="shared" si="13"/>
        <v>0</v>
      </c>
      <c r="K38" s="70">
        <f t="shared" si="14"/>
        <v>0</v>
      </c>
      <c r="L38" s="77"/>
      <c r="M38" s="70">
        <f t="shared" si="15"/>
        <v>0</v>
      </c>
      <c r="N38" s="70">
        <f t="shared" si="16"/>
        <v>0</v>
      </c>
      <c r="O38" s="70">
        <f t="shared" si="17"/>
        <v>0</v>
      </c>
      <c r="P38" s="70"/>
      <c r="Q38" s="70"/>
      <c r="R38" s="44"/>
      <c r="S38" s="44"/>
      <c r="T38" s="44"/>
      <c r="U38" s="44"/>
      <c r="V38" s="44"/>
      <c r="W38" s="44"/>
      <c r="X38" s="44"/>
    </row>
    <row r="39" spans="1:29" ht="15.75" customHeight="1" x14ac:dyDescent="0.3">
      <c r="A39" s="69">
        <f>'Sessional + End Term Assessment'!A40</f>
        <v>33</v>
      </c>
      <c r="B39" s="78">
        <f>'Sessional + End Term Assessment'!B40</f>
        <v>0</v>
      </c>
      <c r="C39" s="78">
        <f>'Sessional + End Term Assessment'!C40</f>
        <v>0</v>
      </c>
      <c r="E39" s="70">
        <f t="shared" si="9"/>
        <v>0</v>
      </c>
      <c r="F39" s="70">
        <f t="shared" si="10"/>
        <v>0</v>
      </c>
      <c r="G39" s="70">
        <f t="shared" si="11"/>
        <v>0</v>
      </c>
      <c r="I39" s="70">
        <f t="shared" si="12"/>
        <v>0</v>
      </c>
      <c r="J39" s="70">
        <f t="shared" si="13"/>
        <v>0</v>
      </c>
      <c r="K39" s="70">
        <f t="shared" si="14"/>
        <v>0</v>
      </c>
      <c r="M39" s="70">
        <f t="shared" si="15"/>
        <v>0</v>
      </c>
      <c r="N39" s="70">
        <f t="shared" si="16"/>
        <v>0</v>
      </c>
      <c r="O39" s="70">
        <f t="shared" si="17"/>
        <v>0</v>
      </c>
      <c r="P39" s="70"/>
      <c r="Q39" s="70"/>
      <c r="R39" s="44"/>
      <c r="S39" s="44"/>
      <c r="T39" s="44"/>
      <c r="U39" s="44"/>
      <c r="V39" s="44"/>
      <c r="W39" s="44"/>
      <c r="X39" s="44"/>
    </row>
    <row r="40" spans="1:29" ht="15.75" customHeight="1" x14ac:dyDescent="0.3">
      <c r="A40" s="69">
        <f>'Sessional + End Term Assessment'!A41</f>
        <v>34</v>
      </c>
      <c r="B40" s="78">
        <f>'Sessional + End Term Assessment'!B41</f>
        <v>0</v>
      </c>
      <c r="C40" s="78">
        <f>'Sessional + End Term Assessment'!C41</f>
        <v>0</v>
      </c>
      <c r="D40" s="77"/>
      <c r="E40" s="70">
        <f t="shared" si="9"/>
        <v>0</v>
      </c>
      <c r="F40" s="70">
        <f t="shared" si="10"/>
        <v>0</v>
      </c>
      <c r="G40" s="70">
        <f t="shared" si="11"/>
        <v>0</v>
      </c>
      <c r="H40" s="77"/>
      <c r="I40" s="70">
        <f t="shared" si="12"/>
        <v>0</v>
      </c>
      <c r="J40" s="70">
        <f t="shared" si="13"/>
        <v>0</v>
      </c>
      <c r="K40" s="70">
        <f t="shared" si="14"/>
        <v>0</v>
      </c>
      <c r="L40" s="77"/>
      <c r="M40" s="70">
        <f t="shared" si="15"/>
        <v>0</v>
      </c>
      <c r="N40" s="70">
        <f t="shared" si="16"/>
        <v>0</v>
      </c>
      <c r="O40" s="70">
        <f t="shared" si="17"/>
        <v>0</v>
      </c>
      <c r="P40" s="70"/>
      <c r="Q40" s="70"/>
      <c r="R40" s="44"/>
      <c r="S40" s="44"/>
      <c r="T40" s="44"/>
      <c r="U40" s="44"/>
      <c r="V40" s="44"/>
      <c r="W40" s="44"/>
      <c r="X40" s="44"/>
    </row>
    <row r="41" spans="1:29" ht="15.75" customHeight="1" x14ac:dyDescent="0.3">
      <c r="A41" s="69">
        <f>'Sessional + End Term Assessment'!A42</f>
        <v>35</v>
      </c>
      <c r="B41" s="78">
        <f>'Sessional + End Term Assessment'!B42</f>
        <v>0</v>
      </c>
      <c r="C41" s="78">
        <f>'Sessional + End Term Assessment'!C42</f>
        <v>0</v>
      </c>
      <c r="D41" s="77"/>
      <c r="E41" s="70">
        <f t="shared" si="9"/>
        <v>0</v>
      </c>
      <c r="F41" s="70">
        <f t="shared" si="10"/>
        <v>0</v>
      </c>
      <c r="G41" s="70">
        <f t="shared" si="11"/>
        <v>0</v>
      </c>
      <c r="H41" s="77"/>
      <c r="I41" s="70">
        <f t="shared" si="12"/>
        <v>0</v>
      </c>
      <c r="J41" s="70">
        <f t="shared" si="13"/>
        <v>0</v>
      </c>
      <c r="K41" s="70">
        <f t="shared" si="14"/>
        <v>0</v>
      </c>
      <c r="L41" s="77"/>
      <c r="M41" s="70">
        <f t="shared" si="15"/>
        <v>0</v>
      </c>
      <c r="N41" s="70">
        <f t="shared" si="16"/>
        <v>0</v>
      </c>
      <c r="O41" s="70">
        <f t="shared" si="17"/>
        <v>0</v>
      </c>
      <c r="P41" s="70"/>
      <c r="Q41" s="70"/>
      <c r="R41" s="44"/>
      <c r="S41" s="44"/>
      <c r="T41" s="44"/>
      <c r="U41" s="44"/>
      <c r="V41" s="44"/>
      <c r="W41" s="44"/>
      <c r="X41" s="44"/>
    </row>
    <row r="42" spans="1:29" ht="15.75" customHeight="1" x14ac:dyDescent="0.3">
      <c r="A42" s="69">
        <f>'Sessional + End Term Assessment'!A43</f>
        <v>36</v>
      </c>
      <c r="B42" s="78">
        <f>'Sessional + End Term Assessment'!B43</f>
        <v>0</v>
      </c>
      <c r="C42" s="78">
        <f>'Sessional + End Term Assessment'!C43</f>
        <v>0</v>
      </c>
      <c r="E42" s="70">
        <f t="shared" si="9"/>
        <v>0</v>
      </c>
      <c r="F42" s="70">
        <f t="shared" si="10"/>
        <v>0</v>
      </c>
      <c r="G42" s="70">
        <f t="shared" si="11"/>
        <v>0</v>
      </c>
      <c r="I42" s="70">
        <f t="shared" si="12"/>
        <v>0</v>
      </c>
      <c r="J42" s="70">
        <f t="shared" si="13"/>
        <v>0</v>
      </c>
      <c r="K42" s="70">
        <f t="shared" si="14"/>
        <v>0</v>
      </c>
      <c r="M42" s="70">
        <f t="shared" si="15"/>
        <v>0</v>
      </c>
      <c r="N42" s="70">
        <f t="shared" si="16"/>
        <v>0</v>
      </c>
      <c r="O42" s="70">
        <f t="shared" si="17"/>
        <v>0</v>
      </c>
      <c r="P42" s="70"/>
      <c r="Q42" s="70"/>
      <c r="R42" s="44"/>
      <c r="S42" s="44"/>
      <c r="T42" s="44"/>
      <c r="U42" s="44"/>
      <c r="V42" s="44"/>
      <c r="W42" s="44"/>
      <c r="X42" s="44"/>
    </row>
    <row r="43" spans="1:29" ht="15.75" customHeight="1" x14ac:dyDescent="0.3">
      <c r="A43" s="69">
        <f>'Sessional + End Term Assessment'!A44</f>
        <v>37</v>
      </c>
      <c r="B43" s="78">
        <f>'Sessional + End Term Assessment'!B44</f>
        <v>0</v>
      </c>
      <c r="C43" s="78">
        <f>'Sessional + End Term Assessment'!C44</f>
        <v>0</v>
      </c>
      <c r="D43" s="77"/>
      <c r="E43" s="70">
        <f t="shared" si="9"/>
        <v>0</v>
      </c>
      <c r="F43" s="70">
        <f t="shared" si="10"/>
        <v>0</v>
      </c>
      <c r="G43" s="70">
        <f t="shared" si="11"/>
        <v>0</v>
      </c>
      <c r="H43" s="77"/>
      <c r="I43" s="70">
        <f t="shared" si="12"/>
        <v>0</v>
      </c>
      <c r="J43" s="70">
        <f t="shared" si="13"/>
        <v>0</v>
      </c>
      <c r="K43" s="70">
        <f t="shared" si="14"/>
        <v>0</v>
      </c>
      <c r="L43" s="77"/>
      <c r="M43" s="70">
        <f t="shared" si="15"/>
        <v>0</v>
      </c>
      <c r="N43" s="70">
        <f t="shared" si="16"/>
        <v>0</v>
      </c>
      <c r="O43" s="70">
        <f t="shared" si="17"/>
        <v>0</v>
      </c>
      <c r="P43" s="70"/>
      <c r="Q43" s="70"/>
      <c r="R43" s="44"/>
      <c r="S43" s="44"/>
      <c r="T43" s="44"/>
      <c r="U43" s="44"/>
      <c r="V43" s="44"/>
      <c r="W43" s="44"/>
      <c r="X43" s="44"/>
    </row>
    <row r="44" spans="1:29" ht="15.75" customHeight="1" x14ac:dyDescent="0.3">
      <c r="A44" s="69">
        <f>'Sessional + End Term Assessment'!A45</f>
        <v>38</v>
      </c>
      <c r="B44" s="78">
        <f>'Sessional + End Term Assessment'!B45</f>
        <v>0</v>
      </c>
      <c r="C44" s="78">
        <f>'Sessional + End Term Assessment'!C45</f>
        <v>0</v>
      </c>
      <c r="D44" s="77"/>
      <c r="E44" s="70">
        <f t="shared" si="9"/>
        <v>0</v>
      </c>
      <c r="F44" s="70">
        <f t="shared" si="10"/>
        <v>0</v>
      </c>
      <c r="G44" s="70">
        <f t="shared" si="11"/>
        <v>0</v>
      </c>
      <c r="H44" s="77"/>
      <c r="I44" s="70">
        <f t="shared" si="12"/>
        <v>0</v>
      </c>
      <c r="J44" s="70">
        <f t="shared" si="13"/>
        <v>0</v>
      </c>
      <c r="K44" s="70">
        <f t="shared" si="14"/>
        <v>0</v>
      </c>
      <c r="L44" s="77"/>
      <c r="M44" s="70">
        <f t="shared" si="15"/>
        <v>0</v>
      </c>
      <c r="N44" s="70">
        <f t="shared" si="16"/>
        <v>0</v>
      </c>
      <c r="O44" s="70">
        <f t="shared" si="17"/>
        <v>0</v>
      </c>
      <c r="P44" s="70"/>
      <c r="Q44" s="70"/>
      <c r="R44" s="44"/>
      <c r="S44" s="44"/>
      <c r="T44" s="44"/>
      <c r="U44" s="44"/>
      <c r="V44" s="44"/>
      <c r="W44" s="44"/>
      <c r="X44" s="44"/>
    </row>
    <row r="45" spans="1:29" ht="15.75" customHeight="1" x14ac:dyDescent="0.3">
      <c r="A45" s="69">
        <f>'Sessional + End Term Assessment'!A46</f>
        <v>39</v>
      </c>
      <c r="B45" s="78">
        <f>'Sessional + End Term Assessment'!B46</f>
        <v>0</v>
      </c>
      <c r="C45" s="78">
        <f>'Sessional + End Term Assessment'!C46</f>
        <v>0</v>
      </c>
      <c r="E45" s="70">
        <f t="shared" si="9"/>
        <v>0</v>
      </c>
      <c r="F45" s="70">
        <f t="shared" si="10"/>
        <v>0</v>
      </c>
      <c r="G45" s="70">
        <f t="shared" si="11"/>
        <v>0</v>
      </c>
      <c r="I45" s="70">
        <f t="shared" si="12"/>
        <v>0</v>
      </c>
      <c r="J45" s="70">
        <f t="shared" si="13"/>
        <v>0</v>
      </c>
      <c r="K45" s="70">
        <f t="shared" si="14"/>
        <v>0</v>
      </c>
      <c r="M45" s="70">
        <f t="shared" si="15"/>
        <v>0</v>
      </c>
      <c r="N45" s="70">
        <f t="shared" si="16"/>
        <v>0</v>
      </c>
      <c r="O45" s="70">
        <f t="shared" si="17"/>
        <v>0</v>
      </c>
      <c r="P45" s="70"/>
      <c r="Q45" s="70"/>
      <c r="R45" s="44"/>
      <c r="S45" s="44"/>
      <c r="T45" s="44"/>
      <c r="U45" s="44"/>
      <c r="V45" s="44"/>
      <c r="W45" s="44"/>
      <c r="X45" s="44"/>
    </row>
    <row r="46" spans="1:29" ht="15.75" customHeight="1" x14ac:dyDescent="0.3">
      <c r="A46" s="69">
        <f>'Sessional + End Term Assessment'!A47</f>
        <v>40</v>
      </c>
      <c r="B46" s="78">
        <f>'Sessional + End Term Assessment'!B47</f>
        <v>0</v>
      </c>
      <c r="C46" s="78">
        <f>'Sessional + End Term Assessment'!C47</f>
        <v>0</v>
      </c>
      <c r="D46" s="77"/>
      <c r="E46" s="70">
        <f t="shared" si="9"/>
        <v>0</v>
      </c>
      <c r="F46" s="70">
        <f t="shared" si="10"/>
        <v>0</v>
      </c>
      <c r="G46" s="70">
        <f t="shared" si="11"/>
        <v>0</v>
      </c>
      <c r="H46" s="77"/>
      <c r="I46" s="70">
        <f t="shared" si="12"/>
        <v>0</v>
      </c>
      <c r="J46" s="70">
        <f t="shared" si="13"/>
        <v>0</v>
      </c>
      <c r="K46" s="70">
        <f t="shared" si="14"/>
        <v>0</v>
      </c>
      <c r="L46" s="77"/>
      <c r="M46" s="70">
        <f t="shared" si="15"/>
        <v>0</v>
      </c>
      <c r="N46" s="70">
        <f t="shared" si="16"/>
        <v>0</v>
      </c>
      <c r="O46" s="70">
        <f t="shared" si="17"/>
        <v>0</v>
      </c>
      <c r="P46" s="70"/>
      <c r="Q46" s="70"/>
      <c r="R46" s="44"/>
      <c r="S46" s="44"/>
      <c r="T46" s="44"/>
      <c r="U46" s="44"/>
      <c r="V46" s="44"/>
      <c r="W46" s="44"/>
      <c r="X46" s="44"/>
    </row>
    <row r="47" spans="1:29" ht="15.75" customHeight="1" x14ac:dyDescent="0.3">
      <c r="A47" s="69">
        <f>'Sessional + End Term Assessment'!A48</f>
        <v>41</v>
      </c>
      <c r="B47" s="78">
        <f>'Sessional + End Term Assessment'!B48</f>
        <v>0</v>
      </c>
      <c r="C47" s="78">
        <f>'Sessional + End Term Assessment'!C48</f>
        <v>0</v>
      </c>
      <c r="D47" s="77"/>
      <c r="E47" s="70">
        <f t="shared" si="9"/>
        <v>0</v>
      </c>
      <c r="F47" s="70">
        <f t="shared" si="10"/>
        <v>0</v>
      </c>
      <c r="G47" s="70">
        <f t="shared" si="11"/>
        <v>0</v>
      </c>
      <c r="H47" s="77"/>
      <c r="I47" s="70">
        <f t="shared" si="12"/>
        <v>0</v>
      </c>
      <c r="J47" s="70">
        <f t="shared" si="13"/>
        <v>0</v>
      </c>
      <c r="K47" s="70">
        <f t="shared" si="14"/>
        <v>0</v>
      </c>
      <c r="L47" s="77"/>
      <c r="M47" s="70">
        <f t="shared" si="15"/>
        <v>0</v>
      </c>
      <c r="N47" s="70">
        <f t="shared" si="16"/>
        <v>0</v>
      </c>
      <c r="O47" s="70">
        <f t="shared" si="17"/>
        <v>0</v>
      </c>
      <c r="P47" s="70"/>
      <c r="Q47" s="70"/>
      <c r="R47" s="44"/>
      <c r="S47" s="44"/>
      <c r="T47" s="44"/>
      <c r="U47" s="44"/>
      <c r="V47" s="44"/>
      <c r="W47" s="44"/>
      <c r="X47" s="44"/>
    </row>
    <row r="48" spans="1:29" ht="15.75" customHeight="1" x14ac:dyDescent="0.3">
      <c r="A48" s="69">
        <f>'Sessional + End Term Assessment'!A49</f>
        <v>42</v>
      </c>
      <c r="B48" s="78">
        <f>'Sessional + End Term Assessment'!B49</f>
        <v>0</v>
      </c>
      <c r="C48" s="78">
        <f>'Sessional + End Term Assessment'!C49</f>
        <v>0</v>
      </c>
      <c r="E48" s="70">
        <f t="shared" si="9"/>
        <v>0</v>
      </c>
      <c r="F48" s="70">
        <f t="shared" si="10"/>
        <v>0</v>
      </c>
      <c r="G48" s="70">
        <f t="shared" si="11"/>
        <v>0</v>
      </c>
      <c r="I48" s="70">
        <f t="shared" si="12"/>
        <v>0</v>
      </c>
      <c r="J48" s="70">
        <f t="shared" si="13"/>
        <v>0</v>
      </c>
      <c r="K48" s="70">
        <f t="shared" si="14"/>
        <v>0</v>
      </c>
      <c r="M48" s="70">
        <f t="shared" si="15"/>
        <v>0</v>
      </c>
      <c r="N48" s="70">
        <f t="shared" si="16"/>
        <v>0</v>
      </c>
      <c r="O48" s="70">
        <f t="shared" si="17"/>
        <v>0</v>
      </c>
      <c r="P48" s="70"/>
      <c r="Q48" s="70"/>
      <c r="R48" s="44"/>
      <c r="S48" s="44"/>
      <c r="T48" s="44"/>
      <c r="U48" s="44"/>
      <c r="V48" s="44"/>
      <c r="W48" s="44"/>
      <c r="X48" s="44"/>
    </row>
    <row r="49" spans="1:24" ht="15.75" customHeight="1" x14ac:dyDescent="0.3">
      <c r="A49" s="69">
        <f>'Sessional + End Term Assessment'!A50</f>
        <v>43</v>
      </c>
      <c r="B49" s="78">
        <f>'Sessional + End Term Assessment'!B50</f>
        <v>0</v>
      </c>
      <c r="C49" s="78">
        <f>'Sessional + End Term Assessment'!C50</f>
        <v>0</v>
      </c>
      <c r="D49" s="77"/>
      <c r="E49" s="70">
        <f t="shared" si="9"/>
        <v>0</v>
      </c>
      <c r="F49" s="70">
        <f t="shared" si="10"/>
        <v>0</v>
      </c>
      <c r="G49" s="70">
        <f t="shared" si="11"/>
        <v>0</v>
      </c>
      <c r="H49" s="77"/>
      <c r="I49" s="70">
        <f t="shared" si="12"/>
        <v>0</v>
      </c>
      <c r="J49" s="70">
        <f t="shared" si="13"/>
        <v>0</v>
      </c>
      <c r="K49" s="70">
        <f t="shared" si="14"/>
        <v>0</v>
      </c>
      <c r="L49" s="77"/>
      <c r="M49" s="70">
        <f t="shared" si="15"/>
        <v>0</v>
      </c>
      <c r="N49" s="70">
        <f t="shared" si="16"/>
        <v>0</v>
      </c>
      <c r="O49" s="70">
        <f t="shared" si="17"/>
        <v>0</v>
      </c>
      <c r="P49" s="70"/>
      <c r="Q49" s="70"/>
      <c r="R49" s="44"/>
      <c r="S49" s="44"/>
      <c r="T49" s="44"/>
      <c r="U49" s="44"/>
      <c r="V49" s="44"/>
      <c r="W49" s="44"/>
      <c r="X49" s="44"/>
    </row>
    <row r="50" spans="1:24" ht="15.75" customHeight="1" x14ac:dyDescent="0.3">
      <c r="A50" s="69">
        <f>'Sessional + End Term Assessment'!A51</f>
        <v>44</v>
      </c>
      <c r="B50" s="78">
        <f>'Sessional + End Term Assessment'!B51</f>
        <v>0</v>
      </c>
      <c r="C50" s="78">
        <f>'Sessional + End Term Assessment'!C51</f>
        <v>0</v>
      </c>
      <c r="D50" s="77"/>
      <c r="E50" s="70">
        <f t="shared" si="9"/>
        <v>0</v>
      </c>
      <c r="F50" s="70">
        <f t="shared" si="10"/>
        <v>0</v>
      </c>
      <c r="G50" s="70">
        <f t="shared" si="11"/>
        <v>0</v>
      </c>
      <c r="H50" s="77"/>
      <c r="I50" s="70">
        <f t="shared" si="12"/>
        <v>0</v>
      </c>
      <c r="J50" s="70">
        <f t="shared" si="13"/>
        <v>0</v>
      </c>
      <c r="K50" s="70">
        <f t="shared" si="14"/>
        <v>0</v>
      </c>
      <c r="L50" s="77"/>
      <c r="M50" s="70">
        <f t="shared" si="15"/>
        <v>0</v>
      </c>
      <c r="N50" s="70">
        <f t="shared" si="16"/>
        <v>0</v>
      </c>
      <c r="O50" s="70">
        <f t="shared" si="17"/>
        <v>0</v>
      </c>
      <c r="P50" s="70"/>
      <c r="Q50" s="70"/>
      <c r="R50" s="44"/>
      <c r="S50" s="44"/>
      <c r="T50" s="44"/>
      <c r="U50" s="44"/>
      <c r="V50" s="44"/>
      <c r="W50" s="44"/>
      <c r="X50" s="44"/>
    </row>
    <row r="51" spans="1:24" ht="15.75" customHeight="1" x14ac:dyDescent="0.3">
      <c r="A51" s="69">
        <f>'Sessional + End Term Assessment'!A52</f>
        <v>45</v>
      </c>
      <c r="B51" s="78">
        <f>'Sessional + End Term Assessment'!B52</f>
        <v>0</v>
      </c>
      <c r="C51" s="78">
        <f>'Sessional + End Term Assessment'!C52</f>
        <v>0</v>
      </c>
      <c r="E51" s="70">
        <f t="shared" si="9"/>
        <v>0</v>
      </c>
      <c r="F51" s="70">
        <f t="shared" si="10"/>
        <v>0</v>
      </c>
      <c r="G51" s="70">
        <f t="shared" si="11"/>
        <v>0</v>
      </c>
      <c r="I51" s="70">
        <f t="shared" si="12"/>
        <v>0</v>
      </c>
      <c r="J51" s="70">
        <f t="shared" si="13"/>
        <v>0</v>
      </c>
      <c r="K51" s="70">
        <f t="shared" si="14"/>
        <v>0</v>
      </c>
      <c r="M51" s="70">
        <f t="shared" si="15"/>
        <v>0</v>
      </c>
      <c r="N51" s="70">
        <f t="shared" si="16"/>
        <v>0</v>
      </c>
      <c r="O51" s="70">
        <f t="shared" si="17"/>
        <v>0</v>
      </c>
      <c r="P51" s="70"/>
      <c r="Q51" s="70"/>
      <c r="R51" s="44"/>
      <c r="S51" s="44"/>
      <c r="T51" s="44"/>
      <c r="U51" s="44"/>
      <c r="V51" s="44"/>
      <c r="W51" s="44"/>
      <c r="X51" s="44"/>
    </row>
    <row r="52" spans="1:24" ht="15.75" customHeight="1" x14ac:dyDescent="0.3">
      <c r="A52" s="69">
        <f>'Sessional + End Term Assessment'!A53</f>
        <v>46</v>
      </c>
      <c r="B52" s="78">
        <f>'Sessional + End Term Assessment'!B53</f>
        <v>0</v>
      </c>
      <c r="C52" s="78">
        <f>'Sessional + End Term Assessment'!C53</f>
        <v>0</v>
      </c>
      <c r="D52" s="77"/>
      <c r="E52" s="70">
        <f t="shared" si="9"/>
        <v>0</v>
      </c>
      <c r="F52" s="70">
        <f t="shared" si="10"/>
        <v>0</v>
      </c>
      <c r="G52" s="70">
        <f t="shared" si="11"/>
        <v>0</v>
      </c>
      <c r="H52" s="77"/>
      <c r="I52" s="70">
        <f t="shared" si="12"/>
        <v>0</v>
      </c>
      <c r="J52" s="70">
        <f t="shared" si="13"/>
        <v>0</v>
      </c>
      <c r="K52" s="70">
        <f t="shared" si="14"/>
        <v>0</v>
      </c>
      <c r="L52" s="77"/>
      <c r="M52" s="70">
        <f t="shared" si="15"/>
        <v>0</v>
      </c>
      <c r="N52" s="70">
        <f t="shared" si="16"/>
        <v>0</v>
      </c>
      <c r="O52" s="70">
        <f t="shared" si="17"/>
        <v>0</v>
      </c>
      <c r="P52" s="70"/>
      <c r="Q52" s="70"/>
      <c r="R52" s="44"/>
      <c r="S52" s="44"/>
      <c r="T52" s="44"/>
      <c r="U52" s="44"/>
      <c r="V52" s="44"/>
      <c r="W52" s="44"/>
      <c r="X52" s="44"/>
    </row>
    <row r="53" spans="1:24" ht="15.75" customHeight="1" x14ac:dyDescent="0.3">
      <c r="A53" s="69">
        <f>'Sessional + End Term Assessment'!A54</f>
        <v>47</v>
      </c>
      <c r="B53" s="78">
        <f>'Sessional + End Term Assessment'!B54</f>
        <v>0</v>
      </c>
      <c r="C53" s="78">
        <f>'Sessional + End Term Assessment'!C54</f>
        <v>0</v>
      </c>
      <c r="D53" s="77"/>
      <c r="E53" s="70">
        <f t="shared" si="9"/>
        <v>0</v>
      </c>
      <c r="F53" s="70">
        <f t="shared" si="10"/>
        <v>0</v>
      </c>
      <c r="G53" s="70">
        <f t="shared" si="11"/>
        <v>0</v>
      </c>
      <c r="H53" s="77"/>
      <c r="I53" s="70">
        <f t="shared" si="12"/>
        <v>0</v>
      </c>
      <c r="J53" s="70">
        <f t="shared" si="13"/>
        <v>0</v>
      </c>
      <c r="K53" s="70">
        <f t="shared" si="14"/>
        <v>0</v>
      </c>
      <c r="L53" s="77"/>
      <c r="M53" s="70">
        <f t="shared" si="15"/>
        <v>0</v>
      </c>
      <c r="N53" s="70">
        <f t="shared" si="16"/>
        <v>0</v>
      </c>
      <c r="O53" s="70">
        <f t="shared" si="17"/>
        <v>0</v>
      </c>
      <c r="P53" s="70"/>
      <c r="Q53" s="70"/>
      <c r="R53" s="44"/>
      <c r="S53" s="44"/>
      <c r="T53" s="44"/>
      <c r="U53" s="44"/>
      <c r="V53" s="44"/>
      <c r="W53" s="44"/>
      <c r="X53" s="44"/>
    </row>
    <row r="54" spans="1:24" ht="15.75" customHeight="1" x14ac:dyDescent="0.3">
      <c r="A54" s="69">
        <f>'Sessional + End Term Assessment'!A55</f>
        <v>48</v>
      </c>
      <c r="B54" s="78">
        <f>'Sessional + End Term Assessment'!B55</f>
        <v>0</v>
      </c>
      <c r="C54" s="78">
        <f>'Sessional + End Term Assessment'!C55</f>
        <v>0</v>
      </c>
      <c r="E54" s="70">
        <f t="shared" si="9"/>
        <v>0</v>
      </c>
      <c r="F54" s="70">
        <f t="shared" si="10"/>
        <v>0</v>
      </c>
      <c r="G54" s="70">
        <f t="shared" si="11"/>
        <v>0</v>
      </c>
      <c r="I54" s="70">
        <f t="shared" si="12"/>
        <v>0</v>
      </c>
      <c r="J54" s="70">
        <f t="shared" si="13"/>
        <v>0</v>
      </c>
      <c r="K54" s="70">
        <f t="shared" si="14"/>
        <v>0</v>
      </c>
      <c r="M54" s="70">
        <f t="shared" si="15"/>
        <v>0</v>
      </c>
      <c r="N54" s="70">
        <f t="shared" si="16"/>
        <v>0</v>
      </c>
      <c r="O54" s="70">
        <f t="shared" si="17"/>
        <v>0</v>
      </c>
      <c r="P54" s="70"/>
      <c r="Q54" s="70"/>
      <c r="R54" s="44"/>
      <c r="S54" s="44"/>
      <c r="T54" s="44"/>
      <c r="U54" s="44"/>
      <c r="V54" s="44"/>
      <c r="W54" s="44"/>
      <c r="X54" s="44"/>
    </row>
    <row r="55" spans="1:24" ht="15.75" customHeight="1" x14ac:dyDescent="0.3">
      <c r="A55" s="69">
        <f>'Sessional + End Term Assessment'!A56</f>
        <v>49</v>
      </c>
      <c r="B55" s="78">
        <f>'Sessional + End Term Assessment'!B56</f>
        <v>0</v>
      </c>
      <c r="C55" s="78">
        <f>'Sessional + End Term Assessment'!C56</f>
        <v>0</v>
      </c>
      <c r="D55" s="77"/>
      <c r="E55" s="70">
        <f t="shared" si="9"/>
        <v>0</v>
      </c>
      <c r="F55" s="70">
        <f t="shared" si="10"/>
        <v>0</v>
      </c>
      <c r="G55" s="70">
        <f t="shared" si="11"/>
        <v>0</v>
      </c>
      <c r="H55" s="77"/>
      <c r="I55" s="70">
        <f t="shared" si="12"/>
        <v>0</v>
      </c>
      <c r="J55" s="70">
        <f t="shared" si="13"/>
        <v>0</v>
      </c>
      <c r="K55" s="70">
        <f t="shared" si="14"/>
        <v>0</v>
      </c>
      <c r="L55" s="77"/>
      <c r="M55" s="70">
        <f t="shared" si="15"/>
        <v>0</v>
      </c>
      <c r="N55" s="70">
        <f t="shared" si="16"/>
        <v>0</v>
      </c>
      <c r="O55" s="70">
        <f t="shared" si="17"/>
        <v>0</v>
      </c>
      <c r="P55" s="70"/>
      <c r="Q55" s="70"/>
      <c r="R55" s="44"/>
      <c r="S55" s="44"/>
      <c r="T55" s="44"/>
      <c r="U55" s="44"/>
      <c r="V55" s="44"/>
      <c r="W55" s="44"/>
      <c r="X55" s="44"/>
    </row>
    <row r="56" spans="1:24" ht="15.75" customHeight="1" x14ac:dyDescent="0.3">
      <c r="A56" s="69">
        <f>'Sessional + End Term Assessment'!A57</f>
        <v>50</v>
      </c>
      <c r="B56" s="78">
        <f>'Sessional + End Term Assessment'!B57</f>
        <v>0</v>
      </c>
      <c r="C56" s="78">
        <f>'Sessional + End Term Assessment'!C57</f>
        <v>0</v>
      </c>
      <c r="D56" s="77"/>
      <c r="E56" s="70">
        <f t="shared" si="9"/>
        <v>0</v>
      </c>
      <c r="F56" s="70">
        <f t="shared" si="10"/>
        <v>0</v>
      </c>
      <c r="G56" s="70">
        <f t="shared" si="11"/>
        <v>0</v>
      </c>
      <c r="H56" s="77"/>
      <c r="I56" s="70">
        <f t="shared" si="12"/>
        <v>0</v>
      </c>
      <c r="J56" s="70">
        <f t="shared" si="13"/>
        <v>0</v>
      </c>
      <c r="K56" s="70">
        <f t="shared" si="14"/>
        <v>0</v>
      </c>
      <c r="L56" s="77"/>
      <c r="M56" s="70">
        <f t="shared" si="15"/>
        <v>0</v>
      </c>
      <c r="N56" s="70">
        <f t="shared" si="16"/>
        <v>0</v>
      </c>
      <c r="O56" s="70">
        <f t="shared" si="17"/>
        <v>0</v>
      </c>
      <c r="P56" s="70"/>
      <c r="Q56" s="70"/>
      <c r="R56" s="44"/>
      <c r="S56" s="44"/>
      <c r="T56" s="44"/>
      <c r="U56" s="44"/>
      <c r="V56" s="44"/>
      <c r="W56" s="44"/>
      <c r="X56" s="44"/>
    </row>
    <row r="57" spans="1:24" ht="15.75" customHeight="1" x14ac:dyDescent="0.3">
      <c r="A57" s="69">
        <f>'Sessional + End Term Assessment'!A58</f>
        <v>51</v>
      </c>
      <c r="B57" s="78">
        <f>'Sessional + End Term Assessment'!B58</f>
        <v>0</v>
      </c>
      <c r="C57" s="78">
        <f>'Sessional + End Term Assessment'!C58</f>
        <v>0</v>
      </c>
      <c r="E57" s="70">
        <f t="shared" si="9"/>
        <v>0</v>
      </c>
      <c r="F57" s="70">
        <f t="shared" si="10"/>
        <v>0</v>
      </c>
      <c r="G57" s="70">
        <f t="shared" si="11"/>
        <v>0</v>
      </c>
      <c r="I57" s="70">
        <f t="shared" si="12"/>
        <v>0</v>
      </c>
      <c r="J57" s="70">
        <f t="shared" si="13"/>
        <v>0</v>
      </c>
      <c r="K57" s="70">
        <f t="shared" si="14"/>
        <v>0</v>
      </c>
      <c r="M57" s="70">
        <f t="shared" si="15"/>
        <v>0</v>
      </c>
      <c r="N57" s="70">
        <f t="shared" si="16"/>
        <v>0</v>
      </c>
      <c r="O57" s="70">
        <f t="shared" si="17"/>
        <v>0</v>
      </c>
      <c r="P57" s="70"/>
      <c r="Q57" s="70"/>
      <c r="R57" s="44"/>
      <c r="S57" s="44"/>
      <c r="T57" s="44"/>
      <c r="U57" s="44"/>
      <c r="V57" s="44"/>
      <c r="W57" s="44"/>
      <c r="X57" s="44"/>
    </row>
    <row r="58" spans="1:24" ht="15.75" customHeight="1" x14ac:dyDescent="0.3">
      <c r="A58" s="69">
        <f>'Sessional + End Term Assessment'!A59</f>
        <v>52</v>
      </c>
      <c r="B58" s="78">
        <f>'Sessional + End Term Assessment'!B59</f>
        <v>0</v>
      </c>
      <c r="C58" s="78">
        <f>'Sessional + End Term Assessment'!C59</f>
        <v>0</v>
      </c>
      <c r="D58" s="77"/>
      <c r="E58" s="70">
        <f t="shared" si="9"/>
        <v>0</v>
      </c>
      <c r="F58" s="70">
        <f t="shared" si="10"/>
        <v>0</v>
      </c>
      <c r="G58" s="70">
        <f t="shared" si="11"/>
        <v>0</v>
      </c>
      <c r="H58" s="77"/>
      <c r="I58" s="70">
        <f t="shared" si="12"/>
        <v>0</v>
      </c>
      <c r="J58" s="70">
        <f t="shared" si="13"/>
        <v>0</v>
      </c>
      <c r="K58" s="70">
        <f t="shared" si="14"/>
        <v>0</v>
      </c>
      <c r="L58" s="77"/>
      <c r="M58" s="70">
        <f t="shared" si="15"/>
        <v>0</v>
      </c>
      <c r="N58" s="70">
        <f t="shared" si="16"/>
        <v>0</v>
      </c>
      <c r="O58" s="70">
        <f t="shared" si="17"/>
        <v>0</v>
      </c>
      <c r="P58" s="70"/>
      <c r="Q58" s="70"/>
      <c r="R58" s="44"/>
      <c r="S58" s="44"/>
      <c r="T58" s="44"/>
      <c r="U58" s="44"/>
      <c r="V58" s="44"/>
      <c r="W58" s="44"/>
      <c r="X58" s="44"/>
    </row>
    <row r="59" spans="1:24" ht="15.75" customHeight="1" x14ac:dyDescent="0.3">
      <c r="A59" s="69">
        <f>'Sessional + End Term Assessment'!A60</f>
        <v>53</v>
      </c>
      <c r="B59" s="78">
        <f>'Sessional + End Term Assessment'!B60</f>
        <v>0</v>
      </c>
      <c r="C59" s="78">
        <f>'Sessional + End Term Assessment'!C60</f>
        <v>0</v>
      </c>
      <c r="D59" s="77"/>
      <c r="E59" s="70">
        <f t="shared" si="9"/>
        <v>0</v>
      </c>
      <c r="F59" s="70">
        <f t="shared" si="10"/>
        <v>0</v>
      </c>
      <c r="G59" s="70">
        <f t="shared" si="11"/>
        <v>0</v>
      </c>
      <c r="H59" s="77"/>
      <c r="I59" s="70">
        <f t="shared" si="12"/>
        <v>0</v>
      </c>
      <c r="J59" s="70">
        <f t="shared" si="13"/>
        <v>0</v>
      </c>
      <c r="K59" s="70">
        <f t="shared" si="14"/>
        <v>0</v>
      </c>
      <c r="L59" s="77"/>
      <c r="M59" s="70">
        <f t="shared" si="15"/>
        <v>0</v>
      </c>
      <c r="N59" s="70">
        <f t="shared" si="16"/>
        <v>0</v>
      </c>
      <c r="O59" s="70">
        <f t="shared" si="17"/>
        <v>0</v>
      </c>
      <c r="P59" s="70"/>
      <c r="Q59" s="70"/>
      <c r="R59" s="44"/>
      <c r="S59" s="44"/>
      <c r="T59" s="44"/>
      <c r="U59" s="44"/>
      <c r="V59" s="44"/>
      <c r="W59" s="44"/>
      <c r="X59" s="44"/>
    </row>
    <row r="60" spans="1:24" ht="15.75" customHeight="1" x14ac:dyDescent="0.3">
      <c r="A60" s="69">
        <f>'Sessional + End Term Assessment'!A61</f>
        <v>54</v>
      </c>
      <c r="B60" s="78">
        <f>'Sessional + End Term Assessment'!B61</f>
        <v>0</v>
      </c>
      <c r="C60" s="78">
        <f>'Sessional + End Term Assessment'!C61</f>
        <v>0</v>
      </c>
      <c r="E60" s="70">
        <f t="shared" si="9"/>
        <v>0</v>
      </c>
      <c r="F60" s="70">
        <f t="shared" si="10"/>
        <v>0</v>
      </c>
      <c r="G60" s="70">
        <f t="shared" si="11"/>
        <v>0</v>
      </c>
      <c r="I60" s="70">
        <f t="shared" si="12"/>
        <v>0</v>
      </c>
      <c r="J60" s="70">
        <f t="shared" si="13"/>
        <v>0</v>
      </c>
      <c r="K60" s="70">
        <f t="shared" si="14"/>
        <v>0</v>
      </c>
      <c r="M60" s="70">
        <f t="shared" si="15"/>
        <v>0</v>
      </c>
      <c r="N60" s="70">
        <f t="shared" si="16"/>
        <v>0</v>
      </c>
      <c r="O60" s="70">
        <f t="shared" si="17"/>
        <v>0</v>
      </c>
      <c r="P60" s="70"/>
      <c r="Q60" s="70"/>
      <c r="R60" s="44"/>
      <c r="S60" s="44"/>
      <c r="T60" s="44"/>
      <c r="U60" s="44"/>
      <c r="V60" s="44"/>
      <c r="W60" s="44"/>
      <c r="X60" s="44"/>
    </row>
    <row r="61" spans="1:24" ht="15.75" customHeight="1" x14ac:dyDescent="0.3">
      <c r="A61" s="69">
        <f>'Sessional + End Term Assessment'!A62</f>
        <v>55</v>
      </c>
      <c r="B61" s="78">
        <f>'Sessional + End Term Assessment'!B62</f>
        <v>0</v>
      </c>
      <c r="C61" s="78">
        <f>'Sessional + End Term Assessment'!C62</f>
        <v>0</v>
      </c>
      <c r="D61" s="77"/>
      <c r="E61" s="70">
        <f t="shared" si="9"/>
        <v>0</v>
      </c>
      <c r="F61" s="70">
        <f t="shared" si="10"/>
        <v>0</v>
      </c>
      <c r="G61" s="70">
        <f t="shared" si="11"/>
        <v>0</v>
      </c>
      <c r="H61" s="77"/>
      <c r="I61" s="70">
        <f t="shared" si="12"/>
        <v>0</v>
      </c>
      <c r="J61" s="70">
        <f t="shared" si="13"/>
        <v>0</v>
      </c>
      <c r="K61" s="70">
        <f t="shared" si="14"/>
        <v>0</v>
      </c>
      <c r="L61" s="77"/>
      <c r="M61" s="70">
        <f t="shared" si="15"/>
        <v>0</v>
      </c>
      <c r="N61" s="70">
        <f t="shared" si="16"/>
        <v>0</v>
      </c>
      <c r="O61" s="70">
        <f t="shared" si="17"/>
        <v>0</v>
      </c>
      <c r="P61" s="70"/>
      <c r="Q61" s="70"/>
      <c r="R61" s="44"/>
      <c r="S61" s="44"/>
      <c r="T61" s="44"/>
      <c r="U61" s="44"/>
      <c r="V61" s="44"/>
      <c r="W61" s="44"/>
      <c r="X61" s="44"/>
    </row>
    <row r="62" spans="1:24" ht="15.75" customHeight="1" x14ac:dyDescent="0.3">
      <c r="A62" s="69">
        <f>'Sessional + End Term Assessment'!A63</f>
        <v>56</v>
      </c>
      <c r="B62" s="78">
        <f>'Sessional + End Term Assessment'!B63</f>
        <v>0</v>
      </c>
      <c r="C62" s="78">
        <f>'Sessional + End Term Assessment'!C63</f>
        <v>0</v>
      </c>
      <c r="D62" s="77"/>
      <c r="E62" s="70">
        <f t="shared" si="9"/>
        <v>0</v>
      </c>
      <c r="F62" s="70">
        <f t="shared" si="10"/>
        <v>0</v>
      </c>
      <c r="G62" s="70">
        <f t="shared" si="11"/>
        <v>0</v>
      </c>
      <c r="H62" s="77"/>
      <c r="I62" s="70">
        <f t="shared" si="12"/>
        <v>0</v>
      </c>
      <c r="J62" s="70">
        <f t="shared" si="13"/>
        <v>0</v>
      </c>
      <c r="K62" s="70">
        <f t="shared" si="14"/>
        <v>0</v>
      </c>
      <c r="L62" s="77"/>
      <c r="M62" s="70">
        <f t="shared" si="15"/>
        <v>0</v>
      </c>
      <c r="N62" s="70">
        <f t="shared" si="16"/>
        <v>0</v>
      </c>
      <c r="O62" s="70">
        <f t="shared" si="17"/>
        <v>0</v>
      </c>
      <c r="P62" s="70"/>
      <c r="Q62" s="70"/>
      <c r="R62" s="44"/>
      <c r="S62" s="44"/>
      <c r="T62" s="44"/>
      <c r="U62" s="44"/>
      <c r="V62" s="44"/>
      <c r="W62" s="44"/>
      <c r="X62" s="44"/>
    </row>
    <row r="63" spans="1:24" ht="15.75" customHeight="1" x14ac:dyDescent="0.3">
      <c r="A63" s="69">
        <f>'Sessional + End Term Assessment'!A64</f>
        <v>57</v>
      </c>
      <c r="B63" s="78">
        <f>'Sessional + End Term Assessment'!B64</f>
        <v>0</v>
      </c>
      <c r="C63" s="78">
        <f>'Sessional + End Term Assessment'!C64</f>
        <v>0</v>
      </c>
      <c r="E63" s="70">
        <f t="shared" si="9"/>
        <v>0</v>
      </c>
      <c r="F63" s="70">
        <f t="shared" si="10"/>
        <v>0</v>
      </c>
      <c r="G63" s="70">
        <f t="shared" si="11"/>
        <v>0</v>
      </c>
      <c r="I63" s="70">
        <f t="shared" si="12"/>
        <v>0</v>
      </c>
      <c r="J63" s="70">
        <f t="shared" si="13"/>
        <v>0</v>
      </c>
      <c r="K63" s="70">
        <f t="shared" si="14"/>
        <v>0</v>
      </c>
      <c r="M63" s="70">
        <f t="shared" si="15"/>
        <v>0</v>
      </c>
      <c r="N63" s="70">
        <f t="shared" si="16"/>
        <v>0</v>
      </c>
      <c r="O63" s="70">
        <f t="shared" si="17"/>
        <v>0</v>
      </c>
      <c r="P63" s="70"/>
      <c r="Q63" s="70"/>
      <c r="R63" s="44"/>
      <c r="S63" s="44"/>
      <c r="T63" s="44"/>
      <c r="U63" s="44"/>
      <c r="V63" s="44"/>
      <c r="W63" s="44"/>
      <c r="X63" s="44"/>
    </row>
    <row r="64" spans="1:24" ht="15.75" customHeight="1" x14ac:dyDescent="0.3">
      <c r="A64" s="69">
        <f>'Sessional + End Term Assessment'!A65</f>
        <v>58</v>
      </c>
      <c r="B64" s="78">
        <f>'Sessional + End Term Assessment'!B65</f>
        <v>0</v>
      </c>
      <c r="C64" s="78">
        <f>'Sessional + End Term Assessment'!C65</f>
        <v>0</v>
      </c>
      <c r="D64" s="77"/>
      <c r="E64" s="70">
        <f t="shared" si="9"/>
        <v>0</v>
      </c>
      <c r="F64" s="70">
        <f t="shared" si="10"/>
        <v>0</v>
      </c>
      <c r="G64" s="70">
        <f t="shared" si="11"/>
        <v>0</v>
      </c>
      <c r="H64" s="77"/>
      <c r="I64" s="70">
        <f t="shared" si="12"/>
        <v>0</v>
      </c>
      <c r="J64" s="70">
        <f t="shared" si="13"/>
        <v>0</v>
      </c>
      <c r="K64" s="70">
        <f t="shared" si="14"/>
        <v>0</v>
      </c>
      <c r="L64" s="77"/>
      <c r="M64" s="70">
        <f t="shared" si="15"/>
        <v>0</v>
      </c>
      <c r="N64" s="70">
        <f t="shared" si="16"/>
        <v>0</v>
      </c>
      <c r="O64" s="70">
        <f t="shared" si="17"/>
        <v>0</v>
      </c>
      <c r="P64" s="70"/>
      <c r="Q64" s="70"/>
      <c r="R64" s="44"/>
      <c r="S64" s="44"/>
      <c r="T64" s="44"/>
      <c r="U64" s="44"/>
      <c r="V64" s="44"/>
      <c r="W64" s="44"/>
      <c r="X64" s="44"/>
    </row>
    <row r="65" spans="1:24" ht="15.75" customHeight="1" x14ac:dyDescent="0.3">
      <c r="A65" s="69">
        <f>'Sessional + End Term Assessment'!A66</f>
        <v>59</v>
      </c>
      <c r="B65" s="78">
        <f>'Sessional + End Term Assessment'!B66</f>
        <v>0</v>
      </c>
      <c r="C65" s="78">
        <f>'Sessional + End Term Assessment'!C66</f>
        <v>0</v>
      </c>
      <c r="D65" s="77"/>
      <c r="E65" s="70">
        <f t="shared" ref="E65:E66" si="18">IF(D65&gt;=($D$6*0.7),1,0)</f>
        <v>0</v>
      </c>
      <c r="F65" s="70">
        <f t="shared" ref="F65:F66" si="19">IF(D65&gt;=($D$6*0.8),1,0)</f>
        <v>0</v>
      </c>
      <c r="G65" s="70">
        <f t="shared" ref="G65:G66" si="20">IF(D65&gt;=($D$6*0.9),1,0)</f>
        <v>0</v>
      </c>
      <c r="H65" s="77"/>
      <c r="I65" s="70">
        <f t="shared" ref="I65:I66" si="21">IF(H65&gt;=($H$6*0.7),1,0)</f>
        <v>0</v>
      </c>
      <c r="J65" s="70">
        <f t="shared" ref="J65:J66" si="22">IF(H65&gt;=($H$6*0.7),1,0)</f>
        <v>0</v>
      </c>
      <c r="K65" s="70">
        <f t="shared" ref="K65:K66" si="23">IF(H65&gt;=($H$6*0.9),1,0)</f>
        <v>0</v>
      </c>
      <c r="L65" s="77"/>
      <c r="M65" s="70">
        <f t="shared" ref="M65:M66" si="24">IF(L65&gt;=($L$6*0.7),1,0)</f>
        <v>0</v>
      </c>
      <c r="N65" s="70">
        <f t="shared" ref="N65:N66" si="25">IF(L65&gt;=($L$6*0.8),1,0)</f>
        <v>0</v>
      </c>
      <c r="O65" s="70">
        <f t="shared" ref="O65:O66" si="26">IF(L65&gt;=($L$6*0.9),1,0)</f>
        <v>0</v>
      </c>
      <c r="P65" s="70"/>
      <c r="Q65" s="70"/>
      <c r="R65" s="44"/>
      <c r="S65" s="44"/>
      <c r="T65" s="44"/>
      <c r="U65" s="44"/>
      <c r="V65" s="44"/>
      <c r="W65" s="44"/>
      <c r="X65" s="44"/>
    </row>
    <row r="66" spans="1:24" ht="15.75" customHeight="1" x14ac:dyDescent="0.3">
      <c r="A66" s="69">
        <f>'Sessional + End Term Assessment'!A67</f>
        <v>60</v>
      </c>
      <c r="B66" s="78">
        <f>'Sessional + End Term Assessment'!B67</f>
        <v>0</v>
      </c>
      <c r="C66" s="78">
        <f>'Sessional + End Term Assessment'!C67</f>
        <v>0</v>
      </c>
      <c r="E66" s="70">
        <f t="shared" si="18"/>
        <v>0</v>
      </c>
      <c r="F66" s="70">
        <f t="shared" si="19"/>
        <v>0</v>
      </c>
      <c r="G66" s="70">
        <f t="shared" si="20"/>
        <v>0</v>
      </c>
      <c r="I66" s="70">
        <f t="shared" si="21"/>
        <v>0</v>
      </c>
      <c r="J66" s="70">
        <f t="shared" si="22"/>
        <v>0</v>
      </c>
      <c r="K66" s="70">
        <f t="shared" si="23"/>
        <v>0</v>
      </c>
      <c r="M66" s="70">
        <f t="shared" si="24"/>
        <v>0</v>
      </c>
      <c r="N66" s="70">
        <f t="shared" si="25"/>
        <v>0</v>
      </c>
      <c r="O66" s="70">
        <f t="shared" si="26"/>
        <v>0</v>
      </c>
      <c r="P66" s="70"/>
      <c r="Q66" s="70"/>
      <c r="R66" s="44"/>
      <c r="S66" s="44"/>
      <c r="T66" s="44"/>
      <c r="U66" s="44"/>
      <c r="V66" s="44"/>
      <c r="W66" s="44"/>
      <c r="X66" s="44"/>
    </row>
    <row r="67" spans="1:24" ht="15.75" customHeight="1" x14ac:dyDescent="0.25">
      <c r="A67" s="71"/>
      <c r="B67" s="71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 spans="1:24" ht="15.75" customHeight="1" x14ac:dyDescent="0.25">
      <c r="A68" s="71"/>
      <c r="B68" s="71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 spans="1:24" ht="15.75" customHeight="1" x14ac:dyDescent="0.25">
      <c r="A69" s="71"/>
      <c r="B69" s="71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 spans="1:24" ht="15.75" customHeight="1" x14ac:dyDescent="0.25">
      <c r="A70" s="71"/>
      <c r="B70" s="71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 spans="1:24" ht="15.75" customHeight="1" x14ac:dyDescent="0.25">
      <c r="A71" s="71"/>
      <c r="B71" s="71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 spans="1:24" ht="15.75" customHeight="1" x14ac:dyDescent="0.25">
      <c r="A72" s="71"/>
      <c r="B72" s="71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 spans="1:24" ht="15.75" customHeight="1" x14ac:dyDescent="0.25">
      <c r="A73" s="71"/>
      <c r="B73" s="71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 spans="1:24" ht="15.75" customHeight="1" x14ac:dyDescent="0.25">
      <c r="A74" s="71"/>
      <c r="B74" s="71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 spans="1:24" ht="15.75" customHeight="1" x14ac:dyDescent="0.25">
      <c r="A75" s="71"/>
      <c r="B75" s="71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 spans="1:24" ht="15.75" customHeight="1" x14ac:dyDescent="0.2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 spans="1:24" ht="15.75" customHeight="1" x14ac:dyDescent="0.2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spans="1:24" ht="15.75" customHeight="1" x14ac:dyDescent="0.25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 spans="1:24" ht="15.75" customHeight="1" x14ac:dyDescent="0.25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 spans="1:24" ht="15.75" customHeight="1" x14ac:dyDescent="0.25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 spans="1:24" ht="15.75" customHeight="1" x14ac:dyDescent="0.2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 spans="1:24" ht="15.75" customHeight="1" x14ac:dyDescent="0.2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 spans="1:24" ht="15.75" customHeight="1" x14ac:dyDescent="0.25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 spans="1:24" ht="15.75" customHeight="1" x14ac:dyDescent="0.25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 spans="1:24" ht="15.75" customHeight="1" x14ac:dyDescent="0.2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 spans="1:24" ht="15.75" customHeight="1" x14ac:dyDescent="0.2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 spans="1:24" ht="15.75" customHeight="1" x14ac:dyDescent="0.25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 spans="1:24" ht="15.75" customHeight="1" x14ac:dyDescent="0.25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 spans="1:24" ht="15.75" customHeight="1" x14ac:dyDescent="0.2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 spans="1:24" ht="15.75" customHeight="1" x14ac:dyDescent="0.2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 spans="1:24" ht="15.75" customHeight="1" x14ac:dyDescent="0.2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 spans="1:24" ht="15.75" customHeight="1" x14ac:dyDescent="0.2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 spans="1:24" ht="15.75" customHeight="1" x14ac:dyDescent="0.25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 spans="1:24" ht="15.75" customHeight="1" x14ac:dyDescent="0.2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 spans="1:24" ht="15.75" customHeight="1" x14ac:dyDescent="0.2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 spans="1:24" ht="15.75" customHeight="1" x14ac:dyDescent="0.2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 spans="1:24" ht="15.75" customHeight="1" x14ac:dyDescent="0.2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 spans="1:24" ht="15.75" customHeight="1" x14ac:dyDescent="0.2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 spans="1:24" ht="15.75" customHeight="1" x14ac:dyDescent="0.2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 spans="1:24" ht="15.75" customHeight="1" x14ac:dyDescent="0.2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 spans="1:24" ht="15.75" customHeight="1" x14ac:dyDescent="0.2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 spans="1:24" ht="15.75" customHeight="1" x14ac:dyDescent="0.2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 spans="1:24" ht="15.75" customHeight="1" x14ac:dyDescent="0.2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 spans="1:24" ht="15.75" customHeight="1" x14ac:dyDescent="0.2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 spans="1:24" ht="15.75" customHeight="1" x14ac:dyDescent="0.2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 spans="1:24" ht="15.75" customHeight="1" x14ac:dyDescent="0.2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 spans="1:24" ht="15.75" customHeight="1" x14ac:dyDescent="0.2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 spans="1:24" ht="15.75" customHeight="1" x14ac:dyDescent="0.2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 spans="1:24" ht="15.75" customHeight="1" x14ac:dyDescent="0.2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 spans="1:24" ht="15.75" customHeight="1" x14ac:dyDescent="0.2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 spans="1:24" ht="15.75" customHeight="1" x14ac:dyDescent="0.2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 spans="1:24" ht="15.75" customHeight="1" x14ac:dyDescent="0.2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 spans="1:24" ht="15.75" customHeight="1" x14ac:dyDescent="0.2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 spans="1:24" ht="15.75" customHeight="1" x14ac:dyDescent="0.2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 spans="1:24" ht="15.75" customHeight="1" x14ac:dyDescent="0.2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 spans="1:24" ht="15.75" customHeight="1" x14ac:dyDescent="0.2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 spans="1:24" ht="15.75" customHeight="1" x14ac:dyDescent="0.2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 spans="1:24" ht="15.75" customHeight="1" x14ac:dyDescent="0.2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 spans="1:24" ht="15.75" customHeight="1" x14ac:dyDescent="0.2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 spans="1:24" ht="15.75" customHeight="1" x14ac:dyDescent="0.2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 spans="1:24" ht="15.75" customHeight="1" x14ac:dyDescent="0.2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</row>
    <row r="122" spans="1:24" ht="15.75" customHeight="1" x14ac:dyDescent="0.2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 spans="1:24" ht="15.75" customHeight="1" x14ac:dyDescent="0.2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 spans="1:24" ht="15.75" customHeight="1" x14ac:dyDescent="0.2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 spans="1:24" ht="15.75" customHeight="1" x14ac:dyDescent="0.25"/>
    <row r="126" spans="1:24" ht="15.75" customHeight="1" x14ac:dyDescent="0.25"/>
    <row r="127" spans="1:24" ht="15.75" customHeight="1" x14ac:dyDescent="0.25"/>
    <row r="128" spans="1:2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</sheetData>
  <mergeCells count="16">
    <mergeCell ref="K5:K6"/>
    <mergeCell ref="M5:M6"/>
    <mergeCell ref="N5:N6"/>
    <mergeCell ref="A1:R1"/>
    <mergeCell ref="A2:R2"/>
    <mergeCell ref="A3:R3"/>
    <mergeCell ref="A4:A6"/>
    <mergeCell ref="B4:B6"/>
    <mergeCell ref="D4:Q4"/>
    <mergeCell ref="R4:R5"/>
    <mergeCell ref="O5:O6"/>
    <mergeCell ref="E5:E6"/>
    <mergeCell ref="F5:F6"/>
    <mergeCell ref="G5:G6"/>
    <mergeCell ref="I5:I6"/>
    <mergeCell ref="J5:J6"/>
  </mergeCells>
  <phoneticPr fontId="32" type="noConversion"/>
  <conditionalFormatting sqref="E7:G66 M7:O66">
    <cfRule type="cellIs" dxfId="7" priority="1" operator="equal">
      <formula>0</formula>
    </cfRule>
  </conditionalFormatting>
  <conditionalFormatting sqref="I7:K66">
    <cfRule type="cellIs" dxfId="6" priority="5" operator="equal">
      <formula>0</formula>
    </cfRule>
  </conditionalFormatting>
  <conditionalFormatting sqref="U7:U36">
    <cfRule type="cellIs" dxfId="5" priority="2" operator="greaterThan">
      <formula>14</formula>
    </cfRule>
  </conditionalFormatting>
  <pageMargins left="0.7" right="0.7" top="0.75" bottom="0.75" header="0" footer="0"/>
  <pageSetup paperSize="9" orientation="landscape" r:id="rId1"/>
  <rowBreaks count="1" manualBreakCount="1">
    <brk id="3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26"/>
  <sheetViews>
    <sheetView topLeftCell="A49" workbookViewId="0">
      <selection activeCell="H59" sqref="H59"/>
    </sheetView>
  </sheetViews>
  <sheetFormatPr defaultColWidth="12.59765625" defaultRowHeight="15" customHeight="1" x14ac:dyDescent="0.25"/>
  <cols>
    <col min="1" max="1" width="8.8984375" customWidth="1"/>
    <col min="2" max="2" width="12.69921875" customWidth="1"/>
    <col min="3" max="3" width="27.8984375" customWidth="1"/>
    <col min="4" max="4" width="9.19921875" customWidth="1"/>
    <col min="5" max="5" width="10.8984375" customWidth="1"/>
    <col min="6" max="25" width="8.8984375" customWidth="1"/>
    <col min="26" max="26" width="12.69921875" customWidth="1"/>
  </cols>
  <sheetData>
    <row r="1" spans="1:26" ht="21" customHeight="1" x14ac:dyDescent="0.35">
      <c r="A1" s="118" t="s">
        <v>69</v>
      </c>
      <c r="B1" s="118"/>
      <c r="C1" s="118"/>
      <c r="D1" s="118"/>
      <c r="E1" s="118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69" customHeight="1" thickBot="1" x14ac:dyDescent="0.35">
      <c r="A2" s="59" t="s">
        <v>70</v>
      </c>
      <c r="B2" s="59" t="s">
        <v>71</v>
      </c>
      <c r="C2" s="59" t="s">
        <v>72</v>
      </c>
      <c r="D2" s="60" t="s">
        <v>73</v>
      </c>
      <c r="E2" s="60" t="s">
        <v>74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5.75" customHeight="1" thickBot="1" x14ac:dyDescent="0.35">
      <c r="A3" s="64">
        <f>'Sessional + End Term Assessment'!A8</f>
        <v>1</v>
      </c>
      <c r="B3" s="78">
        <f>'Sessional + End Term Assessment'!B8</f>
        <v>0</v>
      </c>
      <c r="C3" s="78">
        <f>'Sessional + End Term Assessment'!C8</f>
        <v>0</v>
      </c>
      <c r="D3" s="62">
        <f>'MID Term 1'!R7</f>
        <v>0</v>
      </c>
      <c r="E3" s="63" t="str">
        <f>IF(D3&lt;=30,"Y","N")</f>
        <v>Y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customHeight="1" thickBot="1" x14ac:dyDescent="0.35">
      <c r="A4" s="64">
        <f>'Sessional + End Term Assessment'!A9</f>
        <v>2</v>
      </c>
      <c r="B4" s="78">
        <f>'Sessional + End Term Assessment'!B9</f>
        <v>0</v>
      </c>
      <c r="C4" s="78">
        <f>'Sessional + End Term Assessment'!C9</f>
        <v>0</v>
      </c>
      <c r="D4" s="62">
        <f>'MID Term 1'!R8</f>
        <v>0</v>
      </c>
      <c r="E4" s="63" t="str">
        <f t="shared" ref="E4:E32" si="0">IF(D4&lt;=30,"Y","N")</f>
        <v>Y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thickBot="1" x14ac:dyDescent="0.35">
      <c r="A5" s="64">
        <f>'Sessional + End Term Assessment'!A10</f>
        <v>3</v>
      </c>
      <c r="B5" s="78">
        <f>'Sessional + End Term Assessment'!B10</f>
        <v>0</v>
      </c>
      <c r="C5" s="78">
        <f>'Sessional + End Term Assessment'!C10</f>
        <v>0</v>
      </c>
      <c r="D5" s="62">
        <f>'MID Term 1'!R9</f>
        <v>0</v>
      </c>
      <c r="E5" s="63" t="str">
        <f t="shared" si="0"/>
        <v>Y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thickBot="1" x14ac:dyDescent="0.35">
      <c r="A6" s="64">
        <f>'Sessional + End Term Assessment'!A11</f>
        <v>4</v>
      </c>
      <c r="B6" s="78">
        <f>'Sessional + End Term Assessment'!B11</f>
        <v>0</v>
      </c>
      <c r="C6" s="78">
        <f>'Sessional + End Term Assessment'!C11</f>
        <v>0</v>
      </c>
      <c r="D6" s="62">
        <f>'MID Term 1'!R10</f>
        <v>0</v>
      </c>
      <c r="E6" s="63" t="str">
        <f t="shared" si="0"/>
        <v>Y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thickBot="1" x14ac:dyDescent="0.35">
      <c r="A7" s="64">
        <f>'Sessional + End Term Assessment'!A12</f>
        <v>5</v>
      </c>
      <c r="B7" s="78">
        <f>'Sessional + End Term Assessment'!B12</f>
        <v>0</v>
      </c>
      <c r="C7" s="78">
        <f>'Sessional + End Term Assessment'!C12</f>
        <v>0</v>
      </c>
      <c r="D7" s="62">
        <f>'MID Term 1'!R11</f>
        <v>0</v>
      </c>
      <c r="E7" s="63" t="str">
        <f t="shared" si="0"/>
        <v>Y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thickBot="1" x14ac:dyDescent="0.35">
      <c r="A8" s="64">
        <f>'Sessional + End Term Assessment'!A13</f>
        <v>6</v>
      </c>
      <c r="B8" s="78">
        <f>'Sessional + End Term Assessment'!B13</f>
        <v>0</v>
      </c>
      <c r="C8" s="78">
        <f>'Sessional + End Term Assessment'!C13</f>
        <v>0</v>
      </c>
      <c r="D8" s="62">
        <f>'MID Term 1'!R12</f>
        <v>0</v>
      </c>
      <c r="E8" s="63" t="str">
        <f t="shared" si="0"/>
        <v>Y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5.75" customHeight="1" thickBot="1" x14ac:dyDescent="0.35">
      <c r="A9" s="64">
        <f>'Sessional + End Term Assessment'!A14</f>
        <v>7</v>
      </c>
      <c r="B9" s="78">
        <f>'Sessional + End Term Assessment'!B14</f>
        <v>0</v>
      </c>
      <c r="C9" s="78">
        <f>'Sessional + End Term Assessment'!C14</f>
        <v>0</v>
      </c>
      <c r="D9" s="62">
        <f>'MID Term 1'!R13</f>
        <v>0</v>
      </c>
      <c r="E9" s="63" t="str">
        <f t="shared" si="0"/>
        <v>Y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5.75" customHeight="1" thickBot="1" x14ac:dyDescent="0.35">
      <c r="A10" s="64">
        <f>'Sessional + End Term Assessment'!A15</f>
        <v>8</v>
      </c>
      <c r="B10" s="78">
        <f>'Sessional + End Term Assessment'!B15</f>
        <v>0</v>
      </c>
      <c r="C10" s="78">
        <f>'Sessional + End Term Assessment'!C15</f>
        <v>0</v>
      </c>
      <c r="D10" s="62">
        <f>'MID Term 1'!R14</f>
        <v>0</v>
      </c>
      <c r="E10" s="63" t="str">
        <f t="shared" si="0"/>
        <v>Y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5.75" customHeight="1" thickBot="1" x14ac:dyDescent="0.35">
      <c r="A11" s="64">
        <f>'Sessional + End Term Assessment'!A16</f>
        <v>9</v>
      </c>
      <c r="B11" s="78">
        <f>'Sessional + End Term Assessment'!B16</f>
        <v>0</v>
      </c>
      <c r="C11" s="78">
        <f>'Sessional + End Term Assessment'!C16</f>
        <v>0</v>
      </c>
      <c r="D11" s="62">
        <f>'MID Term 1'!R15</f>
        <v>0</v>
      </c>
      <c r="E11" s="63" t="str">
        <f t="shared" si="0"/>
        <v>Y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5.75" customHeight="1" thickBot="1" x14ac:dyDescent="0.35">
      <c r="A12" s="64">
        <f>'Sessional + End Term Assessment'!A17</f>
        <v>10</v>
      </c>
      <c r="B12" s="78">
        <f>'Sessional + End Term Assessment'!B17</f>
        <v>0</v>
      </c>
      <c r="C12" s="78">
        <f>'Sessional + End Term Assessment'!C17</f>
        <v>0</v>
      </c>
      <c r="D12" s="62">
        <f>'MID Term 1'!R16</f>
        <v>0</v>
      </c>
      <c r="E12" s="63" t="str">
        <f t="shared" si="0"/>
        <v>Y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5.75" customHeight="1" thickBot="1" x14ac:dyDescent="0.35">
      <c r="A13" s="64">
        <f>'Sessional + End Term Assessment'!A18</f>
        <v>11</v>
      </c>
      <c r="B13" s="78">
        <f>'Sessional + End Term Assessment'!B18</f>
        <v>0</v>
      </c>
      <c r="C13" s="78">
        <f>'Sessional + End Term Assessment'!C18</f>
        <v>0</v>
      </c>
      <c r="D13" s="62">
        <f>'MID Term 1'!R17</f>
        <v>0</v>
      </c>
      <c r="E13" s="63" t="str">
        <f t="shared" si="0"/>
        <v>Y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 thickBot="1" x14ac:dyDescent="0.35">
      <c r="A14" s="64">
        <f>'Sessional + End Term Assessment'!A19</f>
        <v>12</v>
      </c>
      <c r="B14" s="78">
        <f>'Sessional + End Term Assessment'!B19</f>
        <v>0</v>
      </c>
      <c r="C14" s="78">
        <f>'Sessional + End Term Assessment'!C19</f>
        <v>0</v>
      </c>
      <c r="D14" s="62">
        <f>'MID Term 1'!R18</f>
        <v>0</v>
      </c>
      <c r="E14" s="63" t="str">
        <f t="shared" si="0"/>
        <v>Y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 thickBot="1" x14ac:dyDescent="0.35">
      <c r="A15" s="64">
        <f>'Sessional + End Term Assessment'!A20</f>
        <v>13</v>
      </c>
      <c r="B15" s="78">
        <f>'Sessional + End Term Assessment'!B20</f>
        <v>0</v>
      </c>
      <c r="C15" s="78">
        <f>'Sessional + End Term Assessment'!C20</f>
        <v>0</v>
      </c>
      <c r="D15" s="62">
        <f>'MID Term 1'!R19</f>
        <v>0</v>
      </c>
      <c r="E15" s="63" t="str">
        <f t="shared" si="0"/>
        <v>Y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 thickBot="1" x14ac:dyDescent="0.35">
      <c r="A16" s="64">
        <f>'Sessional + End Term Assessment'!A21</f>
        <v>14</v>
      </c>
      <c r="B16" s="78">
        <f>'Sessional + End Term Assessment'!B21</f>
        <v>0</v>
      </c>
      <c r="C16" s="78">
        <f>'Sessional + End Term Assessment'!C21</f>
        <v>0</v>
      </c>
      <c r="D16" s="62">
        <f>'MID Term 1'!R20</f>
        <v>0</v>
      </c>
      <c r="E16" s="63" t="str">
        <f t="shared" si="0"/>
        <v>Y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thickBot="1" x14ac:dyDescent="0.35">
      <c r="A17" s="64">
        <f>'Sessional + End Term Assessment'!A22</f>
        <v>15</v>
      </c>
      <c r="B17" s="78">
        <f>'Sessional + End Term Assessment'!B22</f>
        <v>0</v>
      </c>
      <c r="C17" s="78">
        <f>'Sessional + End Term Assessment'!C22</f>
        <v>0</v>
      </c>
      <c r="D17" s="62">
        <f>'MID Term 1'!R21</f>
        <v>0</v>
      </c>
      <c r="E17" s="63" t="str">
        <f t="shared" si="0"/>
        <v>Y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thickBot="1" x14ac:dyDescent="0.35">
      <c r="A18" s="64">
        <f>'Sessional + End Term Assessment'!A23</f>
        <v>16</v>
      </c>
      <c r="B18" s="78">
        <f>'Sessional + End Term Assessment'!B23</f>
        <v>0</v>
      </c>
      <c r="C18" s="78">
        <f>'Sessional + End Term Assessment'!C23</f>
        <v>0</v>
      </c>
      <c r="D18" s="62">
        <f>'MID Term 1'!R22</f>
        <v>0</v>
      </c>
      <c r="E18" s="63" t="str">
        <f t="shared" si="0"/>
        <v>Y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thickBot="1" x14ac:dyDescent="0.35">
      <c r="A19" s="64">
        <f>'Sessional + End Term Assessment'!A24</f>
        <v>17</v>
      </c>
      <c r="B19" s="78">
        <f>'Sessional + End Term Assessment'!B24</f>
        <v>0</v>
      </c>
      <c r="C19" s="78">
        <f>'Sessional + End Term Assessment'!C24</f>
        <v>0</v>
      </c>
      <c r="D19" s="62">
        <f>'MID Term 1'!R23</f>
        <v>0</v>
      </c>
      <c r="E19" s="63" t="str">
        <f t="shared" si="0"/>
        <v>Y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thickBot="1" x14ac:dyDescent="0.35">
      <c r="A20" s="64">
        <f>'Sessional + End Term Assessment'!A25</f>
        <v>18</v>
      </c>
      <c r="B20" s="78">
        <f>'Sessional + End Term Assessment'!B25</f>
        <v>0</v>
      </c>
      <c r="C20" s="78">
        <f>'Sessional + End Term Assessment'!C25</f>
        <v>0</v>
      </c>
      <c r="D20" s="62">
        <f>'MID Term 1'!R24</f>
        <v>0</v>
      </c>
      <c r="E20" s="63" t="str">
        <f t="shared" si="0"/>
        <v>Y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thickBot="1" x14ac:dyDescent="0.35">
      <c r="A21" s="64">
        <f>'Sessional + End Term Assessment'!A26</f>
        <v>19</v>
      </c>
      <c r="B21" s="78">
        <f>'Sessional + End Term Assessment'!B26</f>
        <v>0</v>
      </c>
      <c r="C21" s="78">
        <f>'Sessional + End Term Assessment'!C26</f>
        <v>0</v>
      </c>
      <c r="D21" s="62">
        <f>'MID Term 1'!R25</f>
        <v>0</v>
      </c>
      <c r="E21" s="63" t="str">
        <f t="shared" si="0"/>
        <v>Y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thickBot="1" x14ac:dyDescent="0.35">
      <c r="A22" s="64">
        <f>'Sessional + End Term Assessment'!A27</f>
        <v>20</v>
      </c>
      <c r="B22" s="78">
        <f>'Sessional + End Term Assessment'!B27</f>
        <v>0</v>
      </c>
      <c r="C22" s="78">
        <f>'Sessional + End Term Assessment'!C27</f>
        <v>0</v>
      </c>
      <c r="D22" s="62">
        <f>'MID Term 1'!R26</f>
        <v>0</v>
      </c>
      <c r="E22" s="63" t="str">
        <f t="shared" si="0"/>
        <v>Y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thickBot="1" x14ac:dyDescent="0.35">
      <c r="A23" s="64">
        <f>'Sessional + End Term Assessment'!A28</f>
        <v>21</v>
      </c>
      <c r="B23" s="78">
        <f>'Sessional + End Term Assessment'!B28</f>
        <v>0</v>
      </c>
      <c r="C23" s="78">
        <f>'Sessional + End Term Assessment'!C28</f>
        <v>0</v>
      </c>
      <c r="D23" s="62">
        <f>'MID Term 1'!R27</f>
        <v>0</v>
      </c>
      <c r="E23" s="63" t="str">
        <f t="shared" si="0"/>
        <v>Y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thickBot="1" x14ac:dyDescent="0.35">
      <c r="A24" s="64">
        <f>'Sessional + End Term Assessment'!A29</f>
        <v>22</v>
      </c>
      <c r="B24" s="78">
        <f>'Sessional + End Term Assessment'!B29</f>
        <v>0</v>
      </c>
      <c r="C24" s="78">
        <f>'Sessional + End Term Assessment'!C29</f>
        <v>0</v>
      </c>
      <c r="D24" s="62">
        <f>'MID Term 1'!R28</f>
        <v>0</v>
      </c>
      <c r="E24" s="63" t="str">
        <f t="shared" si="0"/>
        <v>Y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thickBot="1" x14ac:dyDescent="0.35">
      <c r="A25" s="64">
        <f>'Sessional + End Term Assessment'!A30</f>
        <v>23</v>
      </c>
      <c r="B25" s="78">
        <f>'Sessional + End Term Assessment'!B30</f>
        <v>0</v>
      </c>
      <c r="C25" s="78">
        <f>'Sessional + End Term Assessment'!C30</f>
        <v>0</v>
      </c>
      <c r="D25" s="62">
        <f>'MID Term 1'!R29</f>
        <v>0</v>
      </c>
      <c r="E25" s="63" t="str">
        <f t="shared" si="0"/>
        <v>Y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thickBot="1" x14ac:dyDescent="0.35">
      <c r="A26" s="64">
        <f>'Sessional + End Term Assessment'!A31</f>
        <v>24</v>
      </c>
      <c r="B26" s="78">
        <f>'Sessional + End Term Assessment'!B31</f>
        <v>0</v>
      </c>
      <c r="C26" s="78">
        <f>'Sessional + End Term Assessment'!C31</f>
        <v>0</v>
      </c>
      <c r="D26" s="62">
        <f>'MID Term 1'!R30</f>
        <v>0</v>
      </c>
      <c r="E26" s="63" t="str">
        <f t="shared" si="0"/>
        <v>Y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thickBot="1" x14ac:dyDescent="0.35">
      <c r="A27" s="64">
        <f>'Sessional + End Term Assessment'!A32</f>
        <v>25</v>
      </c>
      <c r="B27" s="78">
        <f>'Sessional + End Term Assessment'!B32</f>
        <v>0</v>
      </c>
      <c r="C27" s="78">
        <f>'Sessional + End Term Assessment'!C32</f>
        <v>0</v>
      </c>
      <c r="D27" s="62">
        <f>'MID Term 1'!R31</f>
        <v>0</v>
      </c>
      <c r="E27" s="63" t="str">
        <f t="shared" si="0"/>
        <v>Y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thickBot="1" x14ac:dyDescent="0.35">
      <c r="A28" s="64">
        <f>'Sessional + End Term Assessment'!A33</f>
        <v>26</v>
      </c>
      <c r="B28" s="78">
        <f>'Sessional + End Term Assessment'!B33</f>
        <v>0</v>
      </c>
      <c r="C28" s="78">
        <f>'Sessional + End Term Assessment'!C33</f>
        <v>0</v>
      </c>
      <c r="D28" s="62">
        <f>'MID Term 1'!R32</f>
        <v>0</v>
      </c>
      <c r="E28" s="63" t="str">
        <f t="shared" si="0"/>
        <v>Y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thickBot="1" x14ac:dyDescent="0.35">
      <c r="A29" s="64">
        <f>'Sessional + End Term Assessment'!A34</f>
        <v>27</v>
      </c>
      <c r="B29" s="78">
        <f>'Sessional + End Term Assessment'!B34</f>
        <v>0</v>
      </c>
      <c r="C29" s="78">
        <f>'Sessional + End Term Assessment'!C34</f>
        <v>0</v>
      </c>
      <c r="D29" s="62">
        <f>'MID Term 1'!R33</f>
        <v>0</v>
      </c>
      <c r="E29" s="63" t="str">
        <f t="shared" si="0"/>
        <v>Y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thickBot="1" x14ac:dyDescent="0.35">
      <c r="A30" s="64">
        <f>'Sessional + End Term Assessment'!A35</f>
        <v>28</v>
      </c>
      <c r="B30" s="78">
        <f>'Sessional + End Term Assessment'!B35</f>
        <v>0</v>
      </c>
      <c r="C30" s="78">
        <f>'Sessional + End Term Assessment'!C35</f>
        <v>0</v>
      </c>
      <c r="D30" s="62">
        <f>'MID Term 1'!R34</f>
        <v>0</v>
      </c>
      <c r="E30" s="63" t="str">
        <f t="shared" si="0"/>
        <v>Y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thickBot="1" x14ac:dyDescent="0.35">
      <c r="A31" s="64">
        <f>'Sessional + End Term Assessment'!A36</f>
        <v>29</v>
      </c>
      <c r="B31" s="78">
        <f>'Sessional + End Term Assessment'!B36</f>
        <v>0</v>
      </c>
      <c r="C31" s="78">
        <f>'Sessional + End Term Assessment'!C36</f>
        <v>0</v>
      </c>
      <c r="D31" s="62">
        <f>'MID Term 1'!R35</f>
        <v>0</v>
      </c>
      <c r="E31" s="63" t="str">
        <f t="shared" si="0"/>
        <v>Y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thickBot="1" x14ac:dyDescent="0.35">
      <c r="A32" s="64">
        <f>'Sessional + End Term Assessment'!A37</f>
        <v>30</v>
      </c>
      <c r="B32" s="78">
        <f>'Sessional + End Term Assessment'!B37</f>
        <v>0</v>
      </c>
      <c r="C32" s="78">
        <f>'Sessional + End Term Assessment'!C37</f>
        <v>0</v>
      </c>
      <c r="D32" s="62">
        <f>'MID Term 1'!R36</f>
        <v>0</v>
      </c>
      <c r="E32" s="63" t="str">
        <f t="shared" si="0"/>
        <v>Y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4.25" customHeight="1" thickBot="1" x14ac:dyDescent="0.35">
      <c r="A33" s="64">
        <f>'Sessional + End Term Assessment'!A38</f>
        <v>31</v>
      </c>
      <c r="B33" s="78">
        <f>'Sessional + End Term Assessment'!B38</f>
        <v>0</v>
      </c>
      <c r="C33" s="78">
        <f>'Sessional + End Term Assessment'!C38</f>
        <v>0</v>
      </c>
      <c r="D33" s="62">
        <f>'MID Term 1'!R37</f>
        <v>0</v>
      </c>
      <c r="E33" s="63" t="str">
        <f t="shared" ref="E33:E62" si="1">IF(D33&lt;=30,"Y","N")</f>
        <v>Y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4.25" customHeight="1" thickBot="1" x14ac:dyDescent="0.35">
      <c r="A34" s="64">
        <f>'Sessional + End Term Assessment'!A39</f>
        <v>32</v>
      </c>
      <c r="B34" s="78">
        <f>'Sessional + End Term Assessment'!B39</f>
        <v>0</v>
      </c>
      <c r="C34" s="78">
        <f>'Sessional + End Term Assessment'!C39</f>
        <v>0</v>
      </c>
      <c r="D34" s="62">
        <f>'MID Term 1'!R38</f>
        <v>0</v>
      </c>
      <c r="E34" s="63" t="str">
        <f t="shared" si="1"/>
        <v>Y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4.25" customHeight="1" thickBot="1" x14ac:dyDescent="0.35">
      <c r="A35" s="64">
        <f>'Sessional + End Term Assessment'!A40</f>
        <v>33</v>
      </c>
      <c r="B35" s="78">
        <f>'Sessional + End Term Assessment'!B40</f>
        <v>0</v>
      </c>
      <c r="C35" s="78">
        <f>'Sessional + End Term Assessment'!C40</f>
        <v>0</v>
      </c>
      <c r="D35" s="62">
        <f>'MID Term 1'!R39</f>
        <v>0</v>
      </c>
      <c r="E35" s="63" t="str">
        <f t="shared" si="1"/>
        <v>Y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4.25" customHeight="1" thickBot="1" x14ac:dyDescent="0.35">
      <c r="A36" s="64">
        <f>'Sessional + End Term Assessment'!A41</f>
        <v>34</v>
      </c>
      <c r="B36" s="78">
        <f>'Sessional + End Term Assessment'!B41</f>
        <v>0</v>
      </c>
      <c r="C36" s="78">
        <f>'Sessional + End Term Assessment'!C41</f>
        <v>0</v>
      </c>
      <c r="D36" s="62">
        <f>'MID Term 1'!R40</f>
        <v>0</v>
      </c>
      <c r="E36" s="63" t="str">
        <f t="shared" si="1"/>
        <v>Y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4.25" customHeight="1" thickBot="1" x14ac:dyDescent="0.35">
      <c r="A37" s="64">
        <f>'Sessional + End Term Assessment'!A42</f>
        <v>35</v>
      </c>
      <c r="B37" s="78">
        <f>'Sessional + End Term Assessment'!B42</f>
        <v>0</v>
      </c>
      <c r="C37" s="78">
        <f>'Sessional + End Term Assessment'!C42</f>
        <v>0</v>
      </c>
      <c r="D37" s="62">
        <f>'MID Term 1'!R41</f>
        <v>0</v>
      </c>
      <c r="E37" s="63" t="str">
        <f t="shared" si="1"/>
        <v>Y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4.25" customHeight="1" thickBot="1" x14ac:dyDescent="0.35">
      <c r="A38" s="64">
        <f>'Sessional + End Term Assessment'!A43</f>
        <v>36</v>
      </c>
      <c r="B38" s="78">
        <f>'Sessional + End Term Assessment'!B43</f>
        <v>0</v>
      </c>
      <c r="C38" s="78">
        <f>'Sessional + End Term Assessment'!C43</f>
        <v>0</v>
      </c>
      <c r="D38" s="62">
        <f>'MID Term 1'!R42</f>
        <v>0</v>
      </c>
      <c r="E38" s="63" t="str">
        <f t="shared" si="1"/>
        <v>Y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4.25" customHeight="1" thickBot="1" x14ac:dyDescent="0.35">
      <c r="A39" s="64">
        <f>'Sessional + End Term Assessment'!A44</f>
        <v>37</v>
      </c>
      <c r="B39" s="78">
        <f>'Sessional + End Term Assessment'!B44</f>
        <v>0</v>
      </c>
      <c r="C39" s="78">
        <f>'Sessional + End Term Assessment'!C44</f>
        <v>0</v>
      </c>
      <c r="D39" s="62">
        <f>'MID Term 1'!R43</f>
        <v>0</v>
      </c>
      <c r="E39" s="63" t="str">
        <f t="shared" si="1"/>
        <v>Y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4.25" customHeight="1" thickBot="1" x14ac:dyDescent="0.35">
      <c r="A40" s="64">
        <f>'Sessional + End Term Assessment'!A45</f>
        <v>38</v>
      </c>
      <c r="B40" s="78">
        <f>'Sessional + End Term Assessment'!B45</f>
        <v>0</v>
      </c>
      <c r="C40" s="78">
        <f>'Sessional + End Term Assessment'!C45</f>
        <v>0</v>
      </c>
      <c r="D40" s="62">
        <f>'MID Term 1'!R44</f>
        <v>0</v>
      </c>
      <c r="E40" s="63" t="str">
        <f t="shared" si="1"/>
        <v>Y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4.25" customHeight="1" thickBot="1" x14ac:dyDescent="0.35">
      <c r="A41" s="64">
        <f>'Sessional + End Term Assessment'!A46</f>
        <v>39</v>
      </c>
      <c r="B41" s="78">
        <f>'Sessional + End Term Assessment'!B46</f>
        <v>0</v>
      </c>
      <c r="C41" s="78">
        <f>'Sessional + End Term Assessment'!C46</f>
        <v>0</v>
      </c>
      <c r="D41" s="62">
        <f>'MID Term 1'!R45</f>
        <v>0</v>
      </c>
      <c r="E41" s="63" t="str">
        <f t="shared" si="1"/>
        <v>Y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4.25" customHeight="1" thickBot="1" x14ac:dyDescent="0.35">
      <c r="A42" s="64">
        <f>'Sessional + End Term Assessment'!A47</f>
        <v>40</v>
      </c>
      <c r="B42" s="78">
        <f>'Sessional + End Term Assessment'!B47</f>
        <v>0</v>
      </c>
      <c r="C42" s="78">
        <f>'Sessional + End Term Assessment'!C47</f>
        <v>0</v>
      </c>
      <c r="D42" s="62">
        <f>'MID Term 1'!R46</f>
        <v>0</v>
      </c>
      <c r="E42" s="63" t="str">
        <f t="shared" si="1"/>
        <v>Y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4.25" customHeight="1" thickBot="1" x14ac:dyDescent="0.35">
      <c r="A43" s="64">
        <f>'Sessional + End Term Assessment'!A48</f>
        <v>41</v>
      </c>
      <c r="B43" s="78">
        <f>'Sessional + End Term Assessment'!B48</f>
        <v>0</v>
      </c>
      <c r="C43" s="78">
        <f>'Sessional + End Term Assessment'!C48</f>
        <v>0</v>
      </c>
      <c r="D43" s="62">
        <f>'MID Term 1'!R47</f>
        <v>0</v>
      </c>
      <c r="E43" s="63" t="str">
        <f t="shared" si="1"/>
        <v>Y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4.25" customHeight="1" thickBot="1" x14ac:dyDescent="0.35">
      <c r="A44" s="64">
        <f>'Sessional + End Term Assessment'!A49</f>
        <v>42</v>
      </c>
      <c r="B44" s="78">
        <f>'Sessional + End Term Assessment'!B49</f>
        <v>0</v>
      </c>
      <c r="C44" s="78">
        <f>'Sessional + End Term Assessment'!C49</f>
        <v>0</v>
      </c>
      <c r="D44" s="62">
        <f>'MID Term 1'!R48</f>
        <v>0</v>
      </c>
      <c r="E44" s="63" t="str">
        <f t="shared" si="1"/>
        <v>Y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4.25" customHeight="1" thickBot="1" x14ac:dyDescent="0.35">
      <c r="A45" s="64">
        <f>'Sessional + End Term Assessment'!A50</f>
        <v>43</v>
      </c>
      <c r="B45" s="78">
        <f>'Sessional + End Term Assessment'!B50</f>
        <v>0</v>
      </c>
      <c r="C45" s="78">
        <f>'Sessional + End Term Assessment'!C50</f>
        <v>0</v>
      </c>
      <c r="D45" s="62">
        <f>'MID Term 1'!R49</f>
        <v>0</v>
      </c>
      <c r="E45" s="63" t="str">
        <f t="shared" si="1"/>
        <v>Y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4.25" customHeight="1" thickBot="1" x14ac:dyDescent="0.35">
      <c r="A46" s="64">
        <f>'Sessional + End Term Assessment'!A51</f>
        <v>44</v>
      </c>
      <c r="B46" s="78">
        <f>'Sessional + End Term Assessment'!B51</f>
        <v>0</v>
      </c>
      <c r="C46" s="78">
        <f>'Sessional + End Term Assessment'!C51</f>
        <v>0</v>
      </c>
      <c r="D46" s="62">
        <f>'MID Term 1'!R50</f>
        <v>0</v>
      </c>
      <c r="E46" s="63" t="str">
        <f t="shared" si="1"/>
        <v>Y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4.25" customHeight="1" thickBot="1" x14ac:dyDescent="0.35">
      <c r="A47" s="64">
        <f>'Sessional + End Term Assessment'!A52</f>
        <v>45</v>
      </c>
      <c r="B47" s="78">
        <f>'Sessional + End Term Assessment'!B52</f>
        <v>0</v>
      </c>
      <c r="C47" s="78">
        <f>'Sessional + End Term Assessment'!C52</f>
        <v>0</v>
      </c>
      <c r="D47" s="62">
        <f>'MID Term 1'!R51</f>
        <v>0</v>
      </c>
      <c r="E47" s="63" t="str">
        <f t="shared" si="1"/>
        <v>Y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4.25" customHeight="1" thickBot="1" x14ac:dyDescent="0.35">
      <c r="A48" s="64">
        <f>'Sessional + End Term Assessment'!A53</f>
        <v>46</v>
      </c>
      <c r="B48" s="78">
        <f>'Sessional + End Term Assessment'!B53</f>
        <v>0</v>
      </c>
      <c r="C48" s="78">
        <f>'Sessional + End Term Assessment'!C53</f>
        <v>0</v>
      </c>
      <c r="D48" s="62">
        <f>'MID Term 1'!R52</f>
        <v>0</v>
      </c>
      <c r="E48" s="63" t="str">
        <f t="shared" si="1"/>
        <v>Y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4.25" customHeight="1" thickBot="1" x14ac:dyDescent="0.35">
      <c r="A49" s="64">
        <f>'Sessional + End Term Assessment'!A54</f>
        <v>47</v>
      </c>
      <c r="B49" s="78">
        <f>'Sessional + End Term Assessment'!B54</f>
        <v>0</v>
      </c>
      <c r="C49" s="78">
        <f>'Sessional + End Term Assessment'!C54</f>
        <v>0</v>
      </c>
      <c r="D49" s="62">
        <f>'MID Term 1'!R53</f>
        <v>0</v>
      </c>
      <c r="E49" s="63" t="str">
        <f t="shared" si="1"/>
        <v>Y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4.25" customHeight="1" thickBot="1" x14ac:dyDescent="0.35">
      <c r="A50" s="64">
        <f>'Sessional + End Term Assessment'!A55</f>
        <v>48</v>
      </c>
      <c r="B50" s="78">
        <f>'Sessional + End Term Assessment'!B55</f>
        <v>0</v>
      </c>
      <c r="C50" s="78">
        <f>'Sessional + End Term Assessment'!C55</f>
        <v>0</v>
      </c>
      <c r="D50" s="62">
        <f>'MID Term 1'!R54</f>
        <v>0</v>
      </c>
      <c r="E50" s="63" t="str">
        <f t="shared" si="1"/>
        <v>Y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4.25" customHeight="1" thickBot="1" x14ac:dyDescent="0.35">
      <c r="A51" s="64">
        <f>'Sessional + End Term Assessment'!A56</f>
        <v>49</v>
      </c>
      <c r="B51" s="78">
        <f>'Sessional + End Term Assessment'!B56</f>
        <v>0</v>
      </c>
      <c r="C51" s="78">
        <f>'Sessional + End Term Assessment'!C56</f>
        <v>0</v>
      </c>
      <c r="D51" s="62">
        <f>'MID Term 1'!R55</f>
        <v>0</v>
      </c>
      <c r="E51" s="63" t="str">
        <f t="shared" si="1"/>
        <v>Y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4.25" customHeight="1" thickBot="1" x14ac:dyDescent="0.35">
      <c r="A52" s="64">
        <f>'Sessional + End Term Assessment'!A57</f>
        <v>50</v>
      </c>
      <c r="B52" s="78">
        <f>'Sessional + End Term Assessment'!B57</f>
        <v>0</v>
      </c>
      <c r="C52" s="78">
        <f>'Sessional + End Term Assessment'!C57</f>
        <v>0</v>
      </c>
      <c r="D52" s="62">
        <f>'MID Term 1'!R56</f>
        <v>0</v>
      </c>
      <c r="E52" s="63" t="str">
        <f t="shared" si="1"/>
        <v>Y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4.25" customHeight="1" thickBot="1" x14ac:dyDescent="0.35">
      <c r="A53" s="64">
        <f>'Sessional + End Term Assessment'!A58</f>
        <v>51</v>
      </c>
      <c r="B53" s="78">
        <f>'Sessional + End Term Assessment'!B58</f>
        <v>0</v>
      </c>
      <c r="C53" s="78">
        <f>'Sessional + End Term Assessment'!C58</f>
        <v>0</v>
      </c>
      <c r="D53" s="62">
        <f>'MID Term 1'!R57</f>
        <v>0</v>
      </c>
      <c r="E53" s="63" t="str">
        <f t="shared" si="1"/>
        <v>Y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4.25" customHeight="1" thickBot="1" x14ac:dyDescent="0.35">
      <c r="A54" s="64">
        <f>'Sessional + End Term Assessment'!A59</f>
        <v>52</v>
      </c>
      <c r="B54" s="78">
        <f>'Sessional + End Term Assessment'!B59</f>
        <v>0</v>
      </c>
      <c r="C54" s="78">
        <f>'Sessional + End Term Assessment'!C59</f>
        <v>0</v>
      </c>
      <c r="D54" s="62">
        <f>'MID Term 1'!R58</f>
        <v>0</v>
      </c>
      <c r="E54" s="63" t="str">
        <f t="shared" si="1"/>
        <v>Y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4.25" customHeight="1" thickBot="1" x14ac:dyDescent="0.35">
      <c r="A55" s="64">
        <f>'Sessional + End Term Assessment'!A60</f>
        <v>53</v>
      </c>
      <c r="B55" s="78">
        <f>'Sessional + End Term Assessment'!B60</f>
        <v>0</v>
      </c>
      <c r="C55" s="78">
        <f>'Sessional + End Term Assessment'!C60</f>
        <v>0</v>
      </c>
      <c r="D55" s="62">
        <f>'MID Term 1'!R59</f>
        <v>0</v>
      </c>
      <c r="E55" s="63" t="str">
        <f t="shared" si="1"/>
        <v>Y</v>
      </c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4.25" customHeight="1" thickBot="1" x14ac:dyDescent="0.35">
      <c r="A56" s="64">
        <f>'Sessional + End Term Assessment'!A61</f>
        <v>54</v>
      </c>
      <c r="B56" s="78">
        <f>'Sessional + End Term Assessment'!B61</f>
        <v>0</v>
      </c>
      <c r="C56" s="78">
        <f>'Sessional + End Term Assessment'!C61</f>
        <v>0</v>
      </c>
      <c r="D56" s="62">
        <f>'MID Term 1'!R60</f>
        <v>0</v>
      </c>
      <c r="E56" s="63" t="str">
        <f t="shared" si="1"/>
        <v>Y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4.25" customHeight="1" thickBot="1" x14ac:dyDescent="0.35">
      <c r="A57" s="64">
        <f>'Sessional + End Term Assessment'!A62</f>
        <v>55</v>
      </c>
      <c r="B57" s="78">
        <f>'Sessional + End Term Assessment'!B62</f>
        <v>0</v>
      </c>
      <c r="C57" s="78">
        <f>'Sessional + End Term Assessment'!C62</f>
        <v>0</v>
      </c>
      <c r="D57" s="62">
        <f>'MID Term 1'!R61</f>
        <v>0</v>
      </c>
      <c r="E57" s="63" t="str">
        <f t="shared" si="1"/>
        <v>Y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4.25" customHeight="1" thickBot="1" x14ac:dyDescent="0.35">
      <c r="A58" s="64">
        <f>'Sessional + End Term Assessment'!A63</f>
        <v>56</v>
      </c>
      <c r="B58" s="78">
        <f>'Sessional + End Term Assessment'!B63</f>
        <v>0</v>
      </c>
      <c r="C58" s="78">
        <f>'Sessional + End Term Assessment'!C63</f>
        <v>0</v>
      </c>
      <c r="D58" s="62">
        <f>'MID Term 1'!R62</f>
        <v>0</v>
      </c>
      <c r="E58" s="63" t="str">
        <f t="shared" si="1"/>
        <v>Y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4.25" customHeight="1" thickBot="1" x14ac:dyDescent="0.35">
      <c r="A59" s="64">
        <f>'Sessional + End Term Assessment'!A64</f>
        <v>57</v>
      </c>
      <c r="B59" s="78">
        <f>'Sessional + End Term Assessment'!B64</f>
        <v>0</v>
      </c>
      <c r="C59" s="78">
        <f>'Sessional + End Term Assessment'!C64</f>
        <v>0</v>
      </c>
      <c r="D59" s="62">
        <f>'MID Term 1'!R63</f>
        <v>0</v>
      </c>
      <c r="E59" s="63" t="str">
        <f t="shared" si="1"/>
        <v>Y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4.25" customHeight="1" thickBot="1" x14ac:dyDescent="0.35">
      <c r="A60" s="64">
        <f>'Sessional + End Term Assessment'!A65</f>
        <v>58</v>
      </c>
      <c r="B60" s="78">
        <f>'Sessional + End Term Assessment'!B65</f>
        <v>0</v>
      </c>
      <c r="C60" s="78">
        <f>'Sessional + End Term Assessment'!C65</f>
        <v>0</v>
      </c>
      <c r="D60" s="62">
        <f>'MID Term 1'!R64</f>
        <v>0</v>
      </c>
      <c r="E60" s="63" t="str">
        <f t="shared" si="1"/>
        <v>Y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4.25" customHeight="1" thickBot="1" x14ac:dyDescent="0.35">
      <c r="A61" s="64">
        <f>'Sessional + End Term Assessment'!A66</f>
        <v>59</v>
      </c>
      <c r="B61" s="78">
        <f>'Sessional + End Term Assessment'!B66</f>
        <v>0</v>
      </c>
      <c r="C61" s="78">
        <f>'Sessional + End Term Assessment'!C66</f>
        <v>0</v>
      </c>
      <c r="D61" s="62">
        <f>'MID Term 1'!R65</f>
        <v>0</v>
      </c>
      <c r="E61" s="63" t="str">
        <f t="shared" si="1"/>
        <v>Y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4.25" customHeight="1" thickBot="1" x14ac:dyDescent="0.35">
      <c r="A62" s="64">
        <f>'Sessional + End Term Assessment'!A67</f>
        <v>60</v>
      </c>
      <c r="B62" s="78">
        <f>'Sessional + End Term Assessment'!B67</f>
        <v>0</v>
      </c>
      <c r="C62" s="78">
        <f>'Sessional + End Term Assessment'!C67</f>
        <v>0</v>
      </c>
      <c r="D62" s="62">
        <f>'MID Term 1'!R66</f>
        <v>0</v>
      </c>
      <c r="E62" s="63" t="str">
        <f t="shared" si="1"/>
        <v>Y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5.75" customHeight="1" x14ac:dyDescent="0.25"/>
    <row r="64" spans="1:2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</sheetData>
  <autoFilter ref="E1:E32" xr:uid="{00000000-0009-0000-0000-000005000000}"/>
  <mergeCells count="1">
    <mergeCell ref="A1:E1"/>
  </mergeCells>
  <phoneticPr fontId="32" type="noConversion"/>
  <conditionalFormatting sqref="E3:E62">
    <cfRule type="cellIs" dxfId="4" priority="1" operator="equal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815"/>
  <sheetViews>
    <sheetView topLeftCell="A48" workbookViewId="0">
      <selection activeCell="A65" sqref="A65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27.8984375" customWidth="1"/>
    <col min="4" max="4" width="13.3984375" customWidth="1"/>
    <col min="5" max="17" width="13.19921875" customWidth="1"/>
    <col min="18" max="18" width="6.3984375" customWidth="1"/>
    <col min="19" max="30" width="8" customWidth="1"/>
  </cols>
  <sheetData>
    <row r="1" spans="1:30" ht="19.5" customHeight="1" x14ac:dyDescent="0.25">
      <c r="A1" s="84" t="str">
        <f>'CO-PO Mapping'!A1:P1</f>
        <v>DEPARTMENT OF COMPUTER SCIENCE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6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30" ht="19.5" customHeight="1" x14ac:dyDescent="0.25">
      <c r="A2" s="84" t="s">
        <v>75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6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30" ht="19.5" customHeight="1" x14ac:dyDescent="0.25">
      <c r="A3" s="84" t="str">
        <f>'CO-PO Mapping'!A3:P3</f>
        <v>II Year III Semester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6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30" ht="19.5" customHeight="1" x14ac:dyDescent="0.25">
      <c r="A4" s="80" t="s">
        <v>27</v>
      </c>
      <c r="B4" s="87" t="s">
        <v>56</v>
      </c>
      <c r="C4" s="15" t="s">
        <v>29</v>
      </c>
      <c r="D4" s="84"/>
      <c r="E4" s="85"/>
      <c r="F4" s="85"/>
      <c r="G4" s="85"/>
      <c r="H4" s="85"/>
      <c r="I4" s="85"/>
      <c r="J4" s="85"/>
      <c r="K4" s="85"/>
      <c r="L4" s="85"/>
      <c r="M4" s="85"/>
      <c r="N4" s="86"/>
      <c r="O4" s="84"/>
      <c r="P4" s="85"/>
      <c r="Q4" s="88"/>
      <c r="R4" s="80" t="s">
        <v>96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9.5" customHeight="1" x14ac:dyDescent="0.25">
      <c r="A5" s="81"/>
      <c r="B5" s="81"/>
      <c r="C5" s="15" t="s">
        <v>57</v>
      </c>
      <c r="D5" s="18" t="s">
        <v>58</v>
      </c>
      <c r="E5" s="18" t="s">
        <v>62</v>
      </c>
      <c r="F5" s="18" t="s">
        <v>63</v>
      </c>
      <c r="G5" s="87" t="s">
        <v>64</v>
      </c>
      <c r="H5" s="87" t="s">
        <v>65</v>
      </c>
      <c r="I5" s="87" t="s">
        <v>66</v>
      </c>
      <c r="J5" s="18" t="s">
        <v>67</v>
      </c>
      <c r="K5" s="87" t="s">
        <v>64</v>
      </c>
      <c r="L5" s="87" t="s">
        <v>65</v>
      </c>
      <c r="M5" s="87" t="s">
        <v>66</v>
      </c>
      <c r="N5" s="18" t="s">
        <v>68</v>
      </c>
      <c r="O5" s="87" t="s">
        <v>64</v>
      </c>
      <c r="P5" s="87" t="s">
        <v>65</v>
      </c>
      <c r="Q5" s="87" t="s">
        <v>66</v>
      </c>
      <c r="R5" s="119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30" ht="52.5" customHeight="1" x14ac:dyDescent="0.3">
      <c r="A6" s="119"/>
      <c r="B6" s="119"/>
      <c r="C6" s="52" t="s">
        <v>34</v>
      </c>
      <c r="D6" s="45"/>
      <c r="E6" s="45"/>
      <c r="F6" s="45">
        <v>14</v>
      </c>
      <c r="G6" s="119"/>
      <c r="H6" s="119"/>
      <c r="I6" s="119"/>
      <c r="J6" s="45">
        <v>28</v>
      </c>
      <c r="K6" s="119"/>
      <c r="L6" s="119"/>
      <c r="M6" s="119"/>
      <c r="N6" s="45">
        <v>28</v>
      </c>
      <c r="O6" s="119"/>
      <c r="P6" s="119"/>
      <c r="Q6" s="119"/>
      <c r="R6" s="18">
        <f>SUM(F6:N6)</f>
        <v>70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30" ht="19.5" customHeight="1" x14ac:dyDescent="0.25">
      <c r="A7" s="47">
        <f>'Sessional + End Term Assessment'!A8</f>
        <v>1</v>
      </c>
      <c r="B7" s="78">
        <f>'Sessional + End Term Assessment'!B8</f>
        <v>0</v>
      </c>
      <c r="C7" s="78">
        <f>'Sessional + End Term Assessment'!C8</f>
        <v>0</v>
      </c>
      <c r="D7" s="53"/>
      <c r="E7" s="53"/>
      <c r="F7" s="77"/>
      <c r="G7" s="49">
        <f t="shared" ref="G7:G36" si="0">IF(F7&gt;=($F$6*0.5),1,0)</f>
        <v>0</v>
      </c>
      <c r="H7" s="49">
        <f t="shared" ref="H7:H36" si="1">IF(F7&gt;=($F$6*0.6),1,0)</f>
        <v>0</v>
      </c>
      <c r="I7" s="49">
        <f t="shared" ref="I7:I36" si="2">IF(F7&gt;=($F$6*0.7),1,0)</f>
        <v>0</v>
      </c>
      <c r="J7" s="77"/>
      <c r="K7" s="49">
        <f t="shared" ref="K7:K36" si="3">IF(J7&gt;=($J$6*0.7),1,0)</f>
        <v>0</v>
      </c>
      <c r="L7" s="49">
        <f t="shared" ref="L7:L36" si="4">IF(J7&gt;=($J$6*0.8),1,0)</f>
        <v>0</v>
      </c>
      <c r="M7" s="49">
        <f t="shared" ref="M7:M36" si="5">IF(J7&gt;=($J$6*0.9),1,0)</f>
        <v>0</v>
      </c>
      <c r="N7" s="77"/>
      <c r="O7" s="49">
        <f t="shared" ref="O7:O36" si="6">IF(N7&gt;=($N$6*0.7),1,0)</f>
        <v>0</v>
      </c>
      <c r="P7" s="49">
        <f t="shared" ref="P7:P36" si="7">IF(N7&gt;=($N$6*0.8),1,0)</f>
        <v>0</v>
      </c>
      <c r="Q7" s="49">
        <f t="shared" ref="Q7:Q36" si="8">IF(N7&gt;=($N$6*0.9),1,0)</f>
        <v>0</v>
      </c>
      <c r="R7" s="77"/>
      <c r="S7" s="48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 ht="19.5" customHeight="1" x14ac:dyDescent="0.25">
      <c r="A8" s="47">
        <f>'Sessional + End Term Assessment'!A9</f>
        <v>2</v>
      </c>
      <c r="B8" s="78">
        <f>'Sessional + End Term Assessment'!B9</f>
        <v>0</v>
      </c>
      <c r="C8" s="78">
        <f>'Sessional + End Term Assessment'!C9</f>
        <v>0</v>
      </c>
      <c r="D8" s="53"/>
      <c r="E8" s="53"/>
      <c r="F8" s="77"/>
      <c r="G8" s="49">
        <f t="shared" si="0"/>
        <v>0</v>
      </c>
      <c r="H8" s="49">
        <f t="shared" si="1"/>
        <v>0</v>
      </c>
      <c r="I8" s="49">
        <f t="shared" si="2"/>
        <v>0</v>
      </c>
      <c r="J8" s="77"/>
      <c r="K8" s="49">
        <f t="shared" si="3"/>
        <v>0</v>
      </c>
      <c r="L8" s="49">
        <f t="shared" si="4"/>
        <v>0</v>
      </c>
      <c r="M8" s="49">
        <f t="shared" si="5"/>
        <v>0</v>
      </c>
      <c r="N8" s="77"/>
      <c r="O8" s="49">
        <f t="shared" si="6"/>
        <v>0</v>
      </c>
      <c r="P8" s="49">
        <f t="shared" si="7"/>
        <v>0</v>
      </c>
      <c r="Q8" s="49">
        <f t="shared" si="8"/>
        <v>0</v>
      </c>
      <c r="S8" s="48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 ht="19.5" customHeight="1" x14ac:dyDescent="0.25">
      <c r="A9" s="47">
        <f>'Sessional + End Term Assessment'!A10</f>
        <v>3</v>
      </c>
      <c r="B9" s="78">
        <f>'Sessional + End Term Assessment'!B10</f>
        <v>0</v>
      </c>
      <c r="C9" s="78">
        <f>'Sessional + End Term Assessment'!C10</f>
        <v>0</v>
      </c>
      <c r="D9" s="53"/>
      <c r="E9" s="53"/>
      <c r="F9" s="77"/>
      <c r="G9" s="49">
        <f t="shared" si="0"/>
        <v>0</v>
      </c>
      <c r="H9" s="49">
        <f t="shared" si="1"/>
        <v>0</v>
      </c>
      <c r="I9" s="49">
        <f t="shared" si="2"/>
        <v>0</v>
      </c>
      <c r="J9" s="77"/>
      <c r="K9" s="49">
        <f t="shared" si="3"/>
        <v>0</v>
      </c>
      <c r="L9" s="49">
        <f t="shared" si="4"/>
        <v>0</v>
      </c>
      <c r="M9" s="49">
        <f t="shared" si="5"/>
        <v>0</v>
      </c>
      <c r="N9" s="77"/>
      <c r="O9" s="49">
        <f t="shared" si="6"/>
        <v>0</v>
      </c>
      <c r="P9" s="49">
        <f t="shared" si="7"/>
        <v>0</v>
      </c>
      <c r="Q9" s="49">
        <f t="shared" si="8"/>
        <v>0</v>
      </c>
      <c r="R9" s="77"/>
      <c r="S9" s="48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 ht="19.5" customHeight="1" x14ac:dyDescent="0.25">
      <c r="A10" s="47">
        <f>'Sessional + End Term Assessment'!A11</f>
        <v>4</v>
      </c>
      <c r="B10" s="78">
        <f>'Sessional + End Term Assessment'!B11</f>
        <v>0</v>
      </c>
      <c r="C10" s="78">
        <f>'Sessional + End Term Assessment'!C11</f>
        <v>0</v>
      </c>
      <c r="D10" s="53"/>
      <c r="E10" s="53"/>
      <c r="F10" s="77"/>
      <c r="G10" s="49">
        <f t="shared" si="0"/>
        <v>0</v>
      </c>
      <c r="H10" s="49">
        <f t="shared" si="1"/>
        <v>0</v>
      </c>
      <c r="I10" s="49">
        <f t="shared" si="2"/>
        <v>0</v>
      </c>
      <c r="J10" s="77"/>
      <c r="K10" s="49">
        <f t="shared" si="3"/>
        <v>0</v>
      </c>
      <c r="L10" s="49">
        <f t="shared" si="4"/>
        <v>0</v>
      </c>
      <c r="M10" s="49">
        <f t="shared" si="5"/>
        <v>0</v>
      </c>
      <c r="N10" s="77"/>
      <c r="O10" s="49">
        <f t="shared" si="6"/>
        <v>0</v>
      </c>
      <c r="P10" s="49">
        <f t="shared" si="7"/>
        <v>0</v>
      </c>
      <c r="Q10" s="49">
        <f t="shared" si="8"/>
        <v>0</v>
      </c>
      <c r="R10" s="77"/>
      <c r="S10" s="48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 ht="19.5" customHeight="1" x14ac:dyDescent="0.25">
      <c r="A11" s="47">
        <f>'Sessional + End Term Assessment'!A12</f>
        <v>5</v>
      </c>
      <c r="B11" s="78">
        <f>'Sessional + End Term Assessment'!B12</f>
        <v>0</v>
      </c>
      <c r="C11" s="78">
        <f>'Sessional + End Term Assessment'!C12</f>
        <v>0</v>
      </c>
      <c r="D11" s="53"/>
      <c r="E11" s="53"/>
      <c r="F11" s="77"/>
      <c r="G11" s="49">
        <f t="shared" si="0"/>
        <v>0</v>
      </c>
      <c r="H11" s="49">
        <f t="shared" si="1"/>
        <v>0</v>
      </c>
      <c r="I11" s="49">
        <f t="shared" si="2"/>
        <v>0</v>
      </c>
      <c r="J11" s="77"/>
      <c r="K11" s="49">
        <f t="shared" si="3"/>
        <v>0</v>
      </c>
      <c r="L11" s="49">
        <f t="shared" si="4"/>
        <v>0</v>
      </c>
      <c r="M11" s="49">
        <f t="shared" si="5"/>
        <v>0</v>
      </c>
      <c r="N11" s="77"/>
      <c r="O11" s="49">
        <f t="shared" si="6"/>
        <v>0</v>
      </c>
      <c r="P11" s="49">
        <f t="shared" si="7"/>
        <v>0</v>
      </c>
      <c r="Q11" s="49">
        <f t="shared" si="8"/>
        <v>0</v>
      </c>
      <c r="R11" s="77"/>
      <c r="S11" s="48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 ht="19.5" customHeight="1" x14ac:dyDescent="0.25">
      <c r="A12" s="47">
        <f>'Sessional + End Term Assessment'!A13</f>
        <v>6</v>
      </c>
      <c r="B12" s="78">
        <f>'Sessional + End Term Assessment'!B13</f>
        <v>0</v>
      </c>
      <c r="C12" s="78">
        <f>'Sessional + End Term Assessment'!C13</f>
        <v>0</v>
      </c>
      <c r="D12" s="53"/>
      <c r="E12" s="53"/>
      <c r="F12" s="77"/>
      <c r="G12" s="49">
        <f t="shared" si="0"/>
        <v>0</v>
      </c>
      <c r="H12" s="49">
        <f t="shared" si="1"/>
        <v>0</v>
      </c>
      <c r="I12" s="49">
        <f t="shared" si="2"/>
        <v>0</v>
      </c>
      <c r="J12" s="77"/>
      <c r="K12" s="49">
        <f t="shared" si="3"/>
        <v>0</v>
      </c>
      <c r="L12" s="49">
        <f t="shared" si="4"/>
        <v>0</v>
      </c>
      <c r="M12" s="49">
        <f t="shared" si="5"/>
        <v>0</v>
      </c>
      <c r="N12" s="77"/>
      <c r="O12" s="49">
        <f t="shared" si="6"/>
        <v>0</v>
      </c>
      <c r="P12" s="49">
        <f t="shared" si="7"/>
        <v>0</v>
      </c>
      <c r="Q12" s="49">
        <f t="shared" si="8"/>
        <v>0</v>
      </c>
      <c r="S12" s="48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 ht="19.5" customHeight="1" x14ac:dyDescent="0.25">
      <c r="A13" s="47">
        <f>'Sessional + End Term Assessment'!A14</f>
        <v>7</v>
      </c>
      <c r="B13" s="78">
        <f>'Sessional + End Term Assessment'!B14</f>
        <v>0</v>
      </c>
      <c r="C13" s="78">
        <f>'Sessional + End Term Assessment'!C14</f>
        <v>0</v>
      </c>
      <c r="D13" s="53"/>
      <c r="E13" s="53"/>
      <c r="F13" s="77"/>
      <c r="G13" s="49">
        <f t="shared" si="0"/>
        <v>0</v>
      </c>
      <c r="H13" s="49">
        <f t="shared" si="1"/>
        <v>0</v>
      </c>
      <c r="I13" s="49">
        <f t="shared" si="2"/>
        <v>0</v>
      </c>
      <c r="J13" s="77"/>
      <c r="K13" s="49">
        <f t="shared" si="3"/>
        <v>0</v>
      </c>
      <c r="L13" s="49">
        <f t="shared" si="4"/>
        <v>0</v>
      </c>
      <c r="M13" s="49">
        <f t="shared" si="5"/>
        <v>0</v>
      </c>
      <c r="N13" s="77"/>
      <c r="O13" s="49">
        <f t="shared" si="6"/>
        <v>0</v>
      </c>
      <c r="P13" s="49">
        <f t="shared" si="7"/>
        <v>0</v>
      </c>
      <c r="Q13" s="49">
        <f t="shared" si="8"/>
        <v>0</v>
      </c>
      <c r="R13" s="77"/>
      <c r="S13" s="48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ht="19.5" customHeight="1" x14ac:dyDescent="0.25">
      <c r="A14" s="47">
        <f>'Sessional + End Term Assessment'!A15</f>
        <v>8</v>
      </c>
      <c r="B14" s="78">
        <f>'Sessional + End Term Assessment'!B15</f>
        <v>0</v>
      </c>
      <c r="C14" s="78">
        <f>'Sessional + End Term Assessment'!C15</f>
        <v>0</v>
      </c>
      <c r="D14" s="53"/>
      <c r="E14" s="53"/>
      <c r="F14" s="77"/>
      <c r="G14" s="49">
        <f t="shared" si="0"/>
        <v>0</v>
      </c>
      <c r="H14" s="49">
        <f t="shared" si="1"/>
        <v>0</v>
      </c>
      <c r="I14" s="49">
        <f t="shared" si="2"/>
        <v>0</v>
      </c>
      <c r="J14" s="77"/>
      <c r="K14" s="49">
        <f t="shared" si="3"/>
        <v>0</v>
      </c>
      <c r="L14" s="49">
        <f t="shared" si="4"/>
        <v>0</v>
      </c>
      <c r="M14" s="49">
        <f t="shared" si="5"/>
        <v>0</v>
      </c>
      <c r="N14" s="77"/>
      <c r="O14" s="49">
        <f t="shared" si="6"/>
        <v>0</v>
      </c>
      <c r="P14" s="49">
        <f t="shared" si="7"/>
        <v>0</v>
      </c>
      <c r="Q14" s="49">
        <f t="shared" si="8"/>
        <v>0</v>
      </c>
      <c r="R14" s="77"/>
      <c r="S14" s="48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 ht="19.5" customHeight="1" x14ac:dyDescent="0.25">
      <c r="A15" s="47">
        <f>'Sessional + End Term Assessment'!A16</f>
        <v>9</v>
      </c>
      <c r="B15" s="78">
        <f>'Sessional + End Term Assessment'!B16</f>
        <v>0</v>
      </c>
      <c r="C15" s="78">
        <f>'Sessional + End Term Assessment'!C16</f>
        <v>0</v>
      </c>
      <c r="D15" s="53"/>
      <c r="E15" s="53"/>
      <c r="F15" s="77"/>
      <c r="G15" s="49">
        <f t="shared" si="0"/>
        <v>0</v>
      </c>
      <c r="H15" s="49">
        <f t="shared" si="1"/>
        <v>0</v>
      </c>
      <c r="I15" s="49">
        <f t="shared" si="2"/>
        <v>0</v>
      </c>
      <c r="J15" s="77"/>
      <c r="K15" s="49">
        <f t="shared" si="3"/>
        <v>0</v>
      </c>
      <c r="L15" s="49">
        <f t="shared" si="4"/>
        <v>0</v>
      </c>
      <c r="M15" s="49">
        <f t="shared" si="5"/>
        <v>0</v>
      </c>
      <c r="N15" s="77"/>
      <c r="O15" s="49">
        <f t="shared" si="6"/>
        <v>0</v>
      </c>
      <c r="P15" s="49">
        <f t="shared" si="7"/>
        <v>0</v>
      </c>
      <c r="Q15" s="49">
        <f t="shared" si="8"/>
        <v>0</v>
      </c>
      <c r="S15" s="48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 ht="19.5" customHeight="1" x14ac:dyDescent="0.25">
      <c r="A16" s="47">
        <f>'Sessional + End Term Assessment'!A17</f>
        <v>10</v>
      </c>
      <c r="B16" s="78">
        <f>'Sessional + End Term Assessment'!B17</f>
        <v>0</v>
      </c>
      <c r="C16" s="78">
        <f>'Sessional + End Term Assessment'!C17</f>
        <v>0</v>
      </c>
      <c r="D16" s="53"/>
      <c r="E16" s="53"/>
      <c r="F16" s="77"/>
      <c r="G16" s="49">
        <f t="shared" si="0"/>
        <v>0</v>
      </c>
      <c r="H16" s="49">
        <f t="shared" si="1"/>
        <v>0</v>
      </c>
      <c r="I16" s="49">
        <f t="shared" si="2"/>
        <v>0</v>
      </c>
      <c r="J16" s="77"/>
      <c r="K16" s="49">
        <f t="shared" si="3"/>
        <v>0</v>
      </c>
      <c r="L16" s="49">
        <f t="shared" si="4"/>
        <v>0</v>
      </c>
      <c r="M16" s="49">
        <f t="shared" si="5"/>
        <v>0</v>
      </c>
      <c r="N16" s="77"/>
      <c r="O16" s="49">
        <f t="shared" si="6"/>
        <v>0</v>
      </c>
      <c r="P16" s="49">
        <f t="shared" si="7"/>
        <v>0</v>
      </c>
      <c r="Q16" s="49">
        <f t="shared" si="8"/>
        <v>0</v>
      </c>
      <c r="R16" s="77"/>
      <c r="S16" s="48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 ht="19.5" customHeight="1" x14ac:dyDescent="0.25">
      <c r="A17" s="47">
        <f>'Sessional + End Term Assessment'!A18</f>
        <v>11</v>
      </c>
      <c r="B17" s="78">
        <f>'Sessional + End Term Assessment'!B18</f>
        <v>0</v>
      </c>
      <c r="C17" s="78">
        <f>'Sessional + End Term Assessment'!C18</f>
        <v>0</v>
      </c>
      <c r="D17" s="53"/>
      <c r="E17" s="53"/>
      <c r="G17" s="49">
        <f t="shared" si="0"/>
        <v>0</v>
      </c>
      <c r="H17" s="49">
        <f t="shared" si="1"/>
        <v>0</v>
      </c>
      <c r="I17" s="49">
        <f t="shared" si="2"/>
        <v>0</v>
      </c>
      <c r="K17" s="49">
        <f t="shared" si="3"/>
        <v>0</v>
      </c>
      <c r="L17" s="49">
        <f t="shared" si="4"/>
        <v>0</v>
      </c>
      <c r="M17" s="49">
        <f t="shared" si="5"/>
        <v>0</v>
      </c>
      <c r="O17" s="49">
        <f t="shared" si="6"/>
        <v>0</v>
      </c>
      <c r="P17" s="49">
        <f t="shared" si="7"/>
        <v>0</v>
      </c>
      <c r="Q17" s="49">
        <f t="shared" si="8"/>
        <v>0</v>
      </c>
      <c r="S17" s="48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 ht="19.5" customHeight="1" x14ac:dyDescent="0.25">
      <c r="A18" s="47">
        <f>'Sessional + End Term Assessment'!A19</f>
        <v>12</v>
      </c>
      <c r="B18" s="78">
        <f>'Sessional + End Term Assessment'!B19</f>
        <v>0</v>
      </c>
      <c r="C18" s="78">
        <f>'Sessional + End Term Assessment'!C19</f>
        <v>0</v>
      </c>
      <c r="D18" s="53"/>
      <c r="E18" s="53"/>
      <c r="F18" s="77"/>
      <c r="G18" s="49">
        <f t="shared" si="0"/>
        <v>0</v>
      </c>
      <c r="H18" s="49">
        <f t="shared" si="1"/>
        <v>0</v>
      </c>
      <c r="I18" s="49">
        <f t="shared" si="2"/>
        <v>0</v>
      </c>
      <c r="J18" s="77"/>
      <c r="K18" s="49">
        <f t="shared" si="3"/>
        <v>0</v>
      </c>
      <c r="L18" s="49">
        <f t="shared" si="4"/>
        <v>0</v>
      </c>
      <c r="M18" s="49">
        <f t="shared" si="5"/>
        <v>0</v>
      </c>
      <c r="N18" s="77"/>
      <c r="O18" s="49">
        <f t="shared" si="6"/>
        <v>0</v>
      </c>
      <c r="P18" s="49">
        <f t="shared" si="7"/>
        <v>0</v>
      </c>
      <c r="Q18" s="49">
        <f t="shared" si="8"/>
        <v>0</v>
      </c>
      <c r="S18" s="48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 ht="19.5" customHeight="1" x14ac:dyDescent="0.25">
      <c r="A19" s="47">
        <f>'Sessional + End Term Assessment'!A20</f>
        <v>13</v>
      </c>
      <c r="B19" s="78">
        <f>'Sessional + End Term Assessment'!B20</f>
        <v>0</v>
      </c>
      <c r="C19" s="78">
        <f>'Sessional + End Term Assessment'!C20</f>
        <v>0</v>
      </c>
      <c r="D19" s="53"/>
      <c r="E19" s="53"/>
      <c r="G19" s="49">
        <f t="shared" si="0"/>
        <v>0</v>
      </c>
      <c r="H19" s="49">
        <f t="shared" si="1"/>
        <v>0</v>
      </c>
      <c r="I19" s="49">
        <f t="shared" si="2"/>
        <v>0</v>
      </c>
      <c r="K19" s="49">
        <f t="shared" si="3"/>
        <v>0</v>
      </c>
      <c r="L19" s="49">
        <f t="shared" si="4"/>
        <v>0</v>
      </c>
      <c r="M19" s="49">
        <f t="shared" si="5"/>
        <v>0</v>
      </c>
      <c r="O19" s="49">
        <f t="shared" si="6"/>
        <v>0</v>
      </c>
      <c r="P19" s="49">
        <f t="shared" si="7"/>
        <v>0</v>
      </c>
      <c r="Q19" s="49">
        <f t="shared" si="8"/>
        <v>0</v>
      </c>
      <c r="S19" s="48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 ht="19.5" customHeight="1" x14ac:dyDescent="0.25">
      <c r="A20" s="47">
        <f>'Sessional + End Term Assessment'!A21</f>
        <v>14</v>
      </c>
      <c r="B20" s="78">
        <f>'Sessional + End Term Assessment'!B21</f>
        <v>0</v>
      </c>
      <c r="C20" s="78">
        <f>'Sessional + End Term Assessment'!C21</f>
        <v>0</v>
      </c>
      <c r="D20" s="53"/>
      <c r="E20" s="53"/>
      <c r="F20" s="77"/>
      <c r="G20" s="49">
        <f t="shared" si="0"/>
        <v>0</v>
      </c>
      <c r="H20" s="49">
        <f t="shared" si="1"/>
        <v>0</v>
      </c>
      <c r="I20" s="49">
        <f t="shared" si="2"/>
        <v>0</v>
      </c>
      <c r="J20" s="77"/>
      <c r="K20" s="49">
        <f t="shared" si="3"/>
        <v>0</v>
      </c>
      <c r="L20" s="49">
        <f t="shared" si="4"/>
        <v>0</v>
      </c>
      <c r="M20" s="49">
        <f t="shared" si="5"/>
        <v>0</v>
      </c>
      <c r="N20" s="77"/>
      <c r="O20" s="49">
        <f t="shared" si="6"/>
        <v>0</v>
      </c>
      <c r="P20" s="49">
        <f t="shared" si="7"/>
        <v>0</v>
      </c>
      <c r="Q20" s="49">
        <f t="shared" si="8"/>
        <v>0</v>
      </c>
      <c r="R20" s="77"/>
      <c r="S20" s="48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 ht="19.5" customHeight="1" x14ac:dyDescent="0.25">
      <c r="A21" s="47">
        <f>'Sessional + End Term Assessment'!A22</f>
        <v>15</v>
      </c>
      <c r="B21" s="78">
        <f>'Sessional + End Term Assessment'!B22</f>
        <v>0</v>
      </c>
      <c r="C21" s="78">
        <f>'Sessional + End Term Assessment'!C22</f>
        <v>0</v>
      </c>
      <c r="D21" s="53"/>
      <c r="E21" s="53"/>
      <c r="F21" s="77"/>
      <c r="G21" s="49">
        <f t="shared" si="0"/>
        <v>0</v>
      </c>
      <c r="H21" s="49">
        <f t="shared" si="1"/>
        <v>0</v>
      </c>
      <c r="I21" s="49">
        <f t="shared" si="2"/>
        <v>0</v>
      </c>
      <c r="J21" s="77"/>
      <c r="K21" s="49">
        <f t="shared" si="3"/>
        <v>0</v>
      </c>
      <c r="L21" s="49">
        <f t="shared" si="4"/>
        <v>0</v>
      </c>
      <c r="M21" s="49">
        <f t="shared" si="5"/>
        <v>0</v>
      </c>
      <c r="N21" s="77"/>
      <c r="O21" s="49">
        <f t="shared" si="6"/>
        <v>0</v>
      </c>
      <c r="P21" s="49">
        <f t="shared" si="7"/>
        <v>0</v>
      </c>
      <c r="Q21" s="49">
        <f t="shared" si="8"/>
        <v>0</v>
      </c>
      <c r="R21" s="77"/>
      <c r="S21" s="48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 ht="19.5" customHeight="1" x14ac:dyDescent="0.25">
      <c r="A22" s="47">
        <f>'Sessional + End Term Assessment'!A23</f>
        <v>16</v>
      </c>
      <c r="B22" s="78">
        <f>'Sessional + End Term Assessment'!B23</f>
        <v>0</v>
      </c>
      <c r="C22" s="78">
        <f>'Sessional + End Term Assessment'!C23</f>
        <v>0</v>
      </c>
      <c r="D22" s="53"/>
      <c r="E22" s="53"/>
      <c r="F22" s="77"/>
      <c r="G22" s="49">
        <f t="shared" si="0"/>
        <v>0</v>
      </c>
      <c r="H22" s="49">
        <f t="shared" si="1"/>
        <v>0</v>
      </c>
      <c r="I22" s="49">
        <f t="shared" si="2"/>
        <v>0</v>
      </c>
      <c r="J22" s="77"/>
      <c r="K22" s="49">
        <f t="shared" si="3"/>
        <v>0</v>
      </c>
      <c r="L22" s="49">
        <f t="shared" si="4"/>
        <v>0</v>
      </c>
      <c r="M22" s="49">
        <f t="shared" si="5"/>
        <v>0</v>
      </c>
      <c r="N22" s="77"/>
      <c r="O22" s="49">
        <f t="shared" si="6"/>
        <v>0</v>
      </c>
      <c r="P22" s="49">
        <f t="shared" si="7"/>
        <v>0</v>
      </c>
      <c r="Q22" s="49">
        <f t="shared" si="8"/>
        <v>0</v>
      </c>
      <c r="S22" s="48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 ht="19.5" customHeight="1" x14ac:dyDescent="0.25">
      <c r="A23" s="47">
        <f>'Sessional + End Term Assessment'!A24</f>
        <v>17</v>
      </c>
      <c r="B23" s="78">
        <f>'Sessional + End Term Assessment'!B24</f>
        <v>0</v>
      </c>
      <c r="C23" s="78">
        <f>'Sessional + End Term Assessment'!C24</f>
        <v>0</v>
      </c>
      <c r="D23" s="53"/>
      <c r="E23" s="53"/>
      <c r="F23" s="77"/>
      <c r="G23" s="49">
        <f t="shared" si="0"/>
        <v>0</v>
      </c>
      <c r="H23" s="49">
        <f t="shared" si="1"/>
        <v>0</v>
      </c>
      <c r="I23" s="49">
        <f t="shared" si="2"/>
        <v>0</v>
      </c>
      <c r="J23" s="77"/>
      <c r="K23" s="49">
        <f t="shared" si="3"/>
        <v>0</v>
      </c>
      <c r="L23" s="49">
        <f t="shared" si="4"/>
        <v>0</v>
      </c>
      <c r="M23" s="49">
        <f t="shared" si="5"/>
        <v>0</v>
      </c>
      <c r="N23" s="77"/>
      <c r="O23" s="49">
        <f t="shared" si="6"/>
        <v>0</v>
      </c>
      <c r="P23" s="49">
        <f t="shared" si="7"/>
        <v>0</v>
      </c>
      <c r="Q23" s="49">
        <f t="shared" si="8"/>
        <v>0</v>
      </c>
      <c r="R23" s="77"/>
      <c r="S23" s="48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spans="1:30" ht="19.5" customHeight="1" x14ac:dyDescent="0.25">
      <c r="A24" s="47">
        <f>'Sessional + End Term Assessment'!A25</f>
        <v>18</v>
      </c>
      <c r="B24" s="78">
        <f>'Sessional + End Term Assessment'!B25</f>
        <v>0</v>
      </c>
      <c r="C24" s="78">
        <f>'Sessional + End Term Assessment'!C25</f>
        <v>0</v>
      </c>
      <c r="D24" s="53"/>
      <c r="E24" s="53"/>
      <c r="F24" s="77"/>
      <c r="G24" s="49">
        <f t="shared" si="0"/>
        <v>0</v>
      </c>
      <c r="H24" s="49">
        <f t="shared" si="1"/>
        <v>0</v>
      </c>
      <c r="I24" s="49">
        <f t="shared" si="2"/>
        <v>0</v>
      </c>
      <c r="J24" s="77"/>
      <c r="K24" s="49">
        <f t="shared" si="3"/>
        <v>0</v>
      </c>
      <c r="L24" s="49">
        <f t="shared" si="4"/>
        <v>0</v>
      </c>
      <c r="M24" s="49">
        <f t="shared" si="5"/>
        <v>0</v>
      </c>
      <c r="N24" s="77"/>
      <c r="O24" s="49">
        <f t="shared" si="6"/>
        <v>0</v>
      </c>
      <c r="P24" s="49">
        <f t="shared" si="7"/>
        <v>0</v>
      </c>
      <c r="Q24" s="49">
        <f t="shared" si="8"/>
        <v>0</v>
      </c>
      <c r="R24" s="77"/>
      <c r="S24" s="48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spans="1:30" ht="19.5" customHeight="1" x14ac:dyDescent="0.25">
      <c r="A25" s="47">
        <f>'Sessional + End Term Assessment'!A26</f>
        <v>19</v>
      </c>
      <c r="B25" s="78">
        <f>'Sessional + End Term Assessment'!B26</f>
        <v>0</v>
      </c>
      <c r="C25" s="78">
        <f>'Sessional + End Term Assessment'!C26</f>
        <v>0</v>
      </c>
      <c r="D25" s="53"/>
      <c r="E25" s="53"/>
      <c r="F25" s="77"/>
      <c r="G25" s="49">
        <f t="shared" si="0"/>
        <v>0</v>
      </c>
      <c r="H25" s="49">
        <f t="shared" si="1"/>
        <v>0</v>
      </c>
      <c r="I25" s="49">
        <f t="shared" si="2"/>
        <v>0</v>
      </c>
      <c r="J25" s="77"/>
      <c r="K25" s="49">
        <f t="shared" si="3"/>
        <v>0</v>
      </c>
      <c r="L25" s="49">
        <f t="shared" si="4"/>
        <v>0</v>
      </c>
      <c r="M25" s="49">
        <f t="shared" si="5"/>
        <v>0</v>
      </c>
      <c r="N25" s="77"/>
      <c r="O25" s="49">
        <f t="shared" si="6"/>
        <v>0</v>
      </c>
      <c r="P25" s="49">
        <f t="shared" si="7"/>
        <v>0</v>
      </c>
      <c r="Q25" s="49">
        <f t="shared" si="8"/>
        <v>0</v>
      </c>
      <c r="R25" s="77"/>
      <c r="S25" s="48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spans="1:30" ht="19.5" customHeight="1" x14ac:dyDescent="0.25">
      <c r="A26" s="47">
        <f>'Sessional + End Term Assessment'!A27</f>
        <v>20</v>
      </c>
      <c r="B26" s="78">
        <f>'Sessional + End Term Assessment'!B27</f>
        <v>0</v>
      </c>
      <c r="C26" s="78">
        <f>'Sessional + End Term Assessment'!C27</f>
        <v>0</v>
      </c>
      <c r="D26" s="53"/>
      <c r="E26" s="53"/>
      <c r="F26" s="77"/>
      <c r="G26" s="49">
        <f t="shared" si="0"/>
        <v>0</v>
      </c>
      <c r="H26" s="49">
        <f t="shared" si="1"/>
        <v>0</v>
      </c>
      <c r="I26" s="49">
        <f t="shared" si="2"/>
        <v>0</v>
      </c>
      <c r="J26" s="77"/>
      <c r="K26" s="49">
        <f t="shared" si="3"/>
        <v>0</v>
      </c>
      <c r="L26" s="49">
        <f t="shared" si="4"/>
        <v>0</v>
      </c>
      <c r="M26" s="49">
        <f t="shared" si="5"/>
        <v>0</v>
      </c>
      <c r="N26" s="77"/>
      <c r="O26" s="49">
        <f t="shared" si="6"/>
        <v>0</v>
      </c>
      <c r="P26" s="49">
        <f t="shared" si="7"/>
        <v>0</v>
      </c>
      <c r="Q26" s="49">
        <f t="shared" si="8"/>
        <v>0</v>
      </c>
      <c r="R26" s="77"/>
      <c r="S26" s="48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spans="1:30" ht="19.5" customHeight="1" x14ac:dyDescent="0.25">
      <c r="A27" s="47">
        <f>'Sessional + End Term Assessment'!A28</f>
        <v>21</v>
      </c>
      <c r="B27" s="78">
        <f>'Sessional + End Term Assessment'!B28</f>
        <v>0</v>
      </c>
      <c r="C27" s="78">
        <f>'Sessional + End Term Assessment'!C28</f>
        <v>0</v>
      </c>
      <c r="D27" s="53"/>
      <c r="E27" s="53"/>
      <c r="F27" s="77"/>
      <c r="G27" s="49">
        <f t="shared" si="0"/>
        <v>0</v>
      </c>
      <c r="H27" s="49">
        <f t="shared" si="1"/>
        <v>0</v>
      </c>
      <c r="I27" s="49">
        <f t="shared" si="2"/>
        <v>0</v>
      </c>
      <c r="J27" s="77"/>
      <c r="K27" s="49">
        <f t="shared" si="3"/>
        <v>0</v>
      </c>
      <c r="L27" s="49">
        <f t="shared" si="4"/>
        <v>0</v>
      </c>
      <c r="M27" s="49">
        <f t="shared" si="5"/>
        <v>0</v>
      </c>
      <c r="N27" s="77"/>
      <c r="O27" s="49">
        <f t="shared" si="6"/>
        <v>0</v>
      </c>
      <c r="P27" s="49">
        <f t="shared" si="7"/>
        <v>0</v>
      </c>
      <c r="Q27" s="49">
        <f t="shared" si="8"/>
        <v>0</v>
      </c>
      <c r="S27" s="48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spans="1:30" ht="19.5" customHeight="1" x14ac:dyDescent="0.25">
      <c r="A28" s="47">
        <f>'Sessional + End Term Assessment'!A29</f>
        <v>22</v>
      </c>
      <c r="B28" s="78">
        <f>'Sessional + End Term Assessment'!B29</f>
        <v>0</v>
      </c>
      <c r="C28" s="78">
        <f>'Sessional + End Term Assessment'!C29</f>
        <v>0</v>
      </c>
      <c r="D28" s="53"/>
      <c r="E28" s="53"/>
      <c r="G28" s="49">
        <f t="shared" si="0"/>
        <v>0</v>
      </c>
      <c r="H28" s="49">
        <f t="shared" si="1"/>
        <v>0</v>
      </c>
      <c r="I28" s="49">
        <f t="shared" si="2"/>
        <v>0</v>
      </c>
      <c r="K28" s="49">
        <f t="shared" si="3"/>
        <v>0</v>
      </c>
      <c r="L28" s="49">
        <f t="shared" si="4"/>
        <v>0</v>
      </c>
      <c r="M28" s="49">
        <f t="shared" si="5"/>
        <v>0</v>
      </c>
      <c r="O28" s="49">
        <f t="shared" si="6"/>
        <v>0</v>
      </c>
      <c r="P28" s="49">
        <f t="shared" si="7"/>
        <v>0</v>
      </c>
      <c r="Q28" s="49">
        <f t="shared" si="8"/>
        <v>0</v>
      </c>
      <c r="S28" s="48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spans="1:30" ht="19.5" customHeight="1" x14ac:dyDescent="0.25">
      <c r="A29" s="47">
        <f>'Sessional + End Term Assessment'!A30</f>
        <v>23</v>
      </c>
      <c r="B29" s="78">
        <f>'Sessional + End Term Assessment'!B30</f>
        <v>0</v>
      </c>
      <c r="C29" s="78">
        <f>'Sessional + End Term Assessment'!C30</f>
        <v>0</v>
      </c>
      <c r="D29" s="53"/>
      <c r="E29" s="53"/>
      <c r="F29" s="77"/>
      <c r="G29" s="49">
        <f t="shared" si="0"/>
        <v>0</v>
      </c>
      <c r="H29" s="49">
        <f t="shared" si="1"/>
        <v>0</v>
      </c>
      <c r="I29" s="49">
        <f t="shared" si="2"/>
        <v>0</v>
      </c>
      <c r="J29" s="77"/>
      <c r="K29" s="49">
        <f t="shared" si="3"/>
        <v>0</v>
      </c>
      <c r="L29" s="49">
        <f t="shared" si="4"/>
        <v>0</v>
      </c>
      <c r="M29" s="49">
        <f t="shared" si="5"/>
        <v>0</v>
      </c>
      <c r="N29" s="77"/>
      <c r="O29" s="49">
        <f t="shared" si="6"/>
        <v>0</v>
      </c>
      <c r="P29" s="49">
        <f t="shared" si="7"/>
        <v>0</v>
      </c>
      <c r="Q29" s="49">
        <f t="shared" si="8"/>
        <v>0</v>
      </c>
      <c r="S29" s="48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spans="1:30" ht="19.5" customHeight="1" x14ac:dyDescent="0.25">
      <c r="A30" s="47">
        <f>'Sessional + End Term Assessment'!A31</f>
        <v>24</v>
      </c>
      <c r="B30" s="78">
        <f>'Sessional + End Term Assessment'!B31</f>
        <v>0</v>
      </c>
      <c r="C30" s="78">
        <f>'Sessional + End Term Assessment'!C31</f>
        <v>0</v>
      </c>
      <c r="D30" s="53"/>
      <c r="E30" s="53"/>
      <c r="F30" s="77"/>
      <c r="G30" s="49">
        <f t="shared" si="0"/>
        <v>0</v>
      </c>
      <c r="H30" s="49">
        <f t="shared" si="1"/>
        <v>0</v>
      </c>
      <c r="I30" s="49">
        <f t="shared" si="2"/>
        <v>0</v>
      </c>
      <c r="J30" s="77"/>
      <c r="K30" s="49">
        <f t="shared" si="3"/>
        <v>0</v>
      </c>
      <c r="L30" s="49">
        <f t="shared" si="4"/>
        <v>0</v>
      </c>
      <c r="M30" s="49">
        <f t="shared" si="5"/>
        <v>0</v>
      </c>
      <c r="N30" s="77"/>
      <c r="O30" s="49">
        <f t="shared" si="6"/>
        <v>0</v>
      </c>
      <c r="P30" s="49">
        <f t="shared" si="7"/>
        <v>0</v>
      </c>
      <c r="Q30" s="49">
        <f t="shared" si="8"/>
        <v>0</v>
      </c>
      <c r="R30" s="77"/>
      <c r="S30" s="48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 ht="19.5" customHeight="1" x14ac:dyDescent="0.25">
      <c r="A31" s="47">
        <f>'Sessional + End Term Assessment'!A32</f>
        <v>25</v>
      </c>
      <c r="B31" s="78">
        <f>'Sessional + End Term Assessment'!B32</f>
        <v>0</v>
      </c>
      <c r="C31" s="78">
        <f>'Sessional + End Term Assessment'!C32</f>
        <v>0</v>
      </c>
      <c r="D31" s="53"/>
      <c r="E31" s="53"/>
      <c r="F31" s="77"/>
      <c r="G31" s="49">
        <f t="shared" si="0"/>
        <v>0</v>
      </c>
      <c r="H31" s="49">
        <f t="shared" si="1"/>
        <v>0</v>
      </c>
      <c r="I31" s="49">
        <f t="shared" si="2"/>
        <v>0</v>
      </c>
      <c r="J31" s="77"/>
      <c r="K31" s="49">
        <f t="shared" si="3"/>
        <v>0</v>
      </c>
      <c r="L31" s="49">
        <f t="shared" si="4"/>
        <v>0</v>
      </c>
      <c r="M31" s="49">
        <f t="shared" si="5"/>
        <v>0</v>
      </c>
      <c r="N31" s="77"/>
      <c r="O31" s="49">
        <f t="shared" si="6"/>
        <v>0</v>
      </c>
      <c r="P31" s="49">
        <f t="shared" si="7"/>
        <v>0</v>
      </c>
      <c r="Q31" s="49">
        <f t="shared" si="8"/>
        <v>0</v>
      </c>
      <c r="R31" s="77"/>
      <c r="S31" s="48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spans="1:30" ht="19.5" customHeight="1" x14ac:dyDescent="0.25">
      <c r="A32" s="47">
        <f>'Sessional + End Term Assessment'!A33</f>
        <v>26</v>
      </c>
      <c r="B32" s="78">
        <f>'Sessional + End Term Assessment'!B33</f>
        <v>0</v>
      </c>
      <c r="C32" s="78">
        <f>'Sessional + End Term Assessment'!C33</f>
        <v>0</v>
      </c>
      <c r="D32" s="53"/>
      <c r="E32" s="53"/>
      <c r="G32" s="49">
        <f t="shared" si="0"/>
        <v>0</v>
      </c>
      <c r="H32" s="49">
        <f t="shared" si="1"/>
        <v>0</v>
      </c>
      <c r="I32" s="49">
        <f t="shared" si="2"/>
        <v>0</v>
      </c>
      <c r="K32" s="49">
        <f t="shared" si="3"/>
        <v>0</v>
      </c>
      <c r="L32" s="49">
        <f t="shared" si="4"/>
        <v>0</v>
      </c>
      <c r="M32" s="49">
        <f t="shared" si="5"/>
        <v>0</v>
      </c>
      <c r="O32" s="49">
        <f t="shared" si="6"/>
        <v>0</v>
      </c>
      <c r="P32" s="49">
        <f t="shared" si="7"/>
        <v>0</v>
      </c>
      <c r="Q32" s="49">
        <f t="shared" si="8"/>
        <v>0</v>
      </c>
      <c r="S32" s="48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 spans="1:30" ht="19.5" customHeight="1" x14ac:dyDescent="0.25">
      <c r="A33" s="47">
        <f>'Sessional + End Term Assessment'!A34</f>
        <v>27</v>
      </c>
      <c r="B33" s="78">
        <f>'Sessional + End Term Assessment'!B34</f>
        <v>0</v>
      </c>
      <c r="C33" s="78">
        <f>'Sessional + End Term Assessment'!C34</f>
        <v>0</v>
      </c>
      <c r="D33" s="53"/>
      <c r="E33" s="53"/>
      <c r="F33" s="77"/>
      <c r="G33" s="49">
        <f t="shared" si="0"/>
        <v>0</v>
      </c>
      <c r="H33" s="49">
        <f t="shared" si="1"/>
        <v>0</v>
      </c>
      <c r="I33" s="49">
        <f t="shared" si="2"/>
        <v>0</v>
      </c>
      <c r="J33" s="77"/>
      <c r="K33" s="49">
        <f t="shared" si="3"/>
        <v>0</v>
      </c>
      <c r="L33" s="49">
        <f t="shared" si="4"/>
        <v>0</v>
      </c>
      <c r="M33" s="49">
        <f t="shared" si="5"/>
        <v>0</v>
      </c>
      <c r="N33" s="77"/>
      <c r="O33" s="49">
        <f t="shared" si="6"/>
        <v>0</v>
      </c>
      <c r="P33" s="49">
        <f t="shared" si="7"/>
        <v>0</v>
      </c>
      <c r="Q33" s="49">
        <f t="shared" si="8"/>
        <v>0</v>
      </c>
      <c r="R33" s="77"/>
      <c r="S33" s="48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spans="1:30" ht="19.5" customHeight="1" x14ac:dyDescent="0.25">
      <c r="A34" s="47">
        <f>'Sessional + End Term Assessment'!A35</f>
        <v>28</v>
      </c>
      <c r="B34" s="78">
        <f>'Sessional + End Term Assessment'!B35</f>
        <v>0</v>
      </c>
      <c r="C34" s="78">
        <f>'Sessional + End Term Assessment'!C35</f>
        <v>0</v>
      </c>
      <c r="D34" s="53"/>
      <c r="E34" s="53"/>
      <c r="F34" s="77"/>
      <c r="G34" s="49">
        <f t="shared" si="0"/>
        <v>0</v>
      </c>
      <c r="H34" s="49">
        <f t="shared" si="1"/>
        <v>0</v>
      </c>
      <c r="I34" s="49">
        <f t="shared" si="2"/>
        <v>0</v>
      </c>
      <c r="J34" s="77"/>
      <c r="K34" s="49">
        <f t="shared" si="3"/>
        <v>0</v>
      </c>
      <c r="L34" s="49">
        <f t="shared" si="4"/>
        <v>0</v>
      </c>
      <c r="M34" s="49">
        <f t="shared" si="5"/>
        <v>0</v>
      </c>
      <c r="N34" s="77"/>
      <c r="O34" s="49">
        <f t="shared" si="6"/>
        <v>0</v>
      </c>
      <c r="P34" s="49">
        <f t="shared" si="7"/>
        <v>0</v>
      </c>
      <c r="Q34" s="49">
        <f t="shared" si="8"/>
        <v>0</v>
      </c>
      <c r="S34" s="48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spans="1:30" ht="19.5" customHeight="1" x14ac:dyDescent="0.25">
      <c r="A35" s="47">
        <f>'Sessional + End Term Assessment'!A36</f>
        <v>29</v>
      </c>
      <c r="B35" s="78">
        <f>'Sessional + End Term Assessment'!B36</f>
        <v>0</v>
      </c>
      <c r="C35" s="78">
        <f>'Sessional + End Term Assessment'!C36</f>
        <v>0</v>
      </c>
      <c r="D35" s="53"/>
      <c r="E35" s="53"/>
      <c r="F35" s="77"/>
      <c r="G35" s="49">
        <f t="shared" si="0"/>
        <v>0</v>
      </c>
      <c r="H35" s="49">
        <f t="shared" si="1"/>
        <v>0</v>
      </c>
      <c r="I35" s="49">
        <f t="shared" si="2"/>
        <v>0</v>
      </c>
      <c r="J35" s="77"/>
      <c r="K35" s="49">
        <f t="shared" si="3"/>
        <v>0</v>
      </c>
      <c r="L35" s="49">
        <f t="shared" si="4"/>
        <v>0</v>
      </c>
      <c r="M35" s="49">
        <f t="shared" si="5"/>
        <v>0</v>
      </c>
      <c r="N35" s="77"/>
      <c r="O35" s="49">
        <f t="shared" si="6"/>
        <v>0</v>
      </c>
      <c r="P35" s="49">
        <f t="shared" si="7"/>
        <v>0</v>
      </c>
      <c r="Q35" s="49">
        <f t="shared" si="8"/>
        <v>0</v>
      </c>
      <c r="R35" s="77"/>
      <c r="S35" s="48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spans="1:30" ht="19.5" customHeight="1" x14ac:dyDescent="0.25">
      <c r="A36" s="47">
        <f>'Sessional + End Term Assessment'!A37</f>
        <v>30</v>
      </c>
      <c r="B36" s="78">
        <f>'Sessional + End Term Assessment'!B37</f>
        <v>0</v>
      </c>
      <c r="C36" s="78">
        <f>'Sessional + End Term Assessment'!C37</f>
        <v>0</v>
      </c>
      <c r="D36" s="53"/>
      <c r="E36" s="53"/>
      <c r="G36" s="49">
        <f t="shared" si="0"/>
        <v>0</v>
      </c>
      <c r="H36" s="49">
        <f t="shared" si="1"/>
        <v>0</v>
      </c>
      <c r="I36" s="49">
        <f t="shared" si="2"/>
        <v>0</v>
      </c>
      <c r="K36" s="49">
        <f t="shared" si="3"/>
        <v>0</v>
      </c>
      <c r="L36" s="49">
        <f t="shared" si="4"/>
        <v>0</v>
      </c>
      <c r="M36" s="49">
        <f t="shared" si="5"/>
        <v>0</v>
      </c>
      <c r="O36" s="49">
        <f t="shared" si="6"/>
        <v>0</v>
      </c>
      <c r="P36" s="49">
        <f t="shared" si="7"/>
        <v>0</v>
      </c>
      <c r="Q36" s="49">
        <f t="shared" si="8"/>
        <v>0</v>
      </c>
      <c r="S36" s="48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spans="1:30" ht="15.75" customHeight="1" x14ac:dyDescent="0.25">
      <c r="A37" s="47">
        <f>'Sessional + End Term Assessment'!A38</f>
        <v>31</v>
      </c>
      <c r="B37" s="78">
        <f>'Sessional + End Term Assessment'!B38</f>
        <v>0</v>
      </c>
      <c r="C37" s="78">
        <f>'Sessional + End Term Assessment'!C38</f>
        <v>0</v>
      </c>
      <c r="D37" s="53"/>
      <c r="E37" s="53"/>
      <c r="F37" s="77"/>
      <c r="G37" s="49">
        <f t="shared" ref="G37:G66" si="9">IF(F37&gt;=($F$6*0.5),1,0)</f>
        <v>0</v>
      </c>
      <c r="H37" s="49">
        <f t="shared" ref="H37:H66" si="10">IF(F37&gt;=($F$6*0.6),1,0)</f>
        <v>0</v>
      </c>
      <c r="I37" s="49">
        <f t="shared" ref="I37:I66" si="11">IF(F37&gt;=($F$6*0.7),1,0)</f>
        <v>0</v>
      </c>
      <c r="J37" s="77"/>
      <c r="K37" s="49">
        <f t="shared" ref="K37:K66" si="12">IF(J37&gt;=($J$6*0.7),1,0)</f>
        <v>0</v>
      </c>
      <c r="L37" s="49">
        <f t="shared" ref="L37:L66" si="13">IF(J37&gt;=($J$6*0.8),1,0)</f>
        <v>0</v>
      </c>
      <c r="M37" s="49">
        <f t="shared" ref="M37:M66" si="14">IF(J37&gt;=($J$6*0.9),1,0)</f>
        <v>0</v>
      </c>
      <c r="N37" s="77"/>
      <c r="O37" s="49">
        <f t="shared" ref="O37:O66" si="15">IF(N37&gt;=($N$6*0.7),1,0)</f>
        <v>0</v>
      </c>
      <c r="P37" s="49">
        <f t="shared" ref="P37:P66" si="16">IF(N37&gt;=($N$6*0.8),1,0)</f>
        <v>0</v>
      </c>
      <c r="Q37" s="49">
        <f t="shared" ref="Q37:Q66" si="17">IF(N37&gt;=($N$6*0.9),1,0)</f>
        <v>0</v>
      </c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spans="1:30" ht="15.75" customHeight="1" x14ac:dyDescent="0.25">
      <c r="A38" s="47">
        <f>'Sessional + End Term Assessment'!A39</f>
        <v>32</v>
      </c>
      <c r="B38" s="78">
        <f>'Sessional + End Term Assessment'!B39</f>
        <v>0</v>
      </c>
      <c r="C38" s="78">
        <f>'Sessional + End Term Assessment'!C39</f>
        <v>0</v>
      </c>
      <c r="D38" s="53"/>
      <c r="E38" s="53"/>
      <c r="F38" s="77"/>
      <c r="G38" s="49">
        <f t="shared" si="9"/>
        <v>0</v>
      </c>
      <c r="H38" s="49">
        <f t="shared" si="10"/>
        <v>0</v>
      </c>
      <c r="I38" s="49">
        <f t="shared" si="11"/>
        <v>0</v>
      </c>
      <c r="J38" s="77"/>
      <c r="K38" s="49">
        <f t="shared" si="12"/>
        <v>0</v>
      </c>
      <c r="L38" s="49">
        <f t="shared" si="13"/>
        <v>0</v>
      </c>
      <c r="M38" s="49">
        <f t="shared" si="14"/>
        <v>0</v>
      </c>
      <c r="N38" s="77"/>
      <c r="O38" s="49">
        <f t="shared" si="15"/>
        <v>0</v>
      </c>
      <c r="P38" s="49">
        <f t="shared" si="16"/>
        <v>0</v>
      </c>
      <c r="Q38" s="49">
        <f t="shared" si="17"/>
        <v>0</v>
      </c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spans="1:30" ht="15.75" customHeight="1" x14ac:dyDescent="0.25">
      <c r="A39" s="47">
        <f>'Sessional + End Term Assessment'!A40</f>
        <v>33</v>
      </c>
      <c r="B39" s="78">
        <f>'Sessional + End Term Assessment'!B40</f>
        <v>0</v>
      </c>
      <c r="C39" s="78">
        <f>'Sessional + End Term Assessment'!C40</f>
        <v>0</v>
      </c>
      <c r="D39" s="53"/>
      <c r="E39" s="53"/>
      <c r="G39" s="49">
        <f t="shared" si="9"/>
        <v>0</v>
      </c>
      <c r="H39" s="49">
        <f t="shared" si="10"/>
        <v>0</v>
      </c>
      <c r="I39" s="49">
        <f t="shared" si="11"/>
        <v>0</v>
      </c>
      <c r="K39" s="49">
        <f t="shared" si="12"/>
        <v>0</v>
      </c>
      <c r="L39" s="49">
        <f t="shared" si="13"/>
        <v>0</v>
      </c>
      <c r="M39" s="49">
        <f t="shared" si="14"/>
        <v>0</v>
      </c>
      <c r="O39" s="49">
        <f t="shared" si="15"/>
        <v>0</v>
      </c>
      <c r="P39" s="49">
        <f t="shared" si="16"/>
        <v>0</v>
      </c>
      <c r="Q39" s="49">
        <f t="shared" si="17"/>
        <v>0</v>
      </c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spans="1:30" ht="15.75" customHeight="1" x14ac:dyDescent="0.25">
      <c r="A40" s="47">
        <f>'Sessional + End Term Assessment'!A41</f>
        <v>34</v>
      </c>
      <c r="B40" s="78">
        <f>'Sessional + End Term Assessment'!B41</f>
        <v>0</v>
      </c>
      <c r="C40" s="78">
        <f>'Sessional + End Term Assessment'!C41</f>
        <v>0</v>
      </c>
      <c r="D40" s="53"/>
      <c r="E40" s="53"/>
      <c r="F40" s="77"/>
      <c r="G40" s="49">
        <f t="shared" si="9"/>
        <v>0</v>
      </c>
      <c r="H40" s="49">
        <f t="shared" si="10"/>
        <v>0</v>
      </c>
      <c r="I40" s="49">
        <f t="shared" si="11"/>
        <v>0</v>
      </c>
      <c r="J40" s="77"/>
      <c r="K40" s="49">
        <f t="shared" si="12"/>
        <v>0</v>
      </c>
      <c r="L40" s="49">
        <f t="shared" si="13"/>
        <v>0</v>
      </c>
      <c r="M40" s="49">
        <f t="shared" si="14"/>
        <v>0</v>
      </c>
      <c r="N40" s="77"/>
      <c r="O40" s="49">
        <f t="shared" si="15"/>
        <v>0</v>
      </c>
      <c r="P40" s="49">
        <f t="shared" si="16"/>
        <v>0</v>
      </c>
      <c r="Q40" s="49">
        <f t="shared" si="17"/>
        <v>0</v>
      </c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 ht="15.75" customHeight="1" x14ac:dyDescent="0.25">
      <c r="A41" s="47">
        <f>'Sessional + End Term Assessment'!A42</f>
        <v>35</v>
      </c>
      <c r="B41" s="78">
        <f>'Sessional + End Term Assessment'!B42</f>
        <v>0</v>
      </c>
      <c r="C41" s="78">
        <f>'Sessional + End Term Assessment'!C42</f>
        <v>0</v>
      </c>
      <c r="D41" s="53"/>
      <c r="E41" s="53"/>
      <c r="F41" s="77"/>
      <c r="G41" s="49">
        <f t="shared" si="9"/>
        <v>0</v>
      </c>
      <c r="H41" s="49">
        <f t="shared" si="10"/>
        <v>0</v>
      </c>
      <c r="I41" s="49">
        <f t="shared" si="11"/>
        <v>0</v>
      </c>
      <c r="J41" s="77"/>
      <c r="K41" s="49">
        <f t="shared" si="12"/>
        <v>0</v>
      </c>
      <c r="L41" s="49">
        <f t="shared" si="13"/>
        <v>0</v>
      </c>
      <c r="M41" s="49">
        <f t="shared" si="14"/>
        <v>0</v>
      </c>
      <c r="N41" s="77"/>
      <c r="O41" s="49">
        <f t="shared" si="15"/>
        <v>0</v>
      </c>
      <c r="P41" s="49">
        <f t="shared" si="16"/>
        <v>0</v>
      </c>
      <c r="Q41" s="49">
        <f t="shared" si="17"/>
        <v>0</v>
      </c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30" ht="15.75" customHeight="1" x14ac:dyDescent="0.25">
      <c r="A42" s="47">
        <f>'Sessional + End Term Assessment'!A43</f>
        <v>36</v>
      </c>
      <c r="B42" s="78">
        <f>'Sessional + End Term Assessment'!B43</f>
        <v>0</v>
      </c>
      <c r="C42" s="78">
        <f>'Sessional + End Term Assessment'!C43</f>
        <v>0</v>
      </c>
      <c r="D42" s="53"/>
      <c r="E42" s="53"/>
      <c r="G42" s="49">
        <f t="shared" si="9"/>
        <v>0</v>
      </c>
      <c r="H42" s="49">
        <f t="shared" si="10"/>
        <v>0</v>
      </c>
      <c r="I42" s="49">
        <f t="shared" si="11"/>
        <v>0</v>
      </c>
      <c r="K42" s="49">
        <f t="shared" si="12"/>
        <v>0</v>
      </c>
      <c r="L42" s="49">
        <f t="shared" si="13"/>
        <v>0</v>
      </c>
      <c r="M42" s="49">
        <f t="shared" si="14"/>
        <v>0</v>
      </c>
      <c r="O42" s="49">
        <f t="shared" si="15"/>
        <v>0</v>
      </c>
      <c r="P42" s="49">
        <f t="shared" si="16"/>
        <v>0</v>
      </c>
      <c r="Q42" s="49">
        <f t="shared" si="17"/>
        <v>0</v>
      </c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 ht="15.75" customHeight="1" x14ac:dyDescent="0.25">
      <c r="A43" s="47">
        <f>'Sessional + End Term Assessment'!A44</f>
        <v>37</v>
      </c>
      <c r="B43" s="78">
        <f>'Sessional + End Term Assessment'!B44</f>
        <v>0</v>
      </c>
      <c r="C43" s="78">
        <f>'Sessional + End Term Assessment'!C44</f>
        <v>0</v>
      </c>
      <c r="D43" s="53"/>
      <c r="E43" s="53"/>
      <c r="F43" s="77"/>
      <c r="G43" s="49">
        <f t="shared" si="9"/>
        <v>0</v>
      </c>
      <c r="H43" s="49">
        <f t="shared" si="10"/>
        <v>0</v>
      </c>
      <c r="I43" s="49">
        <f t="shared" si="11"/>
        <v>0</v>
      </c>
      <c r="J43" s="77"/>
      <c r="K43" s="49">
        <f t="shared" si="12"/>
        <v>0</v>
      </c>
      <c r="L43" s="49">
        <f t="shared" si="13"/>
        <v>0</v>
      </c>
      <c r="M43" s="49">
        <f t="shared" si="14"/>
        <v>0</v>
      </c>
      <c r="N43" s="77"/>
      <c r="O43" s="49">
        <f t="shared" si="15"/>
        <v>0</v>
      </c>
      <c r="P43" s="49">
        <f t="shared" si="16"/>
        <v>0</v>
      </c>
      <c r="Q43" s="49">
        <f t="shared" si="17"/>
        <v>0</v>
      </c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30" ht="15.75" customHeight="1" x14ac:dyDescent="0.25">
      <c r="A44" s="47">
        <f>'Sessional + End Term Assessment'!A45</f>
        <v>38</v>
      </c>
      <c r="B44" s="78">
        <f>'Sessional + End Term Assessment'!B45</f>
        <v>0</v>
      </c>
      <c r="C44" s="78">
        <f>'Sessional + End Term Assessment'!C45</f>
        <v>0</v>
      </c>
      <c r="D44" s="53"/>
      <c r="E44" s="53"/>
      <c r="F44" s="77"/>
      <c r="G44" s="49">
        <f t="shared" si="9"/>
        <v>0</v>
      </c>
      <c r="H44" s="49">
        <f t="shared" si="10"/>
        <v>0</v>
      </c>
      <c r="I44" s="49">
        <f t="shared" si="11"/>
        <v>0</v>
      </c>
      <c r="J44" s="77"/>
      <c r="K44" s="49">
        <f t="shared" si="12"/>
        <v>0</v>
      </c>
      <c r="L44" s="49">
        <f t="shared" si="13"/>
        <v>0</v>
      </c>
      <c r="M44" s="49">
        <f t="shared" si="14"/>
        <v>0</v>
      </c>
      <c r="N44" s="77"/>
      <c r="O44" s="49">
        <f t="shared" si="15"/>
        <v>0</v>
      </c>
      <c r="P44" s="49">
        <f t="shared" si="16"/>
        <v>0</v>
      </c>
      <c r="Q44" s="49">
        <f t="shared" si="17"/>
        <v>0</v>
      </c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 ht="15.75" customHeight="1" x14ac:dyDescent="0.25">
      <c r="A45" s="47">
        <f>'Sessional + End Term Assessment'!A46</f>
        <v>39</v>
      </c>
      <c r="B45" s="78">
        <f>'Sessional + End Term Assessment'!B46</f>
        <v>0</v>
      </c>
      <c r="C45" s="78">
        <f>'Sessional + End Term Assessment'!C46</f>
        <v>0</v>
      </c>
      <c r="D45" s="53"/>
      <c r="E45" s="53"/>
      <c r="G45" s="49">
        <f t="shared" si="9"/>
        <v>0</v>
      </c>
      <c r="H45" s="49">
        <f t="shared" si="10"/>
        <v>0</v>
      </c>
      <c r="I45" s="49">
        <f t="shared" si="11"/>
        <v>0</v>
      </c>
      <c r="K45" s="49">
        <f t="shared" si="12"/>
        <v>0</v>
      </c>
      <c r="L45" s="49">
        <f t="shared" si="13"/>
        <v>0</v>
      </c>
      <c r="M45" s="49">
        <f t="shared" si="14"/>
        <v>0</v>
      </c>
      <c r="O45" s="49">
        <f t="shared" si="15"/>
        <v>0</v>
      </c>
      <c r="P45" s="49">
        <f t="shared" si="16"/>
        <v>0</v>
      </c>
      <c r="Q45" s="49">
        <f t="shared" si="17"/>
        <v>0</v>
      </c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 ht="15.75" customHeight="1" x14ac:dyDescent="0.25">
      <c r="A46" s="47">
        <f>'Sessional + End Term Assessment'!A47</f>
        <v>40</v>
      </c>
      <c r="B46" s="78">
        <f>'Sessional + End Term Assessment'!B47</f>
        <v>0</v>
      </c>
      <c r="C46" s="78">
        <f>'Sessional + End Term Assessment'!C47</f>
        <v>0</v>
      </c>
      <c r="D46" s="53"/>
      <c r="E46" s="53"/>
      <c r="F46" s="77"/>
      <c r="G46" s="49">
        <f t="shared" si="9"/>
        <v>0</v>
      </c>
      <c r="H46" s="49">
        <f t="shared" si="10"/>
        <v>0</v>
      </c>
      <c r="I46" s="49">
        <f t="shared" si="11"/>
        <v>0</v>
      </c>
      <c r="J46" s="77"/>
      <c r="K46" s="49">
        <f t="shared" si="12"/>
        <v>0</v>
      </c>
      <c r="L46" s="49">
        <f t="shared" si="13"/>
        <v>0</v>
      </c>
      <c r="M46" s="49">
        <f t="shared" si="14"/>
        <v>0</v>
      </c>
      <c r="N46" s="77"/>
      <c r="O46" s="49">
        <f t="shared" si="15"/>
        <v>0</v>
      </c>
      <c r="P46" s="49">
        <f t="shared" si="16"/>
        <v>0</v>
      </c>
      <c r="Q46" s="49">
        <f t="shared" si="17"/>
        <v>0</v>
      </c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 ht="15.75" customHeight="1" x14ac:dyDescent="0.25">
      <c r="A47" s="47">
        <f>'Sessional + End Term Assessment'!A48</f>
        <v>41</v>
      </c>
      <c r="B47" s="78">
        <f>'Sessional + End Term Assessment'!B48</f>
        <v>0</v>
      </c>
      <c r="C47" s="78">
        <f>'Sessional + End Term Assessment'!C48</f>
        <v>0</v>
      </c>
      <c r="D47" s="53"/>
      <c r="E47" s="53"/>
      <c r="F47" s="77"/>
      <c r="G47" s="49">
        <f t="shared" si="9"/>
        <v>0</v>
      </c>
      <c r="H47" s="49">
        <f t="shared" si="10"/>
        <v>0</v>
      </c>
      <c r="I47" s="49">
        <f t="shared" si="11"/>
        <v>0</v>
      </c>
      <c r="J47" s="77"/>
      <c r="K47" s="49">
        <f t="shared" si="12"/>
        <v>0</v>
      </c>
      <c r="L47" s="49">
        <f t="shared" si="13"/>
        <v>0</v>
      </c>
      <c r="M47" s="49">
        <f t="shared" si="14"/>
        <v>0</v>
      </c>
      <c r="N47" s="77"/>
      <c r="O47" s="49">
        <f t="shared" si="15"/>
        <v>0</v>
      </c>
      <c r="P47" s="49">
        <f t="shared" si="16"/>
        <v>0</v>
      </c>
      <c r="Q47" s="49">
        <f t="shared" si="17"/>
        <v>0</v>
      </c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1:30" ht="15.75" customHeight="1" x14ac:dyDescent="0.25">
      <c r="A48" s="47">
        <f>'Sessional + End Term Assessment'!A49</f>
        <v>42</v>
      </c>
      <c r="B48" s="78">
        <f>'Sessional + End Term Assessment'!B49</f>
        <v>0</v>
      </c>
      <c r="C48" s="78">
        <f>'Sessional + End Term Assessment'!C49</f>
        <v>0</v>
      </c>
      <c r="D48" s="53"/>
      <c r="E48" s="53"/>
      <c r="G48" s="49">
        <f t="shared" si="9"/>
        <v>0</v>
      </c>
      <c r="H48" s="49">
        <f t="shared" si="10"/>
        <v>0</v>
      </c>
      <c r="I48" s="49">
        <f t="shared" si="11"/>
        <v>0</v>
      </c>
      <c r="K48" s="49">
        <f t="shared" si="12"/>
        <v>0</v>
      </c>
      <c r="L48" s="49">
        <f t="shared" si="13"/>
        <v>0</v>
      </c>
      <c r="M48" s="49">
        <f t="shared" si="14"/>
        <v>0</v>
      </c>
      <c r="O48" s="49">
        <f t="shared" si="15"/>
        <v>0</v>
      </c>
      <c r="P48" s="49">
        <f t="shared" si="16"/>
        <v>0</v>
      </c>
      <c r="Q48" s="49">
        <f t="shared" si="17"/>
        <v>0</v>
      </c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spans="1:30" ht="15.75" customHeight="1" x14ac:dyDescent="0.25">
      <c r="A49" s="47">
        <f>'Sessional + End Term Assessment'!A50</f>
        <v>43</v>
      </c>
      <c r="B49" s="78">
        <f>'Sessional + End Term Assessment'!B50</f>
        <v>0</v>
      </c>
      <c r="C49" s="78">
        <f>'Sessional + End Term Assessment'!C50</f>
        <v>0</v>
      </c>
      <c r="D49" s="53"/>
      <c r="E49" s="53"/>
      <c r="F49" s="77"/>
      <c r="G49" s="49">
        <f t="shared" si="9"/>
        <v>0</v>
      </c>
      <c r="H49" s="49">
        <f t="shared" si="10"/>
        <v>0</v>
      </c>
      <c r="I49" s="49">
        <f t="shared" si="11"/>
        <v>0</v>
      </c>
      <c r="J49" s="77"/>
      <c r="K49" s="49">
        <f t="shared" si="12"/>
        <v>0</v>
      </c>
      <c r="L49" s="49">
        <f t="shared" si="13"/>
        <v>0</v>
      </c>
      <c r="M49" s="49">
        <f t="shared" si="14"/>
        <v>0</v>
      </c>
      <c r="N49" s="77"/>
      <c r="O49" s="49">
        <f t="shared" si="15"/>
        <v>0</v>
      </c>
      <c r="P49" s="49">
        <f t="shared" si="16"/>
        <v>0</v>
      </c>
      <c r="Q49" s="49">
        <f t="shared" si="17"/>
        <v>0</v>
      </c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spans="1:30" ht="15.75" customHeight="1" x14ac:dyDescent="0.25">
      <c r="A50" s="47">
        <f>'Sessional + End Term Assessment'!A51</f>
        <v>44</v>
      </c>
      <c r="B50" s="78">
        <f>'Sessional + End Term Assessment'!B51</f>
        <v>0</v>
      </c>
      <c r="C50" s="78">
        <f>'Sessional + End Term Assessment'!C51</f>
        <v>0</v>
      </c>
      <c r="D50" s="53"/>
      <c r="E50" s="53"/>
      <c r="F50" s="77"/>
      <c r="G50" s="49">
        <f t="shared" si="9"/>
        <v>0</v>
      </c>
      <c r="H50" s="49">
        <f t="shared" si="10"/>
        <v>0</v>
      </c>
      <c r="I50" s="49">
        <f t="shared" si="11"/>
        <v>0</v>
      </c>
      <c r="J50" s="77"/>
      <c r="K50" s="49">
        <f t="shared" si="12"/>
        <v>0</v>
      </c>
      <c r="L50" s="49">
        <f t="shared" si="13"/>
        <v>0</v>
      </c>
      <c r="M50" s="49">
        <f t="shared" si="14"/>
        <v>0</v>
      </c>
      <c r="N50" s="77"/>
      <c r="O50" s="49">
        <f t="shared" si="15"/>
        <v>0</v>
      </c>
      <c r="P50" s="49">
        <f t="shared" si="16"/>
        <v>0</v>
      </c>
      <c r="Q50" s="49">
        <f t="shared" si="17"/>
        <v>0</v>
      </c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spans="1:30" ht="15.75" customHeight="1" x14ac:dyDescent="0.25">
      <c r="A51" s="47">
        <f>'Sessional + End Term Assessment'!A52</f>
        <v>45</v>
      </c>
      <c r="B51" s="78">
        <f>'Sessional + End Term Assessment'!B52</f>
        <v>0</v>
      </c>
      <c r="C51" s="78">
        <f>'Sessional + End Term Assessment'!C52</f>
        <v>0</v>
      </c>
      <c r="D51" s="53"/>
      <c r="E51" s="53"/>
      <c r="G51" s="49">
        <f t="shared" si="9"/>
        <v>0</v>
      </c>
      <c r="H51" s="49">
        <f t="shared" si="10"/>
        <v>0</v>
      </c>
      <c r="I51" s="49">
        <f t="shared" si="11"/>
        <v>0</v>
      </c>
      <c r="K51" s="49">
        <f t="shared" si="12"/>
        <v>0</v>
      </c>
      <c r="L51" s="49">
        <f t="shared" si="13"/>
        <v>0</v>
      </c>
      <c r="M51" s="49">
        <f t="shared" si="14"/>
        <v>0</v>
      </c>
      <c r="O51" s="49">
        <f t="shared" si="15"/>
        <v>0</v>
      </c>
      <c r="P51" s="49">
        <f t="shared" si="16"/>
        <v>0</v>
      </c>
      <c r="Q51" s="49">
        <f t="shared" si="17"/>
        <v>0</v>
      </c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spans="1:30" ht="15.75" customHeight="1" x14ac:dyDescent="0.25">
      <c r="A52" s="47">
        <f>'Sessional + End Term Assessment'!A53</f>
        <v>46</v>
      </c>
      <c r="B52" s="78">
        <f>'Sessional + End Term Assessment'!B53</f>
        <v>0</v>
      </c>
      <c r="C52" s="78">
        <f>'Sessional + End Term Assessment'!C53</f>
        <v>0</v>
      </c>
      <c r="D52" s="53"/>
      <c r="E52" s="53"/>
      <c r="F52" s="77"/>
      <c r="G52" s="49">
        <f t="shared" si="9"/>
        <v>0</v>
      </c>
      <c r="H52" s="49">
        <f t="shared" si="10"/>
        <v>0</v>
      </c>
      <c r="I52" s="49">
        <f t="shared" si="11"/>
        <v>0</v>
      </c>
      <c r="J52" s="77"/>
      <c r="K52" s="49">
        <f t="shared" si="12"/>
        <v>0</v>
      </c>
      <c r="L52" s="49">
        <f t="shared" si="13"/>
        <v>0</v>
      </c>
      <c r="M52" s="49">
        <f t="shared" si="14"/>
        <v>0</v>
      </c>
      <c r="N52" s="77"/>
      <c r="O52" s="49">
        <f t="shared" si="15"/>
        <v>0</v>
      </c>
      <c r="P52" s="49">
        <f t="shared" si="16"/>
        <v>0</v>
      </c>
      <c r="Q52" s="49">
        <f t="shared" si="17"/>
        <v>0</v>
      </c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spans="1:30" ht="15.75" customHeight="1" x14ac:dyDescent="0.25">
      <c r="A53" s="47">
        <f>'Sessional + End Term Assessment'!A54</f>
        <v>47</v>
      </c>
      <c r="B53" s="78">
        <f>'Sessional + End Term Assessment'!B54</f>
        <v>0</v>
      </c>
      <c r="C53" s="78">
        <f>'Sessional + End Term Assessment'!C54</f>
        <v>0</v>
      </c>
      <c r="D53" s="53"/>
      <c r="E53" s="53"/>
      <c r="F53" s="77"/>
      <c r="G53" s="49">
        <f t="shared" si="9"/>
        <v>0</v>
      </c>
      <c r="H53" s="49">
        <f t="shared" si="10"/>
        <v>0</v>
      </c>
      <c r="I53" s="49">
        <f t="shared" si="11"/>
        <v>0</v>
      </c>
      <c r="J53" s="77"/>
      <c r="K53" s="49">
        <f t="shared" si="12"/>
        <v>0</v>
      </c>
      <c r="L53" s="49">
        <f t="shared" si="13"/>
        <v>0</v>
      </c>
      <c r="M53" s="49">
        <f t="shared" si="14"/>
        <v>0</v>
      </c>
      <c r="N53" s="77"/>
      <c r="O53" s="49">
        <f t="shared" si="15"/>
        <v>0</v>
      </c>
      <c r="P53" s="49">
        <f t="shared" si="16"/>
        <v>0</v>
      </c>
      <c r="Q53" s="49">
        <f t="shared" si="17"/>
        <v>0</v>
      </c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spans="1:30" ht="15.75" customHeight="1" x14ac:dyDescent="0.25">
      <c r="A54" s="47">
        <f>'Sessional + End Term Assessment'!A55</f>
        <v>48</v>
      </c>
      <c r="B54" s="78">
        <f>'Sessional + End Term Assessment'!B55</f>
        <v>0</v>
      </c>
      <c r="C54" s="78">
        <f>'Sessional + End Term Assessment'!C55</f>
        <v>0</v>
      </c>
      <c r="D54" s="53"/>
      <c r="E54" s="53"/>
      <c r="G54" s="49">
        <f t="shared" si="9"/>
        <v>0</v>
      </c>
      <c r="H54" s="49">
        <f t="shared" si="10"/>
        <v>0</v>
      </c>
      <c r="I54" s="49">
        <f t="shared" si="11"/>
        <v>0</v>
      </c>
      <c r="K54" s="49">
        <f t="shared" si="12"/>
        <v>0</v>
      </c>
      <c r="L54" s="49">
        <f t="shared" si="13"/>
        <v>0</v>
      </c>
      <c r="M54" s="49">
        <f t="shared" si="14"/>
        <v>0</v>
      </c>
      <c r="O54" s="49">
        <f t="shared" si="15"/>
        <v>0</v>
      </c>
      <c r="P54" s="49">
        <f t="shared" si="16"/>
        <v>0</v>
      </c>
      <c r="Q54" s="49">
        <f t="shared" si="17"/>
        <v>0</v>
      </c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spans="1:30" ht="15.75" customHeight="1" x14ac:dyDescent="0.25">
      <c r="A55" s="47">
        <f>'Sessional + End Term Assessment'!A56</f>
        <v>49</v>
      </c>
      <c r="B55" s="78">
        <f>'Sessional + End Term Assessment'!B56</f>
        <v>0</v>
      </c>
      <c r="C55" s="78">
        <f>'Sessional + End Term Assessment'!C56</f>
        <v>0</v>
      </c>
      <c r="D55" s="53"/>
      <c r="E55" s="53"/>
      <c r="F55" s="77"/>
      <c r="G55" s="49">
        <f t="shared" si="9"/>
        <v>0</v>
      </c>
      <c r="H55" s="49">
        <f t="shared" si="10"/>
        <v>0</v>
      </c>
      <c r="I55" s="49">
        <f t="shared" si="11"/>
        <v>0</v>
      </c>
      <c r="J55" s="77"/>
      <c r="K55" s="49">
        <f t="shared" si="12"/>
        <v>0</v>
      </c>
      <c r="L55" s="49">
        <f t="shared" si="13"/>
        <v>0</v>
      </c>
      <c r="M55" s="49">
        <f t="shared" si="14"/>
        <v>0</v>
      </c>
      <c r="N55" s="77"/>
      <c r="O55" s="49">
        <f t="shared" si="15"/>
        <v>0</v>
      </c>
      <c r="P55" s="49">
        <f t="shared" si="16"/>
        <v>0</v>
      </c>
      <c r="Q55" s="49">
        <f t="shared" si="17"/>
        <v>0</v>
      </c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 spans="1:30" ht="15.75" customHeight="1" x14ac:dyDescent="0.25">
      <c r="A56" s="47">
        <f>'Sessional + End Term Assessment'!A57</f>
        <v>50</v>
      </c>
      <c r="B56" s="78">
        <f>'Sessional + End Term Assessment'!B57</f>
        <v>0</v>
      </c>
      <c r="C56" s="78">
        <f>'Sessional + End Term Assessment'!C57</f>
        <v>0</v>
      </c>
      <c r="D56" s="53"/>
      <c r="E56" s="53"/>
      <c r="F56" s="77"/>
      <c r="G56" s="49">
        <f t="shared" si="9"/>
        <v>0</v>
      </c>
      <c r="H56" s="49">
        <f t="shared" si="10"/>
        <v>0</v>
      </c>
      <c r="I56" s="49">
        <f t="shared" si="11"/>
        <v>0</v>
      </c>
      <c r="J56" s="77"/>
      <c r="K56" s="49">
        <f t="shared" si="12"/>
        <v>0</v>
      </c>
      <c r="L56" s="49">
        <f t="shared" si="13"/>
        <v>0</v>
      </c>
      <c r="M56" s="49">
        <f t="shared" si="14"/>
        <v>0</v>
      </c>
      <c r="N56" s="77"/>
      <c r="O56" s="49">
        <f t="shared" si="15"/>
        <v>0</v>
      </c>
      <c r="P56" s="49">
        <f t="shared" si="16"/>
        <v>0</v>
      </c>
      <c r="Q56" s="49">
        <f t="shared" si="17"/>
        <v>0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 spans="1:30" ht="15.75" customHeight="1" x14ac:dyDescent="0.25">
      <c r="A57" s="47">
        <f>'Sessional + End Term Assessment'!A58</f>
        <v>51</v>
      </c>
      <c r="B57" s="78">
        <f>'Sessional + End Term Assessment'!B58</f>
        <v>0</v>
      </c>
      <c r="C57" s="78">
        <f>'Sessional + End Term Assessment'!C58</f>
        <v>0</v>
      </c>
      <c r="D57" s="53"/>
      <c r="E57" s="53"/>
      <c r="G57" s="49">
        <f t="shared" si="9"/>
        <v>0</v>
      </c>
      <c r="H57" s="49">
        <f t="shared" si="10"/>
        <v>0</v>
      </c>
      <c r="I57" s="49">
        <f t="shared" si="11"/>
        <v>0</v>
      </c>
      <c r="K57" s="49">
        <f t="shared" si="12"/>
        <v>0</v>
      </c>
      <c r="L57" s="49">
        <f t="shared" si="13"/>
        <v>0</v>
      </c>
      <c r="M57" s="49">
        <f t="shared" si="14"/>
        <v>0</v>
      </c>
      <c r="O57" s="49">
        <f t="shared" si="15"/>
        <v>0</v>
      </c>
      <c r="P57" s="49">
        <f t="shared" si="16"/>
        <v>0</v>
      </c>
      <c r="Q57" s="49">
        <f t="shared" si="17"/>
        <v>0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 spans="1:30" ht="15.75" customHeight="1" x14ac:dyDescent="0.25">
      <c r="A58" s="47">
        <f>'Sessional + End Term Assessment'!A59</f>
        <v>52</v>
      </c>
      <c r="B58" s="78">
        <f>'Sessional + End Term Assessment'!B59</f>
        <v>0</v>
      </c>
      <c r="C58" s="78">
        <f>'Sessional + End Term Assessment'!C59</f>
        <v>0</v>
      </c>
      <c r="D58" s="53"/>
      <c r="E58" s="53"/>
      <c r="F58" s="77"/>
      <c r="G58" s="49">
        <f t="shared" si="9"/>
        <v>0</v>
      </c>
      <c r="H58" s="49">
        <f t="shared" si="10"/>
        <v>0</v>
      </c>
      <c r="I58" s="49">
        <f t="shared" si="11"/>
        <v>0</v>
      </c>
      <c r="J58" s="77"/>
      <c r="K58" s="49">
        <f t="shared" si="12"/>
        <v>0</v>
      </c>
      <c r="L58" s="49">
        <f t="shared" si="13"/>
        <v>0</v>
      </c>
      <c r="M58" s="49">
        <f t="shared" si="14"/>
        <v>0</v>
      </c>
      <c r="N58" s="77"/>
      <c r="O58" s="49">
        <f t="shared" si="15"/>
        <v>0</v>
      </c>
      <c r="P58" s="49">
        <f t="shared" si="16"/>
        <v>0</v>
      </c>
      <c r="Q58" s="49">
        <f t="shared" si="17"/>
        <v>0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spans="1:30" ht="15.75" customHeight="1" x14ac:dyDescent="0.25">
      <c r="A59" s="47">
        <f>'Sessional + End Term Assessment'!A60</f>
        <v>53</v>
      </c>
      <c r="B59" s="78">
        <f>'Sessional + End Term Assessment'!B60</f>
        <v>0</v>
      </c>
      <c r="C59" s="78">
        <f>'Sessional + End Term Assessment'!C60</f>
        <v>0</v>
      </c>
      <c r="D59" s="53"/>
      <c r="E59" s="53"/>
      <c r="F59" s="77"/>
      <c r="G59" s="49">
        <f t="shared" si="9"/>
        <v>0</v>
      </c>
      <c r="H59" s="49">
        <f t="shared" si="10"/>
        <v>0</v>
      </c>
      <c r="I59" s="49">
        <f t="shared" si="11"/>
        <v>0</v>
      </c>
      <c r="J59" s="77"/>
      <c r="K59" s="49">
        <f t="shared" si="12"/>
        <v>0</v>
      </c>
      <c r="L59" s="49">
        <f t="shared" si="13"/>
        <v>0</v>
      </c>
      <c r="M59" s="49">
        <f t="shared" si="14"/>
        <v>0</v>
      </c>
      <c r="N59" s="77"/>
      <c r="O59" s="49">
        <f t="shared" si="15"/>
        <v>0</v>
      </c>
      <c r="P59" s="49">
        <f t="shared" si="16"/>
        <v>0</v>
      </c>
      <c r="Q59" s="49">
        <f t="shared" si="17"/>
        <v>0</v>
      </c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spans="1:30" ht="15.75" customHeight="1" x14ac:dyDescent="0.25">
      <c r="A60" s="47">
        <f>'Sessional + End Term Assessment'!A61</f>
        <v>54</v>
      </c>
      <c r="B60" s="78">
        <f>'Sessional + End Term Assessment'!B61</f>
        <v>0</v>
      </c>
      <c r="C60" s="78">
        <f>'Sessional + End Term Assessment'!C61</f>
        <v>0</v>
      </c>
      <c r="D60" s="53"/>
      <c r="E60" s="53"/>
      <c r="G60" s="49">
        <f t="shared" si="9"/>
        <v>0</v>
      </c>
      <c r="H60" s="49">
        <f t="shared" si="10"/>
        <v>0</v>
      </c>
      <c r="I60" s="49">
        <f t="shared" si="11"/>
        <v>0</v>
      </c>
      <c r="K60" s="49">
        <f t="shared" si="12"/>
        <v>0</v>
      </c>
      <c r="L60" s="49">
        <f t="shared" si="13"/>
        <v>0</v>
      </c>
      <c r="M60" s="49">
        <f t="shared" si="14"/>
        <v>0</v>
      </c>
      <c r="O60" s="49">
        <f t="shared" si="15"/>
        <v>0</v>
      </c>
      <c r="P60" s="49">
        <f t="shared" si="16"/>
        <v>0</v>
      </c>
      <c r="Q60" s="49">
        <f t="shared" si="17"/>
        <v>0</v>
      </c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 spans="1:30" ht="15.75" customHeight="1" x14ac:dyDescent="0.25">
      <c r="A61" s="47">
        <f>'Sessional + End Term Assessment'!A62</f>
        <v>55</v>
      </c>
      <c r="B61" s="78">
        <f>'Sessional + End Term Assessment'!B62</f>
        <v>0</v>
      </c>
      <c r="C61" s="78">
        <f>'Sessional + End Term Assessment'!C62</f>
        <v>0</v>
      </c>
      <c r="D61" s="53"/>
      <c r="E61" s="53"/>
      <c r="F61" s="77"/>
      <c r="G61" s="49">
        <f t="shared" si="9"/>
        <v>0</v>
      </c>
      <c r="H61" s="49">
        <f t="shared" si="10"/>
        <v>0</v>
      </c>
      <c r="I61" s="49">
        <f t="shared" si="11"/>
        <v>0</v>
      </c>
      <c r="J61" s="77"/>
      <c r="K61" s="49">
        <f t="shared" si="12"/>
        <v>0</v>
      </c>
      <c r="L61" s="49">
        <f t="shared" si="13"/>
        <v>0</v>
      </c>
      <c r="M61" s="49">
        <f t="shared" si="14"/>
        <v>0</v>
      </c>
      <c r="N61" s="77"/>
      <c r="O61" s="49">
        <f t="shared" si="15"/>
        <v>0</v>
      </c>
      <c r="P61" s="49">
        <f t="shared" si="16"/>
        <v>0</v>
      </c>
      <c r="Q61" s="49">
        <f t="shared" si="17"/>
        <v>0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 spans="1:30" ht="15.75" customHeight="1" x14ac:dyDescent="0.25">
      <c r="A62" s="47">
        <f>'Sessional + End Term Assessment'!A63</f>
        <v>56</v>
      </c>
      <c r="B62" s="78">
        <f>'Sessional + End Term Assessment'!B63</f>
        <v>0</v>
      </c>
      <c r="C62" s="78">
        <f>'Sessional + End Term Assessment'!C63</f>
        <v>0</v>
      </c>
      <c r="D62" s="53"/>
      <c r="E62" s="53"/>
      <c r="F62" s="77"/>
      <c r="G62" s="49">
        <f t="shared" si="9"/>
        <v>0</v>
      </c>
      <c r="H62" s="49">
        <f t="shared" si="10"/>
        <v>0</v>
      </c>
      <c r="I62" s="49">
        <f t="shared" si="11"/>
        <v>0</v>
      </c>
      <c r="J62" s="77"/>
      <c r="K62" s="49">
        <f t="shared" si="12"/>
        <v>0</v>
      </c>
      <c r="L62" s="49">
        <f t="shared" si="13"/>
        <v>0</v>
      </c>
      <c r="M62" s="49">
        <f t="shared" si="14"/>
        <v>0</v>
      </c>
      <c r="N62" s="77"/>
      <c r="O62" s="49">
        <f t="shared" si="15"/>
        <v>0</v>
      </c>
      <c r="P62" s="49">
        <f t="shared" si="16"/>
        <v>0</v>
      </c>
      <c r="Q62" s="49">
        <f t="shared" si="17"/>
        <v>0</v>
      </c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 spans="1:30" ht="15.75" customHeight="1" x14ac:dyDescent="0.25">
      <c r="A63" s="47">
        <f>'Sessional + End Term Assessment'!A64</f>
        <v>57</v>
      </c>
      <c r="B63" s="78">
        <f>'Sessional + End Term Assessment'!B64</f>
        <v>0</v>
      </c>
      <c r="C63" s="78">
        <f>'Sessional + End Term Assessment'!C64</f>
        <v>0</v>
      </c>
      <c r="D63" s="53"/>
      <c r="E63" s="53"/>
      <c r="G63" s="49">
        <f t="shared" si="9"/>
        <v>0</v>
      </c>
      <c r="H63" s="49">
        <f t="shared" si="10"/>
        <v>0</v>
      </c>
      <c r="I63" s="49">
        <f t="shared" si="11"/>
        <v>0</v>
      </c>
      <c r="K63" s="49">
        <f t="shared" si="12"/>
        <v>0</v>
      </c>
      <c r="L63" s="49">
        <f t="shared" si="13"/>
        <v>0</v>
      </c>
      <c r="M63" s="49">
        <f t="shared" si="14"/>
        <v>0</v>
      </c>
      <c r="O63" s="49">
        <f t="shared" si="15"/>
        <v>0</v>
      </c>
      <c r="P63" s="49">
        <f t="shared" si="16"/>
        <v>0</v>
      </c>
      <c r="Q63" s="49">
        <f t="shared" si="17"/>
        <v>0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 spans="1:30" ht="15.75" customHeight="1" x14ac:dyDescent="0.25">
      <c r="A64" s="47">
        <f>'Sessional + End Term Assessment'!A65</f>
        <v>58</v>
      </c>
      <c r="B64" s="78">
        <f>'Sessional + End Term Assessment'!B65</f>
        <v>0</v>
      </c>
      <c r="C64" s="78">
        <f>'Sessional + End Term Assessment'!C65</f>
        <v>0</v>
      </c>
      <c r="D64" s="53"/>
      <c r="E64" s="53"/>
      <c r="F64" s="77"/>
      <c r="G64" s="49">
        <f t="shared" si="9"/>
        <v>0</v>
      </c>
      <c r="H64" s="49">
        <f t="shared" si="10"/>
        <v>0</v>
      </c>
      <c r="I64" s="49">
        <f t="shared" si="11"/>
        <v>0</v>
      </c>
      <c r="J64" s="77"/>
      <c r="K64" s="49">
        <f t="shared" si="12"/>
        <v>0</v>
      </c>
      <c r="L64" s="49">
        <f t="shared" si="13"/>
        <v>0</v>
      </c>
      <c r="M64" s="49">
        <f t="shared" si="14"/>
        <v>0</v>
      </c>
      <c r="N64" s="77"/>
      <c r="O64" s="49">
        <f t="shared" si="15"/>
        <v>0</v>
      </c>
      <c r="P64" s="49">
        <f t="shared" si="16"/>
        <v>0</v>
      </c>
      <c r="Q64" s="49">
        <f t="shared" si="17"/>
        <v>0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 spans="1:30" ht="15.75" customHeight="1" x14ac:dyDescent="0.25">
      <c r="A65" s="47">
        <f>'Sessional + End Term Assessment'!A66</f>
        <v>59</v>
      </c>
      <c r="B65" s="78">
        <f>'Sessional + End Term Assessment'!B66</f>
        <v>0</v>
      </c>
      <c r="C65" s="78">
        <f>'Sessional + End Term Assessment'!C66</f>
        <v>0</v>
      </c>
      <c r="D65" s="53"/>
      <c r="E65" s="53"/>
      <c r="F65" s="77"/>
      <c r="G65" s="49">
        <f t="shared" si="9"/>
        <v>0</v>
      </c>
      <c r="H65" s="49">
        <f t="shared" si="10"/>
        <v>0</v>
      </c>
      <c r="I65" s="49">
        <f t="shared" si="11"/>
        <v>0</v>
      </c>
      <c r="J65" s="77"/>
      <c r="K65" s="49">
        <f t="shared" si="12"/>
        <v>0</v>
      </c>
      <c r="L65" s="49">
        <f t="shared" si="13"/>
        <v>0</v>
      </c>
      <c r="M65" s="49">
        <f t="shared" si="14"/>
        <v>0</v>
      </c>
      <c r="N65" s="77"/>
      <c r="O65" s="49">
        <f t="shared" si="15"/>
        <v>0</v>
      </c>
      <c r="P65" s="49">
        <f t="shared" si="16"/>
        <v>0</v>
      </c>
      <c r="Q65" s="49">
        <f t="shared" si="17"/>
        <v>0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spans="1:30" ht="15.75" customHeight="1" x14ac:dyDescent="0.25">
      <c r="A66" s="47">
        <f>'Sessional + End Term Assessment'!A67</f>
        <v>60</v>
      </c>
      <c r="B66" s="78">
        <f>'Sessional + End Term Assessment'!B67</f>
        <v>0</v>
      </c>
      <c r="C66" s="78">
        <f>'Sessional + End Term Assessment'!C67</f>
        <v>0</v>
      </c>
      <c r="D66" s="53"/>
      <c r="E66" s="53"/>
      <c r="F66" s="77"/>
      <c r="G66" s="49">
        <f t="shared" si="9"/>
        <v>0</v>
      </c>
      <c r="H66" s="49">
        <f t="shared" si="10"/>
        <v>0</v>
      </c>
      <c r="I66" s="49">
        <f t="shared" si="11"/>
        <v>0</v>
      </c>
      <c r="J66" s="77"/>
      <c r="K66" s="49">
        <f t="shared" si="12"/>
        <v>0</v>
      </c>
      <c r="L66" s="49">
        <f t="shared" si="13"/>
        <v>0</v>
      </c>
      <c r="M66" s="49">
        <f t="shared" si="14"/>
        <v>0</v>
      </c>
      <c r="N66" s="77"/>
      <c r="O66" s="49">
        <f t="shared" si="15"/>
        <v>0</v>
      </c>
      <c r="P66" s="49">
        <f t="shared" si="16"/>
        <v>0</v>
      </c>
      <c r="Q66" s="49">
        <f t="shared" si="17"/>
        <v>0</v>
      </c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 spans="1:30" ht="15.75" customHeight="1" x14ac:dyDescent="0.25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 spans="1:30" ht="15.75" customHeight="1" x14ac:dyDescent="0.2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spans="1:30" ht="15.75" customHeight="1" x14ac:dyDescent="0.25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 ht="15.75" customHeight="1" x14ac:dyDescent="0.25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 ht="15.75" customHeight="1" x14ac:dyDescent="0.25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 ht="15.75" customHeight="1" x14ac:dyDescent="0.2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 ht="15.75" customHeight="1" x14ac:dyDescent="0.25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 ht="15.75" customHeight="1" x14ac:dyDescent="0.2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spans="1:30" ht="15.75" customHeight="1" x14ac:dyDescent="0.2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 spans="1:30" ht="15.75" customHeight="1" x14ac:dyDescent="0.2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 spans="1:30" ht="15.75" customHeight="1" x14ac:dyDescent="0.2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 spans="1:30" ht="15.75" customHeight="1" x14ac:dyDescent="0.25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 spans="1:30" ht="15.75" customHeight="1" x14ac:dyDescent="0.25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 spans="1:30" ht="15.75" customHeight="1" x14ac:dyDescent="0.25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 spans="1:30" ht="15.75" customHeight="1" x14ac:dyDescent="0.2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 spans="1:30" ht="15.75" customHeight="1" x14ac:dyDescent="0.2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spans="1:30" ht="15.75" customHeight="1" x14ac:dyDescent="0.25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 spans="1:30" ht="15.75" customHeight="1" x14ac:dyDescent="0.25"/>
    <row r="85" spans="1:30" ht="15.75" customHeight="1" x14ac:dyDescent="0.25"/>
    <row r="86" spans="1:30" ht="15.75" customHeight="1" x14ac:dyDescent="0.25"/>
    <row r="87" spans="1:30" ht="15.75" customHeight="1" x14ac:dyDescent="0.25"/>
    <row r="88" spans="1:30" ht="15.75" customHeight="1" x14ac:dyDescent="0.25"/>
    <row r="89" spans="1:30" ht="15.75" customHeight="1" x14ac:dyDescent="0.25"/>
    <row r="90" spans="1:30" ht="15.75" customHeight="1" x14ac:dyDescent="0.25"/>
    <row r="91" spans="1:30" ht="15.75" customHeight="1" x14ac:dyDescent="0.25"/>
    <row r="92" spans="1:30" ht="15.75" customHeight="1" x14ac:dyDescent="0.25"/>
    <row r="93" spans="1:30" ht="15.75" customHeight="1" x14ac:dyDescent="0.25"/>
    <row r="94" spans="1:30" ht="15.75" customHeight="1" x14ac:dyDescent="0.25"/>
    <row r="95" spans="1:30" ht="15.75" customHeight="1" x14ac:dyDescent="0.25"/>
    <row r="96" spans="1:30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</sheetData>
  <mergeCells count="17">
    <mergeCell ref="I5:I6"/>
    <mergeCell ref="K5:K6"/>
    <mergeCell ref="A1:R1"/>
    <mergeCell ref="A2:R2"/>
    <mergeCell ref="A3:R3"/>
    <mergeCell ref="A4:A6"/>
    <mergeCell ref="D4:N4"/>
    <mergeCell ref="O4:Q4"/>
    <mergeCell ref="R4:R5"/>
    <mergeCell ref="L5:L6"/>
    <mergeCell ref="M5:M6"/>
    <mergeCell ref="O5:O6"/>
    <mergeCell ref="P5:P6"/>
    <mergeCell ref="Q5:Q6"/>
    <mergeCell ref="B4:B6"/>
    <mergeCell ref="G5:G6"/>
    <mergeCell ref="H5:H6"/>
  </mergeCells>
  <phoneticPr fontId="32" type="noConversion"/>
  <conditionalFormatting sqref="G7:I66 K7:M66 O7:Q66">
    <cfRule type="cellIs" dxfId="3" priority="1" operator="equal">
      <formula>0</formula>
    </cfRule>
  </conditionalFormatting>
  <pageMargins left="0.7" right="0.7" top="0.75" bottom="0.75" header="0" footer="0"/>
  <pageSetup paperSize="9" orientation="landscape"/>
  <rowBreaks count="1" manualBreakCount="1">
    <brk id="3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11"/>
  <sheetViews>
    <sheetView topLeftCell="A43" workbookViewId="0">
      <selection activeCell="G58" sqref="G58"/>
    </sheetView>
  </sheetViews>
  <sheetFormatPr defaultColWidth="12.59765625" defaultRowHeight="15" customHeight="1" x14ac:dyDescent="0.25"/>
  <cols>
    <col min="1" max="1" width="8.69921875" customWidth="1"/>
    <col min="2" max="2" width="14" customWidth="1"/>
    <col min="3" max="3" width="26.19921875" customWidth="1"/>
    <col min="4" max="4" width="10.8984375" customWidth="1"/>
    <col min="5" max="5" width="11.5" customWidth="1"/>
    <col min="6" max="25" width="8.69921875" customWidth="1"/>
    <col min="26" max="26" width="12.69921875" customWidth="1"/>
  </cols>
  <sheetData>
    <row r="1" spans="1:26" ht="13.5" customHeight="1" x14ac:dyDescent="0.35">
      <c r="A1" s="120" t="s">
        <v>76</v>
      </c>
      <c r="B1" s="121"/>
      <c r="C1" s="121"/>
      <c r="D1" s="121"/>
      <c r="E1" s="121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75.75" customHeight="1" thickBot="1" x14ac:dyDescent="0.3">
      <c r="A2" s="59" t="s">
        <v>70</v>
      </c>
      <c r="B2" s="59" t="s">
        <v>71</v>
      </c>
      <c r="C2" s="59" t="s">
        <v>72</v>
      </c>
      <c r="D2" s="60" t="s">
        <v>77</v>
      </c>
      <c r="E2" s="60" t="s">
        <v>74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6.5" customHeight="1" thickBot="1" x14ac:dyDescent="0.3">
      <c r="A3" s="61">
        <f>'Sessional + End Term Assessment'!A8</f>
        <v>1</v>
      </c>
      <c r="B3" s="78">
        <f>'Sessional + End Term Assessment'!B8</f>
        <v>0</v>
      </c>
      <c r="C3" s="78">
        <f>'Sessional + End Term Assessment'!C8</f>
        <v>0</v>
      </c>
      <c r="D3" s="62">
        <f>'MID Term 2'!R7</f>
        <v>0</v>
      </c>
      <c r="E3" s="63" t="str">
        <f t="shared" ref="E3:E32" si="0">IF(D3&lt;=35,"Y","N")</f>
        <v>Y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6.5" customHeight="1" thickBot="1" x14ac:dyDescent="0.3">
      <c r="A4" s="61">
        <f>'Sessional + End Term Assessment'!A9</f>
        <v>2</v>
      </c>
      <c r="B4" s="78">
        <f>'Sessional + End Term Assessment'!B9</f>
        <v>0</v>
      </c>
      <c r="C4" s="78">
        <f>'Sessional + End Term Assessment'!C9</f>
        <v>0</v>
      </c>
      <c r="D4" s="62">
        <f>'MID Term 2'!R8</f>
        <v>0</v>
      </c>
      <c r="E4" s="63" t="str">
        <f t="shared" si="0"/>
        <v>Y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6.5" customHeight="1" thickBot="1" x14ac:dyDescent="0.3">
      <c r="A5" s="61">
        <f>'Sessional + End Term Assessment'!A10</f>
        <v>3</v>
      </c>
      <c r="B5" s="78">
        <f>'Sessional + End Term Assessment'!B10</f>
        <v>0</v>
      </c>
      <c r="C5" s="78">
        <f>'Sessional + End Term Assessment'!C10</f>
        <v>0</v>
      </c>
      <c r="D5" s="62">
        <f>'MID Term 2'!R9</f>
        <v>0</v>
      </c>
      <c r="E5" s="63" t="str">
        <f t="shared" si="0"/>
        <v>Y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6.5" customHeight="1" thickBot="1" x14ac:dyDescent="0.3">
      <c r="A6" s="61">
        <f>'Sessional + End Term Assessment'!A11</f>
        <v>4</v>
      </c>
      <c r="B6" s="78">
        <f>'Sessional + End Term Assessment'!B11</f>
        <v>0</v>
      </c>
      <c r="C6" s="78">
        <f>'Sessional + End Term Assessment'!C11</f>
        <v>0</v>
      </c>
      <c r="D6" s="62">
        <f>'MID Term 2'!R10</f>
        <v>0</v>
      </c>
      <c r="E6" s="63" t="str">
        <f t="shared" si="0"/>
        <v>Y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6.5" customHeight="1" thickBot="1" x14ac:dyDescent="0.3">
      <c r="A7" s="61">
        <f>'Sessional + End Term Assessment'!A12</f>
        <v>5</v>
      </c>
      <c r="B7" s="78">
        <f>'Sessional + End Term Assessment'!B12</f>
        <v>0</v>
      </c>
      <c r="C7" s="78">
        <f>'Sessional + End Term Assessment'!C12</f>
        <v>0</v>
      </c>
      <c r="D7" s="62">
        <f>'MID Term 2'!R11</f>
        <v>0</v>
      </c>
      <c r="E7" s="63" t="str">
        <f t="shared" si="0"/>
        <v>Y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6.5" customHeight="1" thickBot="1" x14ac:dyDescent="0.3">
      <c r="A8" s="61">
        <f>'Sessional + End Term Assessment'!A13</f>
        <v>6</v>
      </c>
      <c r="B8" s="78">
        <f>'Sessional + End Term Assessment'!B13</f>
        <v>0</v>
      </c>
      <c r="C8" s="78">
        <f>'Sessional + End Term Assessment'!C13</f>
        <v>0</v>
      </c>
      <c r="D8" s="62">
        <f>'MID Term 2'!R12</f>
        <v>0</v>
      </c>
      <c r="E8" s="63" t="str">
        <f t="shared" si="0"/>
        <v>Y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6.5" customHeight="1" thickBot="1" x14ac:dyDescent="0.3">
      <c r="A9" s="61">
        <f>'Sessional + End Term Assessment'!A14</f>
        <v>7</v>
      </c>
      <c r="B9" s="78">
        <f>'Sessional + End Term Assessment'!B14</f>
        <v>0</v>
      </c>
      <c r="C9" s="78">
        <f>'Sessional + End Term Assessment'!C14</f>
        <v>0</v>
      </c>
      <c r="D9" s="62">
        <f>'MID Term 2'!R13</f>
        <v>0</v>
      </c>
      <c r="E9" s="63" t="str">
        <f t="shared" si="0"/>
        <v>Y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6.5" customHeight="1" thickBot="1" x14ac:dyDescent="0.3">
      <c r="A10" s="61">
        <f>'Sessional + End Term Assessment'!A15</f>
        <v>8</v>
      </c>
      <c r="B10" s="78">
        <f>'Sessional + End Term Assessment'!B15</f>
        <v>0</v>
      </c>
      <c r="C10" s="78">
        <f>'Sessional + End Term Assessment'!C15</f>
        <v>0</v>
      </c>
      <c r="D10" s="62">
        <f>'MID Term 2'!R14</f>
        <v>0</v>
      </c>
      <c r="E10" s="63" t="str">
        <f t="shared" si="0"/>
        <v>Y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6.5" customHeight="1" thickBot="1" x14ac:dyDescent="0.3">
      <c r="A11" s="61">
        <f>'Sessional + End Term Assessment'!A16</f>
        <v>9</v>
      </c>
      <c r="B11" s="78">
        <f>'Sessional + End Term Assessment'!B16</f>
        <v>0</v>
      </c>
      <c r="C11" s="78">
        <f>'Sessional + End Term Assessment'!C16</f>
        <v>0</v>
      </c>
      <c r="D11" s="62">
        <f>'MID Term 2'!R15</f>
        <v>0</v>
      </c>
      <c r="E11" s="63" t="str">
        <f t="shared" si="0"/>
        <v>Y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6.5" customHeight="1" thickBot="1" x14ac:dyDescent="0.3">
      <c r="A12" s="61">
        <f>'Sessional + End Term Assessment'!A17</f>
        <v>10</v>
      </c>
      <c r="B12" s="78">
        <f>'Sessional + End Term Assessment'!B17</f>
        <v>0</v>
      </c>
      <c r="C12" s="78">
        <f>'Sessional + End Term Assessment'!C17</f>
        <v>0</v>
      </c>
      <c r="D12" s="62">
        <f>'MID Term 2'!R16</f>
        <v>0</v>
      </c>
      <c r="E12" s="63" t="str">
        <f t="shared" si="0"/>
        <v>Y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6.5" customHeight="1" thickBot="1" x14ac:dyDescent="0.3">
      <c r="A13" s="61">
        <f>'Sessional + End Term Assessment'!A18</f>
        <v>11</v>
      </c>
      <c r="B13" s="78">
        <f>'Sessional + End Term Assessment'!B18</f>
        <v>0</v>
      </c>
      <c r="C13" s="78">
        <f>'Sessional + End Term Assessment'!C18</f>
        <v>0</v>
      </c>
      <c r="D13" s="62">
        <f>'MID Term 2'!R17</f>
        <v>0</v>
      </c>
      <c r="E13" s="63" t="str">
        <f t="shared" si="0"/>
        <v>Y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6.5" customHeight="1" thickBot="1" x14ac:dyDescent="0.3">
      <c r="A14" s="61">
        <f>'Sessional + End Term Assessment'!A19</f>
        <v>12</v>
      </c>
      <c r="B14" s="78">
        <f>'Sessional + End Term Assessment'!B19</f>
        <v>0</v>
      </c>
      <c r="C14" s="78">
        <f>'Sessional + End Term Assessment'!C19</f>
        <v>0</v>
      </c>
      <c r="D14" s="62">
        <f>'MID Term 2'!R18</f>
        <v>0</v>
      </c>
      <c r="E14" s="63" t="str">
        <f t="shared" si="0"/>
        <v>Y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6.5" customHeight="1" thickBot="1" x14ac:dyDescent="0.3">
      <c r="A15" s="61">
        <f>'Sessional + End Term Assessment'!A20</f>
        <v>13</v>
      </c>
      <c r="B15" s="78">
        <f>'Sessional + End Term Assessment'!B20</f>
        <v>0</v>
      </c>
      <c r="C15" s="78">
        <f>'Sessional + End Term Assessment'!C20</f>
        <v>0</v>
      </c>
      <c r="D15" s="62">
        <f>'MID Term 2'!R19</f>
        <v>0</v>
      </c>
      <c r="E15" s="63" t="str">
        <f t="shared" si="0"/>
        <v>Y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6.5" customHeight="1" thickBot="1" x14ac:dyDescent="0.3">
      <c r="A16" s="61">
        <f>'Sessional + End Term Assessment'!A21</f>
        <v>14</v>
      </c>
      <c r="B16" s="78">
        <f>'Sessional + End Term Assessment'!B21</f>
        <v>0</v>
      </c>
      <c r="C16" s="78">
        <f>'Sessional + End Term Assessment'!C21</f>
        <v>0</v>
      </c>
      <c r="D16" s="62">
        <f>'MID Term 2'!R20</f>
        <v>0</v>
      </c>
      <c r="E16" s="63" t="str">
        <f t="shared" si="0"/>
        <v>Y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6.5" customHeight="1" thickBot="1" x14ac:dyDescent="0.3">
      <c r="A17" s="61">
        <f>'Sessional + End Term Assessment'!A22</f>
        <v>15</v>
      </c>
      <c r="B17" s="78">
        <f>'Sessional + End Term Assessment'!B22</f>
        <v>0</v>
      </c>
      <c r="C17" s="78">
        <f>'Sessional + End Term Assessment'!C22</f>
        <v>0</v>
      </c>
      <c r="D17" s="62">
        <f>'MID Term 2'!R21</f>
        <v>0</v>
      </c>
      <c r="E17" s="63" t="str">
        <f t="shared" si="0"/>
        <v>Y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6.5" customHeight="1" thickBot="1" x14ac:dyDescent="0.3">
      <c r="A18" s="61">
        <f>'Sessional + End Term Assessment'!A23</f>
        <v>16</v>
      </c>
      <c r="B18" s="78">
        <f>'Sessional + End Term Assessment'!B23</f>
        <v>0</v>
      </c>
      <c r="C18" s="78">
        <f>'Sessional + End Term Assessment'!C23</f>
        <v>0</v>
      </c>
      <c r="D18" s="62">
        <f>'MID Term 2'!R22</f>
        <v>0</v>
      </c>
      <c r="E18" s="63" t="str">
        <f t="shared" si="0"/>
        <v>Y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6.5" customHeight="1" thickBot="1" x14ac:dyDescent="0.3">
      <c r="A19" s="61">
        <f>'Sessional + End Term Assessment'!A24</f>
        <v>17</v>
      </c>
      <c r="B19" s="78">
        <f>'Sessional + End Term Assessment'!B24</f>
        <v>0</v>
      </c>
      <c r="C19" s="78">
        <f>'Sessional + End Term Assessment'!C24</f>
        <v>0</v>
      </c>
      <c r="D19" s="62">
        <f>'MID Term 2'!R23</f>
        <v>0</v>
      </c>
      <c r="E19" s="63" t="str">
        <f t="shared" si="0"/>
        <v>Y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6.5" customHeight="1" thickBot="1" x14ac:dyDescent="0.3">
      <c r="A20" s="61">
        <f>'Sessional + End Term Assessment'!A25</f>
        <v>18</v>
      </c>
      <c r="B20" s="78">
        <f>'Sessional + End Term Assessment'!B25</f>
        <v>0</v>
      </c>
      <c r="C20" s="78">
        <f>'Sessional + End Term Assessment'!C25</f>
        <v>0</v>
      </c>
      <c r="D20" s="62">
        <f>'MID Term 2'!R24</f>
        <v>0</v>
      </c>
      <c r="E20" s="63" t="str">
        <f t="shared" si="0"/>
        <v>Y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6.5" customHeight="1" thickBot="1" x14ac:dyDescent="0.3">
      <c r="A21" s="61">
        <f>'Sessional + End Term Assessment'!A26</f>
        <v>19</v>
      </c>
      <c r="B21" s="78">
        <f>'Sessional + End Term Assessment'!B26</f>
        <v>0</v>
      </c>
      <c r="C21" s="78">
        <f>'Sessional + End Term Assessment'!C26</f>
        <v>0</v>
      </c>
      <c r="D21" s="62">
        <f>'MID Term 2'!R25</f>
        <v>0</v>
      </c>
      <c r="E21" s="63" t="str">
        <f t="shared" si="0"/>
        <v>Y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6.5" customHeight="1" thickBot="1" x14ac:dyDescent="0.3">
      <c r="A22" s="61">
        <f>'Sessional + End Term Assessment'!A27</f>
        <v>20</v>
      </c>
      <c r="B22" s="78">
        <f>'Sessional + End Term Assessment'!B27</f>
        <v>0</v>
      </c>
      <c r="C22" s="78">
        <f>'Sessional + End Term Assessment'!C27</f>
        <v>0</v>
      </c>
      <c r="D22" s="62">
        <f>'MID Term 2'!R26</f>
        <v>0</v>
      </c>
      <c r="E22" s="63" t="str">
        <f t="shared" si="0"/>
        <v>Y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6.5" customHeight="1" thickBot="1" x14ac:dyDescent="0.3">
      <c r="A23" s="61">
        <f>'Sessional + End Term Assessment'!A28</f>
        <v>21</v>
      </c>
      <c r="B23" s="78">
        <f>'Sessional + End Term Assessment'!B28</f>
        <v>0</v>
      </c>
      <c r="C23" s="78">
        <f>'Sessional + End Term Assessment'!C28</f>
        <v>0</v>
      </c>
      <c r="D23" s="62">
        <f>'MID Term 2'!R27</f>
        <v>0</v>
      </c>
      <c r="E23" s="63" t="str">
        <f t="shared" si="0"/>
        <v>Y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6.5" customHeight="1" thickBot="1" x14ac:dyDescent="0.3">
      <c r="A24" s="61">
        <f>'Sessional + End Term Assessment'!A29</f>
        <v>22</v>
      </c>
      <c r="B24" s="78">
        <f>'Sessional + End Term Assessment'!B29</f>
        <v>0</v>
      </c>
      <c r="C24" s="78">
        <f>'Sessional + End Term Assessment'!C29</f>
        <v>0</v>
      </c>
      <c r="D24" s="62">
        <f>'MID Term 2'!R28</f>
        <v>0</v>
      </c>
      <c r="E24" s="63" t="str">
        <f t="shared" si="0"/>
        <v>Y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6.5" customHeight="1" thickBot="1" x14ac:dyDescent="0.3">
      <c r="A25" s="61">
        <f>'Sessional + End Term Assessment'!A30</f>
        <v>23</v>
      </c>
      <c r="B25" s="78">
        <f>'Sessional + End Term Assessment'!B30</f>
        <v>0</v>
      </c>
      <c r="C25" s="78">
        <f>'Sessional + End Term Assessment'!C30</f>
        <v>0</v>
      </c>
      <c r="D25" s="62">
        <f>'MID Term 2'!R29</f>
        <v>0</v>
      </c>
      <c r="E25" s="63" t="str">
        <f t="shared" si="0"/>
        <v>Y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6.5" customHeight="1" thickBot="1" x14ac:dyDescent="0.3">
      <c r="A26" s="61">
        <f>'Sessional + End Term Assessment'!A31</f>
        <v>24</v>
      </c>
      <c r="B26" s="78">
        <f>'Sessional + End Term Assessment'!B31</f>
        <v>0</v>
      </c>
      <c r="C26" s="78">
        <f>'Sessional + End Term Assessment'!C31</f>
        <v>0</v>
      </c>
      <c r="D26" s="62">
        <f>'MID Term 2'!R30</f>
        <v>0</v>
      </c>
      <c r="E26" s="63" t="str">
        <f t="shared" si="0"/>
        <v>Y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6.5" customHeight="1" thickBot="1" x14ac:dyDescent="0.3">
      <c r="A27" s="61">
        <f>'Sessional + End Term Assessment'!A32</f>
        <v>25</v>
      </c>
      <c r="B27" s="78">
        <f>'Sessional + End Term Assessment'!B32</f>
        <v>0</v>
      </c>
      <c r="C27" s="78">
        <f>'Sessional + End Term Assessment'!C32</f>
        <v>0</v>
      </c>
      <c r="D27" s="62">
        <f>'MID Term 2'!R31</f>
        <v>0</v>
      </c>
      <c r="E27" s="63" t="str">
        <f t="shared" si="0"/>
        <v>Y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6.5" customHeight="1" thickBot="1" x14ac:dyDescent="0.3">
      <c r="A28" s="61">
        <f>'Sessional + End Term Assessment'!A33</f>
        <v>26</v>
      </c>
      <c r="B28" s="78">
        <f>'Sessional + End Term Assessment'!B33</f>
        <v>0</v>
      </c>
      <c r="C28" s="78">
        <f>'Sessional + End Term Assessment'!C33</f>
        <v>0</v>
      </c>
      <c r="D28" s="62">
        <f>'MID Term 2'!R32</f>
        <v>0</v>
      </c>
      <c r="E28" s="63" t="str">
        <f t="shared" si="0"/>
        <v>Y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6.5" customHeight="1" thickBot="1" x14ac:dyDescent="0.3">
      <c r="A29" s="61">
        <f>'Sessional + End Term Assessment'!A34</f>
        <v>27</v>
      </c>
      <c r="B29" s="78">
        <f>'Sessional + End Term Assessment'!B34</f>
        <v>0</v>
      </c>
      <c r="C29" s="78">
        <f>'Sessional + End Term Assessment'!C34</f>
        <v>0</v>
      </c>
      <c r="D29" s="62">
        <f>'MID Term 2'!R33</f>
        <v>0</v>
      </c>
      <c r="E29" s="63" t="str">
        <f t="shared" si="0"/>
        <v>Y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6.5" customHeight="1" thickBot="1" x14ac:dyDescent="0.3">
      <c r="A30" s="61">
        <f>'Sessional + End Term Assessment'!A35</f>
        <v>28</v>
      </c>
      <c r="B30" s="78">
        <f>'Sessional + End Term Assessment'!B35</f>
        <v>0</v>
      </c>
      <c r="C30" s="78">
        <f>'Sessional + End Term Assessment'!C35</f>
        <v>0</v>
      </c>
      <c r="D30" s="62">
        <f>'MID Term 2'!R34</f>
        <v>0</v>
      </c>
      <c r="E30" s="63" t="str">
        <f t="shared" si="0"/>
        <v>Y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6.5" customHeight="1" thickBot="1" x14ac:dyDescent="0.3">
      <c r="A31" s="61">
        <f>'Sessional + End Term Assessment'!A36</f>
        <v>29</v>
      </c>
      <c r="B31" s="78">
        <f>'Sessional + End Term Assessment'!B36</f>
        <v>0</v>
      </c>
      <c r="C31" s="78">
        <f>'Sessional + End Term Assessment'!C36</f>
        <v>0</v>
      </c>
      <c r="D31" s="62">
        <f>'MID Term 2'!R35</f>
        <v>0</v>
      </c>
      <c r="E31" s="63" t="str">
        <f t="shared" si="0"/>
        <v>Y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6.5" customHeight="1" thickBot="1" x14ac:dyDescent="0.3">
      <c r="A32" s="61">
        <f>'Sessional + End Term Assessment'!A37</f>
        <v>30</v>
      </c>
      <c r="B32" s="78">
        <f>'Sessional + End Term Assessment'!B37</f>
        <v>0</v>
      </c>
      <c r="C32" s="78">
        <f>'Sessional + End Term Assessment'!C37</f>
        <v>0</v>
      </c>
      <c r="D32" s="62">
        <f>'MID Term 2'!R36</f>
        <v>0</v>
      </c>
      <c r="E32" s="63" t="str">
        <f t="shared" si="0"/>
        <v>Y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3.5" customHeight="1" thickBot="1" x14ac:dyDescent="0.3">
      <c r="A33" s="61">
        <f>'Sessional + End Term Assessment'!A38</f>
        <v>31</v>
      </c>
      <c r="B33" s="78">
        <f>'Sessional + End Term Assessment'!B38</f>
        <v>0</v>
      </c>
      <c r="C33" s="78">
        <f>'Sessional + End Term Assessment'!C38</f>
        <v>0</v>
      </c>
      <c r="D33" s="62">
        <f>'MID Term 2'!R37</f>
        <v>0</v>
      </c>
      <c r="E33" s="63" t="str">
        <f t="shared" ref="E33:E62" si="1">IF(D33&lt;=35,"Y","N")</f>
        <v>Y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3.5" customHeight="1" thickBot="1" x14ac:dyDescent="0.3">
      <c r="A34" s="61">
        <f>'Sessional + End Term Assessment'!A39</f>
        <v>32</v>
      </c>
      <c r="B34" s="78">
        <f>'Sessional + End Term Assessment'!B39</f>
        <v>0</v>
      </c>
      <c r="C34" s="78">
        <f>'Sessional + End Term Assessment'!C39</f>
        <v>0</v>
      </c>
      <c r="D34" s="62">
        <f>'MID Term 2'!R38</f>
        <v>0</v>
      </c>
      <c r="E34" s="63" t="str">
        <f t="shared" si="1"/>
        <v>Y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3.5" customHeight="1" thickBot="1" x14ac:dyDescent="0.3">
      <c r="A35" s="61">
        <f>'Sessional + End Term Assessment'!A40</f>
        <v>33</v>
      </c>
      <c r="B35" s="78">
        <f>'Sessional + End Term Assessment'!B40</f>
        <v>0</v>
      </c>
      <c r="C35" s="78">
        <f>'Sessional + End Term Assessment'!C40</f>
        <v>0</v>
      </c>
      <c r="D35" s="62">
        <f>'MID Term 2'!R39</f>
        <v>0</v>
      </c>
      <c r="E35" s="63" t="str">
        <f t="shared" si="1"/>
        <v>Y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3.5" customHeight="1" thickBot="1" x14ac:dyDescent="0.3">
      <c r="A36" s="61">
        <f>'Sessional + End Term Assessment'!A41</f>
        <v>34</v>
      </c>
      <c r="B36" s="78">
        <f>'Sessional + End Term Assessment'!B41</f>
        <v>0</v>
      </c>
      <c r="C36" s="78">
        <f>'Sessional + End Term Assessment'!C41</f>
        <v>0</v>
      </c>
      <c r="D36" s="62">
        <f>'MID Term 2'!R40</f>
        <v>0</v>
      </c>
      <c r="E36" s="63" t="str">
        <f t="shared" si="1"/>
        <v>Y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3.5" customHeight="1" thickBot="1" x14ac:dyDescent="0.3">
      <c r="A37" s="61">
        <f>'Sessional + End Term Assessment'!A42</f>
        <v>35</v>
      </c>
      <c r="B37" s="78">
        <f>'Sessional + End Term Assessment'!B42</f>
        <v>0</v>
      </c>
      <c r="C37" s="78">
        <f>'Sessional + End Term Assessment'!C42</f>
        <v>0</v>
      </c>
      <c r="D37" s="62">
        <f>'MID Term 2'!R41</f>
        <v>0</v>
      </c>
      <c r="E37" s="63" t="str">
        <f t="shared" si="1"/>
        <v>Y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3.5" customHeight="1" thickBot="1" x14ac:dyDescent="0.3">
      <c r="A38" s="61">
        <f>'Sessional + End Term Assessment'!A43</f>
        <v>36</v>
      </c>
      <c r="B38" s="78">
        <f>'Sessional + End Term Assessment'!B43</f>
        <v>0</v>
      </c>
      <c r="C38" s="78">
        <f>'Sessional + End Term Assessment'!C43</f>
        <v>0</v>
      </c>
      <c r="D38" s="62">
        <f>'MID Term 2'!R42</f>
        <v>0</v>
      </c>
      <c r="E38" s="63" t="str">
        <f t="shared" si="1"/>
        <v>Y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3.5" customHeight="1" thickBot="1" x14ac:dyDescent="0.3">
      <c r="A39" s="61">
        <f>'Sessional + End Term Assessment'!A44</f>
        <v>37</v>
      </c>
      <c r="B39" s="78">
        <f>'Sessional + End Term Assessment'!B44</f>
        <v>0</v>
      </c>
      <c r="C39" s="78">
        <f>'Sessional + End Term Assessment'!C44</f>
        <v>0</v>
      </c>
      <c r="D39" s="62">
        <f>'MID Term 2'!R43</f>
        <v>0</v>
      </c>
      <c r="E39" s="63" t="str">
        <f t="shared" si="1"/>
        <v>Y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3.5" customHeight="1" thickBot="1" x14ac:dyDescent="0.3">
      <c r="A40" s="61">
        <f>'Sessional + End Term Assessment'!A45</f>
        <v>38</v>
      </c>
      <c r="B40" s="78">
        <f>'Sessional + End Term Assessment'!B45</f>
        <v>0</v>
      </c>
      <c r="C40" s="78">
        <f>'Sessional + End Term Assessment'!C45</f>
        <v>0</v>
      </c>
      <c r="D40" s="62">
        <f>'MID Term 2'!R44</f>
        <v>0</v>
      </c>
      <c r="E40" s="63" t="str">
        <f t="shared" si="1"/>
        <v>Y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3.5" customHeight="1" thickBot="1" x14ac:dyDescent="0.3">
      <c r="A41" s="61">
        <f>'Sessional + End Term Assessment'!A46</f>
        <v>39</v>
      </c>
      <c r="B41" s="78">
        <f>'Sessional + End Term Assessment'!B46</f>
        <v>0</v>
      </c>
      <c r="C41" s="78">
        <f>'Sessional + End Term Assessment'!C46</f>
        <v>0</v>
      </c>
      <c r="D41" s="62">
        <f>'MID Term 2'!R45</f>
        <v>0</v>
      </c>
      <c r="E41" s="63" t="str">
        <f t="shared" si="1"/>
        <v>Y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3.5" customHeight="1" thickBot="1" x14ac:dyDescent="0.3">
      <c r="A42" s="61">
        <f>'Sessional + End Term Assessment'!A47</f>
        <v>40</v>
      </c>
      <c r="B42" s="78">
        <f>'Sessional + End Term Assessment'!B47</f>
        <v>0</v>
      </c>
      <c r="C42" s="78">
        <f>'Sessional + End Term Assessment'!C47</f>
        <v>0</v>
      </c>
      <c r="D42" s="62">
        <f>'MID Term 2'!R46</f>
        <v>0</v>
      </c>
      <c r="E42" s="63" t="str">
        <f t="shared" si="1"/>
        <v>Y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3.5" customHeight="1" thickBot="1" x14ac:dyDescent="0.3">
      <c r="A43" s="61">
        <f>'Sessional + End Term Assessment'!A48</f>
        <v>41</v>
      </c>
      <c r="B43" s="78">
        <f>'Sessional + End Term Assessment'!B48</f>
        <v>0</v>
      </c>
      <c r="C43" s="78">
        <f>'Sessional + End Term Assessment'!C48</f>
        <v>0</v>
      </c>
      <c r="D43" s="62">
        <f>'MID Term 2'!R47</f>
        <v>0</v>
      </c>
      <c r="E43" s="63" t="str">
        <f t="shared" si="1"/>
        <v>Y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3.5" customHeight="1" thickBot="1" x14ac:dyDescent="0.3">
      <c r="A44" s="61">
        <f>'Sessional + End Term Assessment'!A49</f>
        <v>42</v>
      </c>
      <c r="B44" s="78">
        <f>'Sessional + End Term Assessment'!B49</f>
        <v>0</v>
      </c>
      <c r="C44" s="78">
        <f>'Sessional + End Term Assessment'!C49</f>
        <v>0</v>
      </c>
      <c r="D44" s="62">
        <f>'MID Term 2'!R48</f>
        <v>0</v>
      </c>
      <c r="E44" s="63" t="str">
        <f t="shared" si="1"/>
        <v>Y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3.5" customHeight="1" thickBot="1" x14ac:dyDescent="0.3">
      <c r="A45" s="61">
        <f>'Sessional + End Term Assessment'!A50</f>
        <v>43</v>
      </c>
      <c r="B45" s="78">
        <f>'Sessional + End Term Assessment'!B50</f>
        <v>0</v>
      </c>
      <c r="C45" s="78">
        <f>'Sessional + End Term Assessment'!C50</f>
        <v>0</v>
      </c>
      <c r="D45" s="62">
        <f>'MID Term 2'!R49</f>
        <v>0</v>
      </c>
      <c r="E45" s="63" t="str">
        <f t="shared" si="1"/>
        <v>Y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3.5" customHeight="1" thickBot="1" x14ac:dyDescent="0.3">
      <c r="A46" s="61">
        <f>'Sessional + End Term Assessment'!A51</f>
        <v>44</v>
      </c>
      <c r="B46" s="78">
        <f>'Sessional + End Term Assessment'!B51</f>
        <v>0</v>
      </c>
      <c r="C46" s="78">
        <f>'Sessional + End Term Assessment'!C51</f>
        <v>0</v>
      </c>
      <c r="D46" s="62">
        <f>'MID Term 2'!R50</f>
        <v>0</v>
      </c>
      <c r="E46" s="63" t="str">
        <f t="shared" si="1"/>
        <v>Y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3.5" customHeight="1" thickBot="1" x14ac:dyDescent="0.3">
      <c r="A47" s="61">
        <f>'Sessional + End Term Assessment'!A52</f>
        <v>45</v>
      </c>
      <c r="B47" s="78">
        <f>'Sessional + End Term Assessment'!B52</f>
        <v>0</v>
      </c>
      <c r="C47" s="78">
        <f>'Sessional + End Term Assessment'!C52</f>
        <v>0</v>
      </c>
      <c r="D47" s="62">
        <f>'MID Term 2'!R51</f>
        <v>0</v>
      </c>
      <c r="E47" s="63" t="str">
        <f t="shared" si="1"/>
        <v>Y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3.5" customHeight="1" thickBot="1" x14ac:dyDescent="0.3">
      <c r="A48" s="61">
        <f>'Sessional + End Term Assessment'!A53</f>
        <v>46</v>
      </c>
      <c r="B48" s="78">
        <f>'Sessional + End Term Assessment'!B53</f>
        <v>0</v>
      </c>
      <c r="C48" s="78">
        <f>'Sessional + End Term Assessment'!C53</f>
        <v>0</v>
      </c>
      <c r="D48" s="62">
        <f>'MID Term 2'!R52</f>
        <v>0</v>
      </c>
      <c r="E48" s="63" t="str">
        <f t="shared" si="1"/>
        <v>Y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3.5" customHeight="1" thickBot="1" x14ac:dyDescent="0.3">
      <c r="A49" s="61">
        <f>'Sessional + End Term Assessment'!A54</f>
        <v>47</v>
      </c>
      <c r="B49" s="78">
        <f>'Sessional + End Term Assessment'!B54</f>
        <v>0</v>
      </c>
      <c r="C49" s="78">
        <f>'Sessional + End Term Assessment'!C54</f>
        <v>0</v>
      </c>
      <c r="D49" s="62">
        <f>'MID Term 2'!R53</f>
        <v>0</v>
      </c>
      <c r="E49" s="63" t="str">
        <f t="shared" si="1"/>
        <v>Y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3.5" customHeight="1" thickBot="1" x14ac:dyDescent="0.3">
      <c r="A50" s="61">
        <f>'Sessional + End Term Assessment'!A55</f>
        <v>48</v>
      </c>
      <c r="B50" s="78">
        <f>'Sessional + End Term Assessment'!B55</f>
        <v>0</v>
      </c>
      <c r="C50" s="78">
        <f>'Sessional + End Term Assessment'!C55</f>
        <v>0</v>
      </c>
      <c r="D50" s="62">
        <f>'MID Term 2'!R54</f>
        <v>0</v>
      </c>
      <c r="E50" s="63" t="str">
        <f t="shared" si="1"/>
        <v>Y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3.5" customHeight="1" thickBot="1" x14ac:dyDescent="0.3">
      <c r="A51" s="61">
        <f>'Sessional + End Term Assessment'!A56</f>
        <v>49</v>
      </c>
      <c r="B51" s="78">
        <f>'Sessional + End Term Assessment'!B56</f>
        <v>0</v>
      </c>
      <c r="C51" s="78">
        <f>'Sessional + End Term Assessment'!C56</f>
        <v>0</v>
      </c>
      <c r="D51" s="62">
        <f>'MID Term 2'!R55</f>
        <v>0</v>
      </c>
      <c r="E51" s="63" t="str">
        <f t="shared" si="1"/>
        <v>Y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3.5" customHeight="1" thickBot="1" x14ac:dyDescent="0.3">
      <c r="A52" s="61">
        <f>'Sessional + End Term Assessment'!A57</f>
        <v>50</v>
      </c>
      <c r="B52" s="78">
        <f>'Sessional + End Term Assessment'!B57</f>
        <v>0</v>
      </c>
      <c r="C52" s="78">
        <f>'Sessional + End Term Assessment'!C57</f>
        <v>0</v>
      </c>
      <c r="D52" s="62">
        <f>'MID Term 2'!R56</f>
        <v>0</v>
      </c>
      <c r="E52" s="63" t="str">
        <f t="shared" si="1"/>
        <v>Y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3.5" customHeight="1" thickBot="1" x14ac:dyDescent="0.3">
      <c r="A53" s="61">
        <f>'Sessional + End Term Assessment'!A58</f>
        <v>51</v>
      </c>
      <c r="B53" s="78">
        <f>'Sessional + End Term Assessment'!B58</f>
        <v>0</v>
      </c>
      <c r="C53" s="78">
        <f>'Sessional + End Term Assessment'!C58</f>
        <v>0</v>
      </c>
      <c r="D53" s="62">
        <f>'MID Term 2'!R57</f>
        <v>0</v>
      </c>
      <c r="E53" s="63" t="str">
        <f t="shared" si="1"/>
        <v>Y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3.5" customHeight="1" thickBot="1" x14ac:dyDescent="0.3">
      <c r="A54" s="61">
        <f>'Sessional + End Term Assessment'!A59</f>
        <v>52</v>
      </c>
      <c r="B54" s="78">
        <f>'Sessional + End Term Assessment'!B59</f>
        <v>0</v>
      </c>
      <c r="C54" s="78">
        <f>'Sessional + End Term Assessment'!C59</f>
        <v>0</v>
      </c>
      <c r="D54" s="62">
        <f>'MID Term 2'!R58</f>
        <v>0</v>
      </c>
      <c r="E54" s="63" t="str">
        <f t="shared" si="1"/>
        <v>Y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3.5" customHeight="1" thickBot="1" x14ac:dyDescent="0.3">
      <c r="A55" s="61">
        <f>'Sessional + End Term Assessment'!A60</f>
        <v>53</v>
      </c>
      <c r="B55" s="78">
        <f>'Sessional + End Term Assessment'!B60</f>
        <v>0</v>
      </c>
      <c r="C55" s="78">
        <f>'Sessional + End Term Assessment'!C60</f>
        <v>0</v>
      </c>
      <c r="D55" s="62">
        <f>'MID Term 2'!R59</f>
        <v>0</v>
      </c>
      <c r="E55" s="63" t="str">
        <f t="shared" si="1"/>
        <v>Y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3.5" customHeight="1" thickBot="1" x14ac:dyDescent="0.3">
      <c r="A56" s="61">
        <f>'Sessional + End Term Assessment'!A61</f>
        <v>54</v>
      </c>
      <c r="B56" s="78">
        <f>'Sessional + End Term Assessment'!B61</f>
        <v>0</v>
      </c>
      <c r="C56" s="78">
        <f>'Sessional + End Term Assessment'!C61</f>
        <v>0</v>
      </c>
      <c r="D56" s="62">
        <f>'MID Term 2'!R60</f>
        <v>0</v>
      </c>
      <c r="E56" s="63" t="str">
        <f t="shared" si="1"/>
        <v>Y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3.5" customHeight="1" thickBot="1" x14ac:dyDescent="0.3">
      <c r="A57" s="61">
        <f>'Sessional + End Term Assessment'!A62</f>
        <v>55</v>
      </c>
      <c r="B57" s="78">
        <f>'Sessional + End Term Assessment'!B62</f>
        <v>0</v>
      </c>
      <c r="C57" s="78">
        <f>'Sessional + End Term Assessment'!C62</f>
        <v>0</v>
      </c>
      <c r="D57" s="62">
        <f>'MID Term 2'!R61</f>
        <v>0</v>
      </c>
      <c r="E57" s="63" t="str">
        <f t="shared" si="1"/>
        <v>Y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3.5" customHeight="1" thickBot="1" x14ac:dyDescent="0.3">
      <c r="A58" s="61">
        <f>'Sessional + End Term Assessment'!A63</f>
        <v>56</v>
      </c>
      <c r="B58" s="78">
        <f>'Sessional + End Term Assessment'!B63</f>
        <v>0</v>
      </c>
      <c r="C58" s="78">
        <f>'Sessional + End Term Assessment'!C63</f>
        <v>0</v>
      </c>
      <c r="D58" s="62">
        <f>'MID Term 2'!R62</f>
        <v>0</v>
      </c>
      <c r="E58" s="63" t="str">
        <f t="shared" si="1"/>
        <v>Y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3.5" customHeight="1" thickBot="1" x14ac:dyDescent="0.3">
      <c r="A59" s="61">
        <f>'Sessional + End Term Assessment'!A64</f>
        <v>57</v>
      </c>
      <c r="B59" s="78">
        <f>'Sessional + End Term Assessment'!B64</f>
        <v>0</v>
      </c>
      <c r="C59" s="78">
        <f>'Sessional + End Term Assessment'!C64</f>
        <v>0</v>
      </c>
      <c r="D59" s="62">
        <f>'MID Term 2'!R63</f>
        <v>0</v>
      </c>
      <c r="E59" s="63" t="str">
        <f t="shared" si="1"/>
        <v>Y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3.5" customHeight="1" thickBot="1" x14ac:dyDescent="0.3">
      <c r="A60" s="61">
        <f>'Sessional + End Term Assessment'!A65</f>
        <v>58</v>
      </c>
      <c r="B60" s="78">
        <f>'Sessional + End Term Assessment'!B65</f>
        <v>0</v>
      </c>
      <c r="C60" s="78">
        <f>'Sessional + End Term Assessment'!C65</f>
        <v>0</v>
      </c>
      <c r="D60" s="62">
        <f>'MID Term 2'!R64</f>
        <v>0</v>
      </c>
      <c r="E60" s="63" t="str">
        <f t="shared" si="1"/>
        <v>Y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3.5" customHeight="1" thickBot="1" x14ac:dyDescent="0.3">
      <c r="A61" s="61">
        <f>'Sessional + End Term Assessment'!A66</f>
        <v>59</v>
      </c>
      <c r="B61" s="78">
        <f>'Sessional + End Term Assessment'!B66</f>
        <v>0</v>
      </c>
      <c r="C61" s="78">
        <f>'Sessional + End Term Assessment'!C66</f>
        <v>0</v>
      </c>
      <c r="D61" s="62">
        <f>'MID Term 2'!R65</f>
        <v>0</v>
      </c>
      <c r="E61" s="63" t="str">
        <f t="shared" si="1"/>
        <v>Y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3.5" customHeight="1" thickBot="1" x14ac:dyDescent="0.3">
      <c r="A62" s="61">
        <f>'Sessional + End Term Assessment'!A67</f>
        <v>60</v>
      </c>
      <c r="B62" s="78">
        <f>'Sessional + End Term Assessment'!B67</f>
        <v>0</v>
      </c>
      <c r="C62" s="78">
        <f>'Sessional + End Term Assessment'!C67</f>
        <v>0</v>
      </c>
      <c r="D62" s="62">
        <f>'MID Term 2'!R66</f>
        <v>0</v>
      </c>
      <c r="E62" s="63" t="str">
        <f t="shared" si="1"/>
        <v>Y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3.5" customHeight="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3.5" customHeight="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3.5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3.5" customHeight="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3.5" customHeight="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3.5" customHeight="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3.5" customHeight="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3.5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3.5" customHeight="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3.5" customHeight="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3.5" customHeight="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3.5" customHeight="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3.5" customHeight="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3.5" customHeight="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3.5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3.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3.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3.5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3.5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3.5" customHeight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3.5" customHeight="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3.5" customHeight="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3.5" customHeight="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3.5" customHeight="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3.5" customHeight="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3.5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3.5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3.5" customHeight="1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3.5" customHeight="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3.5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3.5" customHeight="1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3.5" customHeight="1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3.5" customHeight="1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3.5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3.5" customHeight="1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3.5" customHeight="1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3.5" customHeight="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3.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3.5" customHeight="1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3.5" customHeight="1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3.5" customHeight="1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3.5" customHeight="1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3.5" customHeight="1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3.5" customHeight="1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3.5" customHeight="1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3.5" customHeight="1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3.5" customHeight="1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3.5" customHeight="1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3.5" customHeight="1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3.5" customHeight="1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3.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3.5" customHeight="1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3.5" customHeight="1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3.5" customHeight="1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3.5" customHeight="1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3.5" customHeight="1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3.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3.5" customHeight="1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3.5" customHeight="1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</sheetData>
  <autoFilter ref="A2:E32" xr:uid="{00000000-0009-0000-0000-000007000000}"/>
  <mergeCells count="1">
    <mergeCell ref="A1:E1"/>
  </mergeCells>
  <phoneticPr fontId="32" type="noConversion"/>
  <conditionalFormatting sqref="E3:E62">
    <cfRule type="cellIs" dxfId="2" priority="1" operator="equal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882"/>
  <sheetViews>
    <sheetView tabSelected="1" topLeftCell="B61" workbookViewId="0">
      <selection activeCell="L78" sqref="L78"/>
    </sheetView>
  </sheetViews>
  <sheetFormatPr defaultColWidth="12.59765625" defaultRowHeight="15" customHeight="1" x14ac:dyDescent="0.25"/>
  <cols>
    <col min="1" max="1" width="5.69921875" customWidth="1"/>
    <col min="2" max="2" width="13.5" customWidth="1"/>
    <col min="3" max="3" width="27.8984375" customWidth="1"/>
    <col min="4" max="4" width="14.3984375" customWidth="1"/>
    <col min="5" max="13" width="12.19921875" customWidth="1"/>
    <col min="14" max="15" width="8" customWidth="1"/>
    <col min="16" max="25" width="7.69921875" customWidth="1"/>
    <col min="26" max="26" width="12.69921875" customWidth="1"/>
  </cols>
  <sheetData>
    <row r="1" spans="1:25" ht="19.5" customHeight="1" x14ac:dyDescent="0.25">
      <c r="A1" s="84" t="str">
        <f>'CO-PO Mapping'!A1:P1</f>
        <v>DEPARTMENT OF COMPUTER SCIENCE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8"/>
    </row>
    <row r="2" spans="1:25" ht="19.5" customHeight="1" x14ac:dyDescent="0.25">
      <c r="A2" s="84" t="s">
        <v>78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8"/>
    </row>
    <row r="3" spans="1:25" ht="19.5" customHeight="1" x14ac:dyDescent="0.25">
      <c r="A3" s="84" t="str">
        <f>'CO-PO Mapping'!A3:P3</f>
        <v>II Year III Semester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8"/>
    </row>
    <row r="4" spans="1:25" ht="19.5" customHeight="1" x14ac:dyDescent="0.35">
      <c r="A4" s="84" t="str">
        <f>'CO-PO Mapping'!A4:P4</f>
        <v>SUBJECT: Advanced Engineering Mathematics                                                                                                   Faculty: Dr. Kalpana Fatawat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8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spans="1:25" ht="19.5" customHeight="1" x14ac:dyDescent="0.3">
      <c r="A5" s="80" t="s">
        <v>27</v>
      </c>
      <c r="B5" s="87" t="s">
        <v>28</v>
      </c>
      <c r="C5" s="15" t="s">
        <v>29</v>
      </c>
      <c r="D5" s="80" t="s">
        <v>18</v>
      </c>
      <c r="E5" s="80" t="s">
        <v>19</v>
      </c>
      <c r="F5" s="80" t="s">
        <v>20</v>
      </c>
      <c r="G5" s="80" t="s">
        <v>21</v>
      </c>
      <c r="H5" s="80" t="s">
        <v>22</v>
      </c>
      <c r="I5" s="84" t="s">
        <v>79</v>
      </c>
      <c r="J5" s="85"/>
      <c r="K5" s="85"/>
      <c r="L5" s="85"/>
      <c r="M5" s="86"/>
      <c r="N5" s="80" t="s">
        <v>32</v>
      </c>
      <c r="O5" s="80" t="s">
        <v>32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9.5" customHeight="1" x14ac:dyDescent="0.3">
      <c r="A6" s="81"/>
      <c r="B6" s="81"/>
      <c r="C6" s="15" t="s">
        <v>57</v>
      </c>
      <c r="D6" s="82"/>
      <c r="E6" s="82"/>
      <c r="F6" s="82"/>
      <c r="G6" s="82"/>
      <c r="H6" s="82"/>
      <c r="I6" s="80" t="s">
        <v>18</v>
      </c>
      <c r="J6" s="80" t="s">
        <v>19</v>
      </c>
      <c r="K6" s="80" t="s">
        <v>20</v>
      </c>
      <c r="L6" s="80" t="s">
        <v>21</v>
      </c>
      <c r="M6" s="80" t="s">
        <v>22</v>
      </c>
      <c r="N6" s="81"/>
      <c r="O6" s="8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3">
      <c r="A7" s="81"/>
      <c r="B7" s="81"/>
      <c r="C7" s="15"/>
      <c r="D7" s="15" t="s">
        <v>32</v>
      </c>
      <c r="E7" s="15" t="s">
        <v>32</v>
      </c>
      <c r="F7" s="15" t="s">
        <v>32</v>
      </c>
      <c r="G7" s="15" t="s">
        <v>32</v>
      </c>
      <c r="H7" s="15" t="s">
        <v>32</v>
      </c>
      <c r="I7" s="82"/>
      <c r="J7" s="82"/>
      <c r="K7" s="82"/>
      <c r="L7" s="82"/>
      <c r="M7" s="82"/>
      <c r="N7" s="82"/>
      <c r="O7" s="82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x14ac:dyDescent="0.3">
      <c r="A8" s="82"/>
      <c r="B8" s="82"/>
      <c r="C8" s="15" t="s">
        <v>34</v>
      </c>
      <c r="D8" s="15">
        <f>'MID Term 1'!D6+'MID Term 2'!D6</f>
        <v>28</v>
      </c>
      <c r="E8" s="15">
        <f>'MID Term 1'!H6+'MID Term 2'!E6</f>
        <v>28</v>
      </c>
      <c r="F8" s="15">
        <f>'MID Term 1'!L6+'MID Term 2'!F6</f>
        <v>28</v>
      </c>
      <c r="G8" s="15">
        <f>'MID Term 1'!P6+'MID Term 2'!J6</f>
        <v>28</v>
      </c>
      <c r="H8" s="15">
        <f>'MID Term 1'!Q6+'MID Term 2'!N6</f>
        <v>28</v>
      </c>
      <c r="I8" s="83">
        <v>0.75</v>
      </c>
      <c r="J8" s="83">
        <v>0.75</v>
      </c>
      <c r="K8" s="83">
        <v>0.75</v>
      </c>
      <c r="L8" s="83">
        <v>0.75</v>
      </c>
      <c r="M8" s="83">
        <v>0.75</v>
      </c>
      <c r="N8" s="80">
        <f>SUM(D8:H8)</f>
        <v>140</v>
      </c>
      <c r="O8" s="80">
        <f>ROUND(N8/2,0)</f>
        <v>70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 customHeight="1" x14ac:dyDescent="0.3">
      <c r="A9" s="84" t="s">
        <v>35</v>
      </c>
      <c r="B9" s="85"/>
      <c r="C9" s="86"/>
      <c r="D9" s="19">
        <v>0.75</v>
      </c>
      <c r="E9" s="19">
        <v>0.75</v>
      </c>
      <c r="F9" s="19">
        <v>0.75</v>
      </c>
      <c r="G9" s="19">
        <v>0.75</v>
      </c>
      <c r="H9" s="19">
        <v>0.75</v>
      </c>
      <c r="I9" s="82"/>
      <c r="J9" s="82"/>
      <c r="K9" s="82"/>
      <c r="L9" s="82"/>
      <c r="M9" s="82"/>
      <c r="N9" s="82"/>
      <c r="O9" s="82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5" customHeight="1" x14ac:dyDescent="0.3">
      <c r="A10" s="47">
        <f>'Sessional + End Term Assessment'!A8</f>
        <v>1</v>
      </c>
      <c r="B10" s="72">
        <f>'Sessional + End Term Assessment'!B8</f>
        <v>0</v>
      </c>
      <c r="C10" s="72">
        <f>'Sessional + End Term Assessment'!C8</f>
        <v>0</v>
      </c>
      <c r="D10" s="21">
        <f>'MID Term 1'!D7+'MID Term 2'!D7</f>
        <v>0</v>
      </c>
      <c r="E10" s="21">
        <f>'MID Term 1'!H7+'MID Term 2'!E7</f>
        <v>0</v>
      </c>
      <c r="F10" s="21">
        <f>'MID Term 1'!L7+'MID Term 2'!F7</f>
        <v>0</v>
      </c>
      <c r="G10" s="21">
        <f>'MID Term 1'!P7+'MID Term 2'!J7</f>
        <v>0</v>
      </c>
      <c r="H10" s="21">
        <f>'MID Term 1'!Q7+'MID Term 2'!N7</f>
        <v>0</v>
      </c>
      <c r="I10" s="23">
        <f t="shared" ref="I10:I39" si="0">IF((D10/$D$8)&gt;=$I$8,1,0)</f>
        <v>0</v>
      </c>
      <c r="J10" s="23">
        <f t="shared" ref="J10:J39" si="1">IF((E10/$E$8)&gt;=$J$8,1,0)</f>
        <v>0</v>
      </c>
      <c r="K10" s="23">
        <f t="shared" ref="K10:K39" si="2">IF((F10/$F$8)&gt;=$K$8,1,0)</f>
        <v>0</v>
      </c>
      <c r="L10" s="23">
        <f t="shared" ref="L10:L39" si="3">IF((G10/$G$8)&gt;=$L$8,1,0)</f>
        <v>0</v>
      </c>
      <c r="M10" s="23">
        <f t="shared" ref="M10:M39" si="4">IF((H10/$H$8)&gt;=$M$8,1,0)</f>
        <v>0</v>
      </c>
      <c r="N10" s="21">
        <f t="shared" ref="N10:N39" si="5">SUM(D10:H10)</f>
        <v>0</v>
      </c>
      <c r="O10" s="23">
        <f t="shared" ref="O10:O39" si="6">ROUND(N10/2,0)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x14ac:dyDescent="0.3">
      <c r="A11" s="47">
        <f>'Sessional + End Term Assessment'!A9</f>
        <v>2</v>
      </c>
      <c r="B11" s="72">
        <f>'Sessional + End Term Assessment'!B9</f>
        <v>0</v>
      </c>
      <c r="C11" s="72">
        <f>'Sessional + End Term Assessment'!C9</f>
        <v>0</v>
      </c>
      <c r="D11" s="21">
        <f>'MID Term 1'!D8+'MID Term 2'!D8</f>
        <v>0</v>
      </c>
      <c r="E11" s="21">
        <f>'MID Term 1'!H8+'MID Term 2'!E8</f>
        <v>0</v>
      </c>
      <c r="F11" s="21">
        <f>'MID Term 1'!L8+'MID Term 2'!F8</f>
        <v>0</v>
      </c>
      <c r="G11" s="21">
        <f>'MID Term 1'!P8+'MID Term 2'!J8</f>
        <v>0</v>
      </c>
      <c r="H11" s="21">
        <f>'MID Term 1'!Q8+'MID Term 2'!N8</f>
        <v>0</v>
      </c>
      <c r="I11" s="23">
        <f t="shared" si="0"/>
        <v>0</v>
      </c>
      <c r="J11" s="23">
        <f t="shared" si="1"/>
        <v>0</v>
      </c>
      <c r="K11" s="23">
        <f t="shared" si="2"/>
        <v>0</v>
      </c>
      <c r="L11" s="23">
        <f t="shared" si="3"/>
        <v>0</v>
      </c>
      <c r="M11" s="23">
        <f t="shared" si="4"/>
        <v>0</v>
      </c>
      <c r="N11" s="21">
        <f t="shared" si="5"/>
        <v>0</v>
      </c>
      <c r="O11" s="23">
        <f t="shared" si="6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5" customHeight="1" x14ac:dyDescent="0.3">
      <c r="A12" s="47">
        <f>'Sessional + End Term Assessment'!A10</f>
        <v>3</v>
      </c>
      <c r="B12" s="72">
        <f>'Sessional + End Term Assessment'!B10</f>
        <v>0</v>
      </c>
      <c r="C12" s="72">
        <f>'Sessional + End Term Assessment'!C10</f>
        <v>0</v>
      </c>
      <c r="D12" s="21">
        <f>'MID Term 1'!D9+'MID Term 2'!D9</f>
        <v>0</v>
      </c>
      <c r="E12" s="21">
        <f>'MID Term 1'!H9+'MID Term 2'!E9</f>
        <v>0</v>
      </c>
      <c r="F12" s="21">
        <f>'MID Term 1'!L9+'MID Term 2'!F9</f>
        <v>0</v>
      </c>
      <c r="G12" s="21">
        <f>'MID Term 1'!P9+'MID Term 2'!J9</f>
        <v>0</v>
      </c>
      <c r="H12" s="21">
        <f>'MID Term 1'!Q9+'MID Term 2'!N9</f>
        <v>0</v>
      </c>
      <c r="I12" s="23">
        <f t="shared" si="0"/>
        <v>0</v>
      </c>
      <c r="J12" s="23">
        <f t="shared" si="1"/>
        <v>0</v>
      </c>
      <c r="K12" s="23">
        <f t="shared" si="2"/>
        <v>0</v>
      </c>
      <c r="L12" s="23">
        <f t="shared" si="3"/>
        <v>0</v>
      </c>
      <c r="M12" s="23">
        <f t="shared" si="4"/>
        <v>0</v>
      </c>
      <c r="N12" s="21">
        <f t="shared" si="5"/>
        <v>0</v>
      </c>
      <c r="O12" s="23">
        <f t="shared" si="6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.5" customHeight="1" x14ac:dyDescent="0.3">
      <c r="A13" s="47">
        <f>'Sessional + End Term Assessment'!A11</f>
        <v>4</v>
      </c>
      <c r="B13" s="72">
        <f>'Sessional + End Term Assessment'!B11</f>
        <v>0</v>
      </c>
      <c r="C13" s="72">
        <f>'Sessional + End Term Assessment'!C11</f>
        <v>0</v>
      </c>
      <c r="D13" s="21">
        <f>'MID Term 1'!D10+'MID Term 2'!D10</f>
        <v>0</v>
      </c>
      <c r="E13" s="21">
        <f>'MID Term 1'!H10+'MID Term 2'!E10</f>
        <v>0</v>
      </c>
      <c r="F13" s="21">
        <f>'MID Term 1'!L10+'MID Term 2'!F10</f>
        <v>0</v>
      </c>
      <c r="G13" s="21">
        <f>'MID Term 1'!P10+'MID Term 2'!J10</f>
        <v>0</v>
      </c>
      <c r="H13" s="21">
        <f>'MID Term 1'!Q10+'MID Term 2'!N10</f>
        <v>0</v>
      </c>
      <c r="I13" s="23">
        <f t="shared" si="0"/>
        <v>0</v>
      </c>
      <c r="J13" s="23">
        <f t="shared" si="1"/>
        <v>0</v>
      </c>
      <c r="K13" s="23">
        <f t="shared" si="2"/>
        <v>0</v>
      </c>
      <c r="L13" s="23">
        <f t="shared" si="3"/>
        <v>0</v>
      </c>
      <c r="M13" s="23">
        <f t="shared" si="4"/>
        <v>0</v>
      </c>
      <c r="N13" s="21">
        <f t="shared" si="5"/>
        <v>0</v>
      </c>
      <c r="O13" s="23">
        <f t="shared" si="6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9.5" customHeight="1" x14ac:dyDescent="0.3">
      <c r="A14" s="47">
        <f>'Sessional + End Term Assessment'!A12</f>
        <v>5</v>
      </c>
      <c r="B14" s="72">
        <f>'Sessional + End Term Assessment'!B12</f>
        <v>0</v>
      </c>
      <c r="C14" s="72">
        <f>'Sessional + End Term Assessment'!C12</f>
        <v>0</v>
      </c>
      <c r="D14" s="21">
        <f>'MID Term 1'!D11+'MID Term 2'!D11</f>
        <v>0</v>
      </c>
      <c r="E14" s="21">
        <f>'MID Term 1'!H11+'MID Term 2'!E11</f>
        <v>0</v>
      </c>
      <c r="F14" s="21">
        <f>'MID Term 1'!L11+'MID Term 2'!F11</f>
        <v>0</v>
      </c>
      <c r="G14" s="21">
        <f>'MID Term 1'!P11+'MID Term 2'!J11</f>
        <v>0</v>
      </c>
      <c r="H14" s="21">
        <f>'MID Term 1'!Q11+'MID Term 2'!N11</f>
        <v>0</v>
      </c>
      <c r="I14" s="23">
        <f t="shared" si="0"/>
        <v>0</v>
      </c>
      <c r="J14" s="23">
        <f t="shared" si="1"/>
        <v>0</v>
      </c>
      <c r="K14" s="23">
        <f t="shared" si="2"/>
        <v>0</v>
      </c>
      <c r="L14" s="23">
        <f t="shared" si="3"/>
        <v>0</v>
      </c>
      <c r="M14" s="23">
        <f t="shared" si="4"/>
        <v>0</v>
      </c>
      <c r="N14" s="21">
        <f t="shared" si="5"/>
        <v>0</v>
      </c>
      <c r="O14" s="23">
        <f t="shared" si="6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9.5" customHeight="1" x14ac:dyDescent="0.3">
      <c r="A15" s="47">
        <f>'Sessional + End Term Assessment'!A13</f>
        <v>6</v>
      </c>
      <c r="B15" s="72">
        <f>'Sessional + End Term Assessment'!B13</f>
        <v>0</v>
      </c>
      <c r="C15" s="72">
        <f>'Sessional + End Term Assessment'!C13</f>
        <v>0</v>
      </c>
      <c r="D15" s="21">
        <f>'MID Term 1'!D12+'MID Term 2'!D12</f>
        <v>0</v>
      </c>
      <c r="E15" s="21">
        <f>'MID Term 1'!H12+'MID Term 2'!E12</f>
        <v>0</v>
      </c>
      <c r="F15" s="21">
        <f>'MID Term 1'!L12+'MID Term 2'!F12</f>
        <v>0</v>
      </c>
      <c r="G15" s="21">
        <f>'MID Term 1'!P12+'MID Term 2'!J12</f>
        <v>0</v>
      </c>
      <c r="H15" s="21">
        <f>'MID Term 1'!Q12+'MID Term 2'!N12</f>
        <v>0</v>
      </c>
      <c r="I15" s="23">
        <f t="shared" si="0"/>
        <v>0</v>
      </c>
      <c r="J15" s="23">
        <f t="shared" si="1"/>
        <v>0</v>
      </c>
      <c r="K15" s="23">
        <f t="shared" si="2"/>
        <v>0</v>
      </c>
      <c r="L15" s="23">
        <f t="shared" si="3"/>
        <v>0</v>
      </c>
      <c r="M15" s="23">
        <f t="shared" si="4"/>
        <v>0</v>
      </c>
      <c r="N15" s="21">
        <f t="shared" si="5"/>
        <v>0</v>
      </c>
      <c r="O15" s="23">
        <f t="shared" si="6"/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5" customHeight="1" x14ac:dyDescent="0.3">
      <c r="A16" s="47">
        <f>'Sessional + End Term Assessment'!A14</f>
        <v>7</v>
      </c>
      <c r="B16" s="72">
        <f>'Sessional + End Term Assessment'!B14</f>
        <v>0</v>
      </c>
      <c r="C16" s="72">
        <f>'Sessional + End Term Assessment'!C14</f>
        <v>0</v>
      </c>
      <c r="D16" s="21">
        <f>'MID Term 1'!D13+'MID Term 2'!D13</f>
        <v>0</v>
      </c>
      <c r="E16" s="21">
        <f>'MID Term 1'!H13+'MID Term 2'!E13</f>
        <v>0</v>
      </c>
      <c r="F16" s="21">
        <f>'MID Term 1'!L13+'MID Term 2'!F13</f>
        <v>0</v>
      </c>
      <c r="G16" s="21">
        <f>'MID Term 1'!P13+'MID Term 2'!J13</f>
        <v>0</v>
      </c>
      <c r="H16" s="21">
        <f>'MID Term 1'!Q13+'MID Term 2'!N13</f>
        <v>0</v>
      </c>
      <c r="I16" s="23">
        <f t="shared" si="0"/>
        <v>0</v>
      </c>
      <c r="J16" s="23">
        <f t="shared" si="1"/>
        <v>0</v>
      </c>
      <c r="K16" s="23">
        <f t="shared" si="2"/>
        <v>0</v>
      </c>
      <c r="L16" s="23">
        <f t="shared" si="3"/>
        <v>0</v>
      </c>
      <c r="M16" s="23">
        <f t="shared" si="4"/>
        <v>0</v>
      </c>
      <c r="N16" s="21">
        <f t="shared" si="5"/>
        <v>0</v>
      </c>
      <c r="O16" s="23">
        <f t="shared" si="6"/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5" customHeight="1" x14ac:dyDescent="0.3">
      <c r="A17" s="47">
        <f>'Sessional + End Term Assessment'!A15</f>
        <v>8</v>
      </c>
      <c r="B17" s="72">
        <f>'Sessional + End Term Assessment'!B15</f>
        <v>0</v>
      </c>
      <c r="C17" s="72">
        <f>'Sessional + End Term Assessment'!C15</f>
        <v>0</v>
      </c>
      <c r="D17" s="21">
        <f>'MID Term 1'!D14+'MID Term 2'!D14</f>
        <v>0</v>
      </c>
      <c r="E17" s="21">
        <f>'MID Term 1'!H14+'MID Term 2'!E14</f>
        <v>0</v>
      </c>
      <c r="F17" s="21">
        <f>'MID Term 1'!L14+'MID Term 2'!F14</f>
        <v>0</v>
      </c>
      <c r="G17" s="21">
        <f>'MID Term 1'!P14+'MID Term 2'!J14</f>
        <v>0</v>
      </c>
      <c r="H17" s="21">
        <f>'MID Term 1'!Q14+'MID Term 2'!N14</f>
        <v>0</v>
      </c>
      <c r="I17" s="23">
        <f t="shared" si="0"/>
        <v>0</v>
      </c>
      <c r="J17" s="23">
        <f t="shared" si="1"/>
        <v>0</v>
      </c>
      <c r="K17" s="23">
        <f t="shared" si="2"/>
        <v>0</v>
      </c>
      <c r="L17" s="23">
        <f t="shared" si="3"/>
        <v>0</v>
      </c>
      <c r="M17" s="23">
        <f t="shared" si="4"/>
        <v>0</v>
      </c>
      <c r="N17" s="21">
        <f t="shared" si="5"/>
        <v>0</v>
      </c>
      <c r="O17" s="23">
        <f t="shared" si="6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5" customHeight="1" x14ac:dyDescent="0.3">
      <c r="A18" s="47">
        <f>'Sessional + End Term Assessment'!A16</f>
        <v>9</v>
      </c>
      <c r="B18" s="72">
        <f>'Sessional + End Term Assessment'!B16</f>
        <v>0</v>
      </c>
      <c r="C18" s="72">
        <f>'Sessional + End Term Assessment'!C16</f>
        <v>0</v>
      </c>
      <c r="D18" s="21">
        <f>'MID Term 1'!D15+'MID Term 2'!D15</f>
        <v>0</v>
      </c>
      <c r="E18" s="21">
        <f>'MID Term 1'!H15+'MID Term 2'!E15</f>
        <v>0</v>
      </c>
      <c r="F18" s="21">
        <f>'MID Term 1'!L15+'MID Term 2'!F15</f>
        <v>0</v>
      </c>
      <c r="G18" s="21">
        <f>'MID Term 1'!P15+'MID Term 2'!J15</f>
        <v>0</v>
      </c>
      <c r="H18" s="21">
        <f>'MID Term 1'!Q15+'MID Term 2'!N15</f>
        <v>0</v>
      </c>
      <c r="I18" s="23">
        <f t="shared" si="0"/>
        <v>0</v>
      </c>
      <c r="J18" s="23">
        <f t="shared" si="1"/>
        <v>0</v>
      </c>
      <c r="K18" s="23">
        <f t="shared" si="2"/>
        <v>0</v>
      </c>
      <c r="L18" s="23">
        <f t="shared" si="3"/>
        <v>0</v>
      </c>
      <c r="M18" s="23">
        <f t="shared" si="4"/>
        <v>0</v>
      </c>
      <c r="N18" s="21">
        <f t="shared" si="5"/>
        <v>0</v>
      </c>
      <c r="O18" s="23">
        <f t="shared" si="6"/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5" customHeight="1" x14ac:dyDescent="0.3">
      <c r="A19" s="47">
        <f>'Sessional + End Term Assessment'!A17</f>
        <v>10</v>
      </c>
      <c r="B19" s="72">
        <f>'Sessional + End Term Assessment'!B17</f>
        <v>0</v>
      </c>
      <c r="C19" s="72">
        <f>'Sessional + End Term Assessment'!C17</f>
        <v>0</v>
      </c>
      <c r="D19" s="21">
        <f>'MID Term 1'!D16+'MID Term 2'!D16</f>
        <v>0</v>
      </c>
      <c r="E19" s="21">
        <f>'MID Term 1'!H16+'MID Term 2'!E16</f>
        <v>0</v>
      </c>
      <c r="F19" s="21">
        <f>'MID Term 1'!L16+'MID Term 2'!F16</f>
        <v>0</v>
      </c>
      <c r="G19" s="21">
        <f>'MID Term 1'!P16+'MID Term 2'!J16</f>
        <v>0</v>
      </c>
      <c r="H19" s="21">
        <f>'MID Term 1'!Q16+'MID Term 2'!N16</f>
        <v>0</v>
      </c>
      <c r="I19" s="23">
        <f t="shared" si="0"/>
        <v>0</v>
      </c>
      <c r="J19" s="23">
        <f t="shared" si="1"/>
        <v>0</v>
      </c>
      <c r="K19" s="23">
        <f t="shared" si="2"/>
        <v>0</v>
      </c>
      <c r="L19" s="23">
        <f t="shared" si="3"/>
        <v>0</v>
      </c>
      <c r="M19" s="23">
        <f t="shared" si="4"/>
        <v>0</v>
      </c>
      <c r="N19" s="21">
        <f t="shared" si="5"/>
        <v>0</v>
      </c>
      <c r="O19" s="23">
        <f t="shared" si="6"/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 x14ac:dyDescent="0.3">
      <c r="A20" s="47">
        <f>'Sessional + End Term Assessment'!A18</f>
        <v>11</v>
      </c>
      <c r="B20" s="72">
        <f>'Sessional + End Term Assessment'!B18</f>
        <v>0</v>
      </c>
      <c r="C20" s="72">
        <f>'Sessional + End Term Assessment'!C18</f>
        <v>0</v>
      </c>
      <c r="D20" s="21">
        <f>'MID Term 1'!D17+'MID Term 2'!D17</f>
        <v>0</v>
      </c>
      <c r="E20" s="21">
        <f>'MID Term 1'!H17+'MID Term 2'!E17</f>
        <v>0</v>
      </c>
      <c r="F20" s="21">
        <f>'MID Term 1'!L17+'MID Term 2'!F17</f>
        <v>0</v>
      </c>
      <c r="G20" s="21">
        <f>'MID Term 1'!P17+'MID Term 2'!J17</f>
        <v>0</v>
      </c>
      <c r="H20" s="21">
        <f>'MID Term 1'!Q17+'MID Term 2'!N17</f>
        <v>0</v>
      </c>
      <c r="I20" s="23">
        <f t="shared" si="0"/>
        <v>0</v>
      </c>
      <c r="J20" s="23">
        <f t="shared" si="1"/>
        <v>0</v>
      </c>
      <c r="K20" s="23">
        <f t="shared" si="2"/>
        <v>0</v>
      </c>
      <c r="L20" s="23">
        <f t="shared" si="3"/>
        <v>0</v>
      </c>
      <c r="M20" s="23">
        <f t="shared" si="4"/>
        <v>0</v>
      </c>
      <c r="N20" s="21">
        <f t="shared" si="5"/>
        <v>0</v>
      </c>
      <c r="O20" s="23">
        <f t="shared" si="6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 x14ac:dyDescent="0.3">
      <c r="A21" s="47">
        <f>'Sessional + End Term Assessment'!A19</f>
        <v>12</v>
      </c>
      <c r="B21" s="72">
        <f>'Sessional + End Term Assessment'!B19</f>
        <v>0</v>
      </c>
      <c r="C21" s="72">
        <f>'Sessional + End Term Assessment'!C19</f>
        <v>0</v>
      </c>
      <c r="D21" s="21">
        <f>'MID Term 1'!D18+'MID Term 2'!D18</f>
        <v>0</v>
      </c>
      <c r="E21" s="21">
        <f>'MID Term 1'!H18+'MID Term 2'!E18</f>
        <v>0</v>
      </c>
      <c r="F21" s="21">
        <f>'MID Term 1'!L18+'MID Term 2'!F18</f>
        <v>0</v>
      </c>
      <c r="G21" s="21">
        <f>'MID Term 1'!P18+'MID Term 2'!J18</f>
        <v>0</v>
      </c>
      <c r="H21" s="21">
        <f>'MID Term 1'!Q18+'MID Term 2'!N18</f>
        <v>0</v>
      </c>
      <c r="I21" s="23">
        <f t="shared" si="0"/>
        <v>0</v>
      </c>
      <c r="J21" s="23">
        <f t="shared" si="1"/>
        <v>0</v>
      </c>
      <c r="K21" s="23">
        <f t="shared" si="2"/>
        <v>0</v>
      </c>
      <c r="L21" s="23">
        <f t="shared" si="3"/>
        <v>0</v>
      </c>
      <c r="M21" s="23">
        <f t="shared" si="4"/>
        <v>0</v>
      </c>
      <c r="N21" s="21">
        <f t="shared" si="5"/>
        <v>0</v>
      </c>
      <c r="O21" s="23">
        <f t="shared" si="6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 x14ac:dyDescent="0.3">
      <c r="A22" s="47">
        <f>'Sessional + End Term Assessment'!A20</f>
        <v>13</v>
      </c>
      <c r="B22" s="72">
        <f>'Sessional + End Term Assessment'!B20</f>
        <v>0</v>
      </c>
      <c r="C22" s="72">
        <f>'Sessional + End Term Assessment'!C20</f>
        <v>0</v>
      </c>
      <c r="D22" s="21">
        <f>'MID Term 1'!D19+'MID Term 2'!D19</f>
        <v>0</v>
      </c>
      <c r="E22" s="21">
        <f>'MID Term 1'!H19+'MID Term 2'!E19</f>
        <v>0</v>
      </c>
      <c r="F22" s="21">
        <f>'MID Term 1'!L19+'MID Term 2'!F19</f>
        <v>0</v>
      </c>
      <c r="G22" s="21">
        <f>'MID Term 1'!P19+'MID Term 2'!J19</f>
        <v>0</v>
      </c>
      <c r="H22" s="21">
        <f>'MID Term 1'!Q19+'MID Term 2'!N19</f>
        <v>0</v>
      </c>
      <c r="I22" s="23">
        <f t="shared" si="0"/>
        <v>0</v>
      </c>
      <c r="J22" s="23">
        <f t="shared" si="1"/>
        <v>0</v>
      </c>
      <c r="K22" s="23">
        <f t="shared" si="2"/>
        <v>0</v>
      </c>
      <c r="L22" s="23">
        <f t="shared" si="3"/>
        <v>0</v>
      </c>
      <c r="M22" s="23">
        <f t="shared" si="4"/>
        <v>0</v>
      </c>
      <c r="N22" s="21">
        <f t="shared" si="5"/>
        <v>0</v>
      </c>
      <c r="O22" s="23">
        <f t="shared" si="6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5" customHeight="1" x14ac:dyDescent="0.3">
      <c r="A23" s="47">
        <f>'Sessional + End Term Assessment'!A21</f>
        <v>14</v>
      </c>
      <c r="B23" s="72">
        <f>'Sessional + End Term Assessment'!B21</f>
        <v>0</v>
      </c>
      <c r="C23" s="72">
        <f>'Sessional + End Term Assessment'!C21</f>
        <v>0</v>
      </c>
      <c r="D23" s="21">
        <f>'MID Term 1'!D20+'MID Term 2'!D20</f>
        <v>0</v>
      </c>
      <c r="E23" s="21">
        <f>'MID Term 1'!H20+'MID Term 2'!E20</f>
        <v>0</v>
      </c>
      <c r="F23" s="21">
        <f>'MID Term 1'!L20+'MID Term 2'!F20</f>
        <v>0</v>
      </c>
      <c r="G23" s="21">
        <f>'MID Term 1'!P20+'MID Term 2'!J20</f>
        <v>0</v>
      </c>
      <c r="H23" s="21">
        <f>'MID Term 1'!Q20+'MID Term 2'!N20</f>
        <v>0</v>
      </c>
      <c r="I23" s="23">
        <f t="shared" si="0"/>
        <v>0</v>
      </c>
      <c r="J23" s="23">
        <f t="shared" si="1"/>
        <v>0</v>
      </c>
      <c r="K23" s="23">
        <f t="shared" si="2"/>
        <v>0</v>
      </c>
      <c r="L23" s="23">
        <f t="shared" si="3"/>
        <v>0</v>
      </c>
      <c r="M23" s="23">
        <f t="shared" si="4"/>
        <v>0</v>
      </c>
      <c r="N23" s="21">
        <f t="shared" si="5"/>
        <v>0</v>
      </c>
      <c r="O23" s="23">
        <f t="shared" si="6"/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 x14ac:dyDescent="0.3">
      <c r="A24" s="47">
        <f>'Sessional + End Term Assessment'!A22</f>
        <v>15</v>
      </c>
      <c r="B24" s="72">
        <f>'Sessional + End Term Assessment'!B22</f>
        <v>0</v>
      </c>
      <c r="C24" s="72">
        <f>'Sessional + End Term Assessment'!C22</f>
        <v>0</v>
      </c>
      <c r="D24" s="21">
        <f>'MID Term 1'!D21+'MID Term 2'!D21</f>
        <v>0</v>
      </c>
      <c r="E24" s="21">
        <f>'MID Term 1'!H21+'MID Term 2'!E21</f>
        <v>0</v>
      </c>
      <c r="F24" s="21">
        <f>'MID Term 1'!L21+'MID Term 2'!F21</f>
        <v>0</v>
      </c>
      <c r="G24" s="21">
        <f>'MID Term 1'!P21+'MID Term 2'!J21</f>
        <v>0</v>
      </c>
      <c r="H24" s="21">
        <f>'MID Term 1'!Q21+'MID Term 2'!N21</f>
        <v>0</v>
      </c>
      <c r="I24" s="23">
        <f t="shared" si="0"/>
        <v>0</v>
      </c>
      <c r="J24" s="23">
        <f t="shared" si="1"/>
        <v>0</v>
      </c>
      <c r="K24" s="23">
        <f t="shared" si="2"/>
        <v>0</v>
      </c>
      <c r="L24" s="23">
        <f t="shared" si="3"/>
        <v>0</v>
      </c>
      <c r="M24" s="23">
        <f t="shared" si="4"/>
        <v>0</v>
      </c>
      <c r="N24" s="21">
        <f t="shared" si="5"/>
        <v>0</v>
      </c>
      <c r="O24" s="23">
        <f t="shared" si="6"/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 x14ac:dyDescent="0.3">
      <c r="A25" s="47">
        <f>'Sessional + End Term Assessment'!A23</f>
        <v>16</v>
      </c>
      <c r="B25" s="72">
        <f>'Sessional + End Term Assessment'!B23</f>
        <v>0</v>
      </c>
      <c r="C25" s="72">
        <f>'Sessional + End Term Assessment'!C23</f>
        <v>0</v>
      </c>
      <c r="D25" s="21">
        <f>'MID Term 1'!D22+'MID Term 2'!D22</f>
        <v>0</v>
      </c>
      <c r="E25" s="21">
        <f>'MID Term 1'!H22+'MID Term 2'!E22</f>
        <v>0</v>
      </c>
      <c r="F25" s="21">
        <f>'MID Term 1'!L22+'MID Term 2'!F22</f>
        <v>0</v>
      </c>
      <c r="G25" s="21">
        <f>'MID Term 1'!P22+'MID Term 2'!J22</f>
        <v>0</v>
      </c>
      <c r="H25" s="21">
        <f>'MID Term 1'!Q22+'MID Term 2'!N22</f>
        <v>0</v>
      </c>
      <c r="I25" s="23">
        <f t="shared" si="0"/>
        <v>0</v>
      </c>
      <c r="J25" s="23">
        <f t="shared" si="1"/>
        <v>0</v>
      </c>
      <c r="K25" s="23">
        <f t="shared" si="2"/>
        <v>0</v>
      </c>
      <c r="L25" s="23">
        <f t="shared" si="3"/>
        <v>0</v>
      </c>
      <c r="M25" s="23">
        <f t="shared" si="4"/>
        <v>0</v>
      </c>
      <c r="N25" s="21">
        <f t="shared" si="5"/>
        <v>0</v>
      </c>
      <c r="O25" s="23">
        <f t="shared" si="6"/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x14ac:dyDescent="0.3">
      <c r="A26" s="47">
        <f>'Sessional + End Term Assessment'!A24</f>
        <v>17</v>
      </c>
      <c r="B26" s="72">
        <f>'Sessional + End Term Assessment'!B24</f>
        <v>0</v>
      </c>
      <c r="C26" s="72">
        <f>'Sessional + End Term Assessment'!C24</f>
        <v>0</v>
      </c>
      <c r="D26" s="21">
        <f>'MID Term 1'!D23+'MID Term 2'!D23</f>
        <v>0</v>
      </c>
      <c r="E26" s="21">
        <f>'MID Term 1'!H23+'MID Term 2'!E23</f>
        <v>0</v>
      </c>
      <c r="F26" s="21">
        <f>'MID Term 1'!L23+'MID Term 2'!F23</f>
        <v>0</v>
      </c>
      <c r="G26" s="21">
        <f>'MID Term 1'!P23+'MID Term 2'!J23</f>
        <v>0</v>
      </c>
      <c r="H26" s="21">
        <f>'MID Term 1'!Q23+'MID Term 2'!N23</f>
        <v>0</v>
      </c>
      <c r="I26" s="23">
        <f t="shared" si="0"/>
        <v>0</v>
      </c>
      <c r="J26" s="23">
        <f t="shared" si="1"/>
        <v>0</v>
      </c>
      <c r="K26" s="23">
        <f t="shared" si="2"/>
        <v>0</v>
      </c>
      <c r="L26" s="23">
        <f t="shared" si="3"/>
        <v>0</v>
      </c>
      <c r="M26" s="23">
        <f t="shared" si="4"/>
        <v>0</v>
      </c>
      <c r="N26" s="21">
        <f t="shared" si="5"/>
        <v>0</v>
      </c>
      <c r="O26" s="23">
        <f t="shared" si="6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x14ac:dyDescent="0.3">
      <c r="A27" s="47">
        <f>'Sessional + End Term Assessment'!A25</f>
        <v>18</v>
      </c>
      <c r="B27" s="72">
        <f>'Sessional + End Term Assessment'!B25</f>
        <v>0</v>
      </c>
      <c r="C27" s="72">
        <f>'Sessional + End Term Assessment'!C25</f>
        <v>0</v>
      </c>
      <c r="D27" s="21">
        <f>'MID Term 1'!D24+'MID Term 2'!D24</f>
        <v>0</v>
      </c>
      <c r="E27" s="21">
        <f>'MID Term 1'!H24+'MID Term 2'!E24</f>
        <v>0</v>
      </c>
      <c r="F27" s="21">
        <f>'MID Term 1'!L24+'MID Term 2'!F24</f>
        <v>0</v>
      </c>
      <c r="G27" s="21">
        <f>'MID Term 1'!P24+'MID Term 2'!J24</f>
        <v>0</v>
      </c>
      <c r="H27" s="21">
        <f>'MID Term 1'!Q24+'MID Term 2'!N24</f>
        <v>0</v>
      </c>
      <c r="I27" s="23">
        <f t="shared" si="0"/>
        <v>0</v>
      </c>
      <c r="J27" s="23">
        <f t="shared" si="1"/>
        <v>0</v>
      </c>
      <c r="K27" s="23">
        <f t="shared" si="2"/>
        <v>0</v>
      </c>
      <c r="L27" s="23">
        <f t="shared" si="3"/>
        <v>0</v>
      </c>
      <c r="M27" s="23">
        <f t="shared" si="4"/>
        <v>0</v>
      </c>
      <c r="N27" s="21">
        <f t="shared" si="5"/>
        <v>0</v>
      </c>
      <c r="O27" s="23">
        <f t="shared" si="6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9.5" customHeight="1" x14ac:dyDescent="0.3">
      <c r="A28" s="47">
        <f>'Sessional + End Term Assessment'!A26</f>
        <v>19</v>
      </c>
      <c r="B28" s="72">
        <f>'Sessional + End Term Assessment'!B26</f>
        <v>0</v>
      </c>
      <c r="C28" s="72">
        <f>'Sessional + End Term Assessment'!C26</f>
        <v>0</v>
      </c>
      <c r="D28" s="21">
        <f>'MID Term 1'!D25+'MID Term 2'!D25</f>
        <v>0</v>
      </c>
      <c r="E28" s="21">
        <f>'MID Term 1'!H25+'MID Term 2'!E25</f>
        <v>0</v>
      </c>
      <c r="F28" s="21">
        <f>'MID Term 1'!L25+'MID Term 2'!F25</f>
        <v>0</v>
      </c>
      <c r="G28" s="21">
        <f>'MID Term 1'!P25+'MID Term 2'!J25</f>
        <v>0</v>
      </c>
      <c r="H28" s="21">
        <f>'MID Term 1'!Q25+'MID Term 2'!N25</f>
        <v>0</v>
      </c>
      <c r="I28" s="23">
        <f t="shared" si="0"/>
        <v>0</v>
      </c>
      <c r="J28" s="23">
        <f t="shared" si="1"/>
        <v>0</v>
      </c>
      <c r="K28" s="23">
        <f t="shared" si="2"/>
        <v>0</v>
      </c>
      <c r="L28" s="23">
        <f t="shared" si="3"/>
        <v>0</v>
      </c>
      <c r="M28" s="23">
        <f t="shared" si="4"/>
        <v>0</v>
      </c>
      <c r="N28" s="21">
        <f t="shared" si="5"/>
        <v>0</v>
      </c>
      <c r="O28" s="23">
        <f t="shared" si="6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 x14ac:dyDescent="0.3">
      <c r="A29" s="47">
        <f>'Sessional + End Term Assessment'!A27</f>
        <v>20</v>
      </c>
      <c r="B29" s="72">
        <f>'Sessional + End Term Assessment'!B27</f>
        <v>0</v>
      </c>
      <c r="C29" s="72">
        <f>'Sessional + End Term Assessment'!C27</f>
        <v>0</v>
      </c>
      <c r="D29" s="21">
        <f>'MID Term 1'!D26+'MID Term 2'!D26</f>
        <v>0</v>
      </c>
      <c r="E29" s="21">
        <f>'MID Term 1'!H26+'MID Term 2'!E26</f>
        <v>0</v>
      </c>
      <c r="F29" s="21">
        <f>'MID Term 1'!L26+'MID Term 2'!F26</f>
        <v>0</v>
      </c>
      <c r="G29" s="21">
        <f>'MID Term 1'!P26+'MID Term 2'!J26</f>
        <v>0</v>
      </c>
      <c r="H29" s="21">
        <f>'MID Term 1'!Q26+'MID Term 2'!N26</f>
        <v>0</v>
      </c>
      <c r="I29" s="23">
        <f t="shared" si="0"/>
        <v>0</v>
      </c>
      <c r="J29" s="23">
        <f t="shared" si="1"/>
        <v>0</v>
      </c>
      <c r="K29" s="23">
        <f t="shared" si="2"/>
        <v>0</v>
      </c>
      <c r="L29" s="23">
        <f t="shared" si="3"/>
        <v>0</v>
      </c>
      <c r="M29" s="23">
        <f t="shared" si="4"/>
        <v>0</v>
      </c>
      <c r="N29" s="21">
        <f t="shared" si="5"/>
        <v>0</v>
      </c>
      <c r="O29" s="23">
        <f t="shared" si="6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9.5" customHeight="1" x14ac:dyDescent="0.3">
      <c r="A30" s="47">
        <f>'Sessional + End Term Assessment'!A28</f>
        <v>21</v>
      </c>
      <c r="B30" s="72">
        <f>'Sessional + End Term Assessment'!B28</f>
        <v>0</v>
      </c>
      <c r="C30" s="72">
        <f>'Sessional + End Term Assessment'!C28</f>
        <v>0</v>
      </c>
      <c r="D30" s="21">
        <f>'MID Term 1'!D27+'MID Term 2'!D27</f>
        <v>0</v>
      </c>
      <c r="E30" s="21">
        <f>'MID Term 1'!H27+'MID Term 2'!E27</f>
        <v>0</v>
      </c>
      <c r="F30" s="21">
        <f>'MID Term 1'!L27+'MID Term 2'!F27</f>
        <v>0</v>
      </c>
      <c r="G30" s="21">
        <f>'MID Term 1'!P27+'MID Term 2'!J27</f>
        <v>0</v>
      </c>
      <c r="H30" s="21">
        <f>'MID Term 1'!Q27+'MID Term 2'!N27</f>
        <v>0</v>
      </c>
      <c r="I30" s="23">
        <f t="shared" si="0"/>
        <v>0</v>
      </c>
      <c r="J30" s="23">
        <f t="shared" si="1"/>
        <v>0</v>
      </c>
      <c r="K30" s="23">
        <f t="shared" si="2"/>
        <v>0</v>
      </c>
      <c r="L30" s="23">
        <f t="shared" si="3"/>
        <v>0</v>
      </c>
      <c r="M30" s="23">
        <f t="shared" si="4"/>
        <v>0</v>
      </c>
      <c r="N30" s="21">
        <f t="shared" si="5"/>
        <v>0</v>
      </c>
      <c r="O30" s="23">
        <f t="shared" si="6"/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customHeight="1" x14ac:dyDescent="0.3">
      <c r="A31" s="47">
        <f>'Sessional + End Term Assessment'!A29</f>
        <v>22</v>
      </c>
      <c r="B31" s="72">
        <f>'Sessional + End Term Assessment'!B29</f>
        <v>0</v>
      </c>
      <c r="C31" s="72">
        <f>'Sessional + End Term Assessment'!C29</f>
        <v>0</v>
      </c>
      <c r="D31" s="21">
        <f>'MID Term 1'!D28+'MID Term 2'!D28</f>
        <v>0</v>
      </c>
      <c r="E31" s="21">
        <f>'MID Term 1'!H28+'MID Term 2'!E28</f>
        <v>0</v>
      </c>
      <c r="F31" s="21">
        <f>'MID Term 1'!L28+'MID Term 2'!F28</f>
        <v>0</v>
      </c>
      <c r="G31" s="21">
        <f>'MID Term 1'!P28+'MID Term 2'!J28</f>
        <v>0</v>
      </c>
      <c r="H31" s="21">
        <f>'MID Term 1'!Q28+'MID Term 2'!N28</f>
        <v>0</v>
      </c>
      <c r="I31" s="23">
        <f t="shared" si="0"/>
        <v>0</v>
      </c>
      <c r="J31" s="23">
        <f t="shared" si="1"/>
        <v>0</v>
      </c>
      <c r="K31" s="23">
        <f t="shared" si="2"/>
        <v>0</v>
      </c>
      <c r="L31" s="23">
        <f t="shared" si="3"/>
        <v>0</v>
      </c>
      <c r="M31" s="23">
        <f t="shared" si="4"/>
        <v>0</v>
      </c>
      <c r="N31" s="21">
        <f t="shared" si="5"/>
        <v>0</v>
      </c>
      <c r="O31" s="23">
        <f t="shared" si="6"/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9.5" customHeight="1" x14ac:dyDescent="0.3">
      <c r="A32" s="47">
        <f>'Sessional + End Term Assessment'!A30</f>
        <v>23</v>
      </c>
      <c r="B32" s="72">
        <f>'Sessional + End Term Assessment'!B30</f>
        <v>0</v>
      </c>
      <c r="C32" s="72">
        <f>'Sessional + End Term Assessment'!C30</f>
        <v>0</v>
      </c>
      <c r="D32" s="21">
        <f>'MID Term 1'!D29+'MID Term 2'!D29</f>
        <v>0</v>
      </c>
      <c r="E32" s="21">
        <f>'MID Term 1'!H29+'MID Term 2'!E29</f>
        <v>0</v>
      </c>
      <c r="F32" s="21">
        <f>'MID Term 1'!L29+'MID Term 2'!F29</f>
        <v>0</v>
      </c>
      <c r="G32" s="21">
        <f>'MID Term 1'!P29+'MID Term 2'!J29</f>
        <v>0</v>
      </c>
      <c r="H32" s="21">
        <f>'MID Term 1'!Q29+'MID Term 2'!N29</f>
        <v>0</v>
      </c>
      <c r="I32" s="23">
        <f t="shared" si="0"/>
        <v>0</v>
      </c>
      <c r="J32" s="23">
        <f t="shared" si="1"/>
        <v>0</v>
      </c>
      <c r="K32" s="23">
        <f t="shared" si="2"/>
        <v>0</v>
      </c>
      <c r="L32" s="23">
        <f t="shared" si="3"/>
        <v>0</v>
      </c>
      <c r="M32" s="23">
        <f t="shared" si="4"/>
        <v>0</v>
      </c>
      <c r="N32" s="21">
        <f t="shared" si="5"/>
        <v>0</v>
      </c>
      <c r="O32" s="23">
        <f t="shared" si="6"/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9.5" customHeight="1" x14ac:dyDescent="0.3">
      <c r="A33" s="47">
        <f>'Sessional + End Term Assessment'!A31</f>
        <v>24</v>
      </c>
      <c r="B33" s="72">
        <f>'Sessional + End Term Assessment'!B31</f>
        <v>0</v>
      </c>
      <c r="C33" s="72">
        <f>'Sessional + End Term Assessment'!C31</f>
        <v>0</v>
      </c>
      <c r="D33" s="21">
        <f>'MID Term 1'!D30+'MID Term 2'!D30</f>
        <v>0</v>
      </c>
      <c r="E33" s="21">
        <f>'MID Term 1'!H30+'MID Term 2'!E30</f>
        <v>0</v>
      </c>
      <c r="F33" s="21">
        <f>'MID Term 1'!L30+'MID Term 2'!F30</f>
        <v>0</v>
      </c>
      <c r="G33" s="21">
        <f>'MID Term 1'!P30+'MID Term 2'!J30</f>
        <v>0</v>
      </c>
      <c r="H33" s="21">
        <f>'MID Term 1'!Q30+'MID Term 2'!N30</f>
        <v>0</v>
      </c>
      <c r="I33" s="23">
        <f t="shared" si="0"/>
        <v>0</v>
      </c>
      <c r="J33" s="23">
        <f t="shared" si="1"/>
        <v>0</v>
      </c>
      <c r="K33" s="23">
        <f t="shared" si="2"/>
        <v>0</v>
      </c>
      <c r="L33" s="23">
        <f t="shared" si="3"/>
        <v>0</v>
      </c>
      <c r="M33" s="23">
        <f t="shared" si="4"/>
        <v>0</v>
      </c>
      <c r="N33" s="21">
        <f t="shared" si="5"/>
        <v>0</v>
      </c>
      <c r="O33" s="23">
        <f t="shared" si="6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.5" customHeight="1" x14ac:dyDescent="0.3">
      <c r="A34" s="47">
        <f>'Sessional + End Term Assessment'!A32</f>
        <v>25</v>
      </c>
      <c r="B34" s="72">
        <f>'Sessional + End Term Assessment'!B32</f>
        <v>0</v>
      </c>
      <c r="C34" s="72">
        <f>'Sessional + End Term Assessment'!C32</f>
        <v>0</v>
      </c>
      <c r="D34" s="21">
        <f>'MID Term 1'!D31+'MID Term 2'!D31</f>
        <v>0</v>
      </c>
      <c r="E34" s="21">
        <f>'MID Term 1'!H31+'MID Term 2'!E31</f>
        <v>0</v>
      </c>
      <c r="F34" s="21">
        <f>'MID Term 1'!L31+'MID Term 2'!F31</f>
        <v>0</v>
      </c>
      <c r="G34" s="21">
        <f>'MID Term 1'!P31+'MID Term 2'!J31</f>
        <v>0</v>
      </c>
      <c r="H34" s="21">
        <f>'MID Term 1'!Q31+'MID Term 2'!N31</f>
        <v>0</v>
      </c>
      <c r="I34" s="23">
        <f t="shared" si="0"/>
        <v>0</v>
      </c>
      <c r="J34" s="23">
        <f t="shared" si="1"/>
        <v>0</v>
      </c>
      <c r="K34" s="23">
        <f t="shared" si="2"/>
        <v>0</v>
      </c>
      <c r="L34" s="23">
        <f t="shared" si="3"/>
        <v>0</v>
      </c>
      <c r="M34" s="23">
        <f t="shared" si="4"/>
        <v>0</v>
      </c>
      <c r="N34" s="21">
        <f t="shared" si="5"/>
        <v>0</v>
      </c>
      <c r="O34" s="23">
        <f t="shared" si="6"/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 x14ac:dyDescent="0.3">
      <c r="A35" s="47">
        <f>'Sessional + End Term Assessment'!A33</f>
        <v>26</v>
      </c>
      <c r="B35" s="72">
        <f>'Sessional + End Term Assessment'!B33</f>
        <v>0</v>
      </c>
      <c r="C35" s="72">
        <f>'Sessional + End Term Assessment'!C33</f>
        <v>0</v>
      </c>
      <c r="D35" s="21">
        <f>'MID Term 1'!D32+'MID Term 2'!D32</f>
        <v>0</v>
      </c>
      <c r="E35" s="21">
        <f>'MID Term 1'!H32+'MID Term 2'!E32</f>
        <v>0</v>
      </c>
      <c r="F35" s="21">
        <f>'MID Term 1'!L32+'MID Term 2'!F32</f>
        <v>0</v>
      </c>
      <c r="G35" s="21">
        <f>'MID Term 1'!P32+'MID Term 2'!J32</f>
        <v>0</v>
      </c>
      <c r="H35" s="21">
        <f>'MID Term 1'!Q32+'MID Term 2'!N32</f>
        <v>0</v>
      </c>
      <c r="I35" s="23">
        <f t="shared" si="0"/>
        <v>0</v>
      </c>
      <c r="J35" s="23">
        <f t="shared" si="1"/>
        <v>0</v>
      </c>
      <c r="K35" s="23">
        <f t="shared" si="2"/>
        <v>0</v>
      </c>
      <c r="L35" s="23">
        <f t="shared" si="3"/>
        <v>0</v>
      </c>
      <c r="M35" s="23">
        <f t="shared" si="4"/>
        <v>0</v>
      </c>
      <c r="N35" s="21">
        <f t="shared" si="5"/>
        <v>0</v>
      </c>
      <c r="O35" s="23">
        <f t="shared" si="6"/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 x14ac:dyDescent="0.3">
      <c r="A36" s="47">
        <f>'Sessional + End Term Assessment'!A34</f>
        <v>27</v>
      </c>
      <c r="B36" s="72">
        <f>'Sessional + End Term Assessment'!B34</f>
        <v>0</v>
      </c>
      <c r="C36" s="72">
        <f>'Sessional + End Term Assessment'!C34</f>
        <v>0</v>
      </c>
      <c r="D36" s="21">
        <f>'MID Term 1'!D33+'MID Term 2'!D33</f>
        <v>0</v>
      </c>
      <c r="E36" s="21">
        <f>'MID Term 1'!H33+'MID Term 2'!E33</f>
        <v>0</v>
      </c>
      <c r="F36" s="21">
        <f>'MID Term 1'!L33+'MID Term 2'!F33</f>
        <v>0</v>
      </c>
      <c r="G36" s="21">
        <f>'MID Term 1'!P33+'MID Term 2'!J33</f>
        <v>0</v>
      </c>
      <c r="H36" s="21">
        <f>'MID Term 1'!Q33+'MID Term 2'!N33</f>
        <v>0</v>
      </c>
      <c r="I36" s="23">
        <f t="shared" si="0"/>
        <v>0</v>
      </c>
      <c r="J36" s="23">
        <f t="shared" si="1"/>
        <v>0</v>
      </c>
      <c r="K36" s="23">
        <f t="shared" si="2"/>
        <v>0</v>
      </c>
      <c r="L36" s="23">
        <f t="shared" si="3"/>
        <v>0</v>
      </c>
      <c r="M36" s="23">
        <f t="shared" si="4"/>
        <v>0</v>
      </c>
      <c r="N36" s="21">
        <f t="shared" si="5"/>
        <v>0</v>
      </c>
      <c r="O36" s="23">
        <f t="shared" si="6"/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9.5" customHeight="1" x14ac:dyDescent="0.3">
      <c r="A37" s="47">
        <f>'Sessional + End Term Assessment'!A35</f>
        <v>28</v>
      </c>
      <c r="B37" s="72">
        <f>'Sessional + End Term Assessment'!B35</f>
        <v>0</v>
      </c>
      <c r="C37" s="72">
        <f>'Sessional + End Term Assessment'!C35</f>
        <v>0</v>
      </c>
      <c r="D37" s="21">
        <f>'MID Term 1'!D34+'MID Term 2'!D34</f>
        <v>0</v>
      </c>
      <c r="E37" s="21">
        <f>'MID Term 1'!H34+'MID Term 2'!E34</f>
        <v>0</v>
      </c>
      <c r="F37" s="21">
        <f>'MID Term 1'!L34+'MID Term 2'!F34</f>
        <v>0</v>
      </c>
      <c r="G37" s="21">
        <f>'MID Term 1'!P34+'MID Term 2'!J34</f>
        <v>0</v>
      </c>
      <c r="H37" s="21">
        <f>'MID Term 1'!Q34+'MID Term 2'!N34</f>
        <v>0</v>
      </c>
      <c r="I37" s="23">
        <f t="shared" si="0"/>
        <v>0</v>
      </c>
      <c r="J37" s="23">
        <f t="shared" si="1"/>
        <v>0</v>
      </c>
      <c r="K37" s="23">
        <f t="shared" si="2"/>
        <v>0</v>
      </c>
      <c r="L37" s="23">
        <f t="shared" si="3"/>
        <v>0</v>
      </c>
      <c r="M37" s="23">
        <f t="shared" si="4"/>
        <v>0</v>
      </c>
      <c r="N37" s="21">
        <f t="shared" si="5"/>
        <v>0</v>
      </c>
      <c r="O37" s="23">
        <f t="shared" si="6"/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 x14ac:dyDescent="0.3">
      <c r="A38" s="47">
        <f>'Sessional + End Term Assessment'!A36</f>
        <v>29</v>
      </c>
      <c r="B38" s="72">
        <f>'Sessional + End Term Assessment'!B36</f>
        <v>0</v>
      </c>
      <c r="C38" s="72">
        <f>'Sessional + End Term Assessment'!C36</f>
        <v>0</v>
      </c>
      <c r="D38" s="21">
        <f>'MID Term 1'!D35+'MID Term 2'!D35</f>
        <v>0</v>
      </c>
      <c r="E38" s="21">
        <f>'MID Term 1'!H35+'MID Term 2'!E35</f>
        <v>0</v>
      </c>
      <c r="F38" s="21">
        <f>'MID Term 1'!L35+'MID Term 2'!F35</f>
        <v>0</v>
      </c>
      <c r="G38" s="21">
        <f>'MID Term 1'!P35+'MID Term 2'!J35</f>
        <v>0</v>
      </c>
      <c r="H38" s="21">
        <f>'MID Term 1'!Q35+'MID Term 2'!N35</f>
        <v>0</v>
      </c>
      <c r="I38" s="23">
        <f t="shared" si="0"/>
        <v>0</v>
      </c>
      <c r="J38" s="23">
        <f t="shared" si="1"/>
        <v>0</v>
      </c>
      <c r="K38" s="23">
        <f t="shared" si="2"/>
        <v>0</v>
      </c>
      <c r="L38" s="23">
        <f t="shared" si="3"/>
        <v>0</v>
      </c>
      <c r="M38" s="23">
        <f t="shared" si="4"/>
        <v>0</v>
      </c>
      <c r="N38" s="21">
        <f t="shared" si="5"/>
        <v>0</v>
      </c>
      <c r="O38" s="23">
        <f t="shared" si="6"/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 x14ac:dyDescent="0.3">
      <c r="A39" s="47">
        <f>'Sessional + End Term Assessment'!A37</f>
        <v>30</v>
      </c>
      <c r="B39" s="72">
        <f>'Sessional + End Term Assessment'!B37</f>
        <v>0</v>
      </c>
      <c r="C39" s="72">
        <f>'Sessional + End Term Assessment'!C37</f>
        <v>0</v>
      </c>
      <c r="D39" s="21">
        <f>'MID Term 1'!D36+'MID Term 2'!D36</f>
        <v>0</v>
      </c>
      <c r="E39" s="21">
        <f>'MID Term 1'!H36+'MID Term 2'!E36</f>
        <v>0</v>
      </c>
      <c r="F39" s="21">
        <f>'MID Term 1'!L36+'MID Term 2'!F36</f>
        <v>0</v>
      </c>
      <c r="G39" s="21">
        <f>'MID Term 1'!P36+'MID Term 2'!J36</f>
        <v>0</v>
      </c>
      <c r="H39" s="21">
        <f>'MID Term 1'!Q36+'MID Term 2'!N36</f>
        <v>0</v>
      </c>
      <c r="I39" s="23">
        <f t="shared" si="0"/>
        <v>0</v>
      </c>
      <c r="J39" s="23">
        <f t="shared" si="1"/>
        <v>0</v>
      </c>
      <c r="K39" s="23">
        <f t="shared" si="2"/>
        <v>0</v>
      </c>
      <c r="L39" s="23">
        <f t="shared" si="3"/>
        <v>0</v>
      </c>
      <c r="M39" s="23">
        <f t="shared" si="4"/>
        <v>0</v>
      </c>
      <c r="N39" s="21">
        <f t="shared" si="5"/>
        <v>0</v>
      </c>
      <c r="O39" s="23">
        <f t="shared" si="6"/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 x14ac:dyDescent="0.3">
      <c r="A40" s="47">
        <f>'Sessional + End Term Assessment'!A38</f>
        <v>31</v>
      </c>
      <c r="B40" s="72">
        <f>'Sessional + End Term Assessment'!B38</f>
        <v>0</v>
      </c>
      <c r="C40" s="72">
        <f>'Sessional + End Term Assessment'!C38</f>
        <v>0</v>
      </c>
      <c r="D40" s="21">
        <f>'MID Term 1'!D37+'MID Term 2'!D37</f>
        <v>0</v>
      </c>
      <c r="E40" s="21">
        <f>'MID Term 1'!H37+'MID Term 2'!E37</f>
        <v>0</v>
      </c>
      <c r="F40" s="21">
        <f>'MID Term 1'!L37+'MID Term 2'!F37</f>
        <v>0</v>
      </c>
      <c r="G40" s="21">
        <f>'MID Term 1'!P37+'MID Term 2'!J37</f>
        <v>0</v>
      </c>
      <c r="H40" s="21">
        <f>'MID Term 1'!Q37+'MID Term 2'!N37</f>
        <v>0</v>
      </c>
      <c r="I40" s="23">
        <f t="shared" ref="I40:I67" si="7">IF((D40/$D$8)&gt;=$I$8,1,0)</f>
        <v>0</v>
      </c>
      <c r="J40" s="23">
        <f t="shared" ref="J40:J67" si="8">IF((E40/$E$8)&gt;=$J$8,1,0)</f>
        <v>0</v>
      </c>
      <c r="K40" s="23">
        <f t="shared" ref="K40:K67" si="9">IF((F40/$F$8)&gt;=$K$8,1,0)</f>
        <v>0</v>
      </c>
      <c r="L40" s="23">
        <f t="shared" ref="L40:L67" si="10">IF((G40/$G$8)&gt;=$L$8,1,0)</f>
        <v>0</v>
      </c>
      <c r="M40" s="23">
        <f t="shared" ref="M40:M67" si="11">IF((H40/$H$8)&gt;=$M$8,1,0)</f>
        <v>0</v>
      </c>
      <c r="N40" s="21">
        <f t="shared" ref="N40:N67" si="12">SUM(D40:H40)</f>
        <v>0</v>
      </c>
      <c r="O40" s="23">
        <f t="shared" ref="O40:O67" si="13">ROUND(N40/2,0)</f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3">
      <c r="A41" s="47">
        <f>'Sessional + End Term Assessment'!A39</f>
        <v>32</v>
      </c>
      <c r="B41" s="72">
        <f>'Sessional + End Term Assessment'!B39</f>
        <v>0</v>
      </c>
      <c r="C41" s="72">
        <f>'Sessional + End Term Assessment'!C39</f>
        <v>0</v>
      </c>
      <c r="D41" s="21">
        <f>'MID Term 1'!D38+'MID Term 2'!D38</f>
        <v>0</v>
      </c>
      <c r="E41" s="21">
        <f>'MID Term 1'!H38+'MID Term 2'!E38</f>
        <v>0</v>
      </c>
      <c r="F41" s="21">
        <f>'MID Term 1'!L38+'MID Term 2'!F38</f>
        <v>0</v>
      </c>
      <c r="G41" s="21">
        <f>'MID Term 1'!P38+'MID Term 2'!J38</f>
        <v>0</v>
      </c>
      <c r="H41" s="21">
        <f>'MID Term 1'!Q38+'MID Term 2'!N38</f>
        <v>0</v>
      </c>
      <c r="I41" s="23">
        <f t="shared" si="7"/>
        <v>0</v>
      </c>
      <c r="J41" s="23">
        <f t="shared" si="8"/>
        <v>0</v>
      </c>
      <c r="K41" s="23">
        <f t="shared" si="9"/>
        <v>0</v>
      </c>
      <c r="L41" s="23">
        <f t="shared" si="10"/>
        <v>0</v>
      </c>
      <c r="M41" s="23">
        <f t="shared" si="11"/>
        <v>0</v>
      </c>
      <c r="N41" s="21">
        <f t="shared" si="12"/>
        <v>0</v>
      </c>
      <c r="O41" s="23">
        <f t="shared" si="13"/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x14ac:dyDescent="0.3">
      <c r="A42" s="47">
        <f>'Sessional + End Term Assessment'!A40</f>
        <v>33</v>
      </c>
      <c r="B42" s="72">
        <f>'Sessional + End Term Assessment'!B40</f>
        <v>0</v>
      </c>
      <c r="C42" s="72">
        <f>'Sessional + End Term Assessment'!C40</f>
        <v>0</v>
      </c>
      <c r="D42" s="21">
        <f>'MID Term 1'!D39+'MID Term 2'!D39</f>
        <v>0</v>
      </c>
      <c r="E42" s="21">
        <f>'MID Term 1'!H39+'MID Term 2'!E39</f>
        <v>0</v>
      </c>
      <c r="F42" s="21">
        <f>'MID Term 1'!L39+'MID Term 2'!F39</f>
        <v>0</v>
      </c>
      <c r="G42" s="21">
        <f>'MID Term 1'!P39+'MID Term 2'!J39</f>
        <v>0</v>
      </c>
      <c r="H42" s="21">
        <f>'MID Term 1'!Q39+'MID Term 2'!N39</f>
        <v>0</v>
      </c>
      <c r="I42" s="23">
        <f t="shared" si="7"/>
        <v>0</v>
      </c>
      <c r="J42" s="23">
        <f t="shared" si="8"/>
        <v>0</v>
      </c>
      <c r="K42" s="23">
        <f t="shared" si="9"/>
        <v>0</v>
      </c>
      <c r="L42" s="23">
        <f t="shared" si="10"/>
        <v>0</v>
      </c>
      <c r="M42" s="23">
        <f t="shared" si="11"/>
        <v>0</v>
      </c>
      <c r="N42" s="21">
        <f t="shared" si="12"/>
        <v>0</v>
      </c>
      <c r="O42" s="23">
        <f t="shared" si="13"/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3">
      <c r="A43" s="47">
        <f>'Sessional + End Term Assessment'!A41</f>
        <v>34</v>
      </c>
      <c r="B43" s="72">
        <f>'Sessional + End Term Assessment'!B41</f>
        <v>0</v>
      </c>
      <c r="C43" s="72">
        <f>'Sessional + End Term Assessment'!C41</f>
        <v>0</v>
      </c>
      <c r="D43" s="21">
        <f>'MID Term 1'!D40+'MID Term 2'!D40</f>
        <v>0</v>
      </c>
      <c r="E43" s="21">
        <f>'MID Term 1'!H40+'MID Term 2'!E40</f>
        <v>0</v>
      </c>
      <c r="F43" s="21">
        <f>'MID Term 1'!L40+'MID Term 2'!F40</f>
        <v>0</v>
      </c>
      <c r="G43" s="21">
        <f>'MID Term 1'!P40+'MID Term 2'!J40</f>
        <v>0</v>
      </c>
      <c r="H43" s="21">
        <f>'MID Term 1'!Q40+'MID Term 2'!N40</f>
        <v>0</v>
      </c>
      <c r="I43" s="23">
        <f t="shared" si="7"/>
        <v>0</v>
      </c>
      <c r="J43" s="23">
        <f t="shared" si="8"/>
        <v>0</v>
      </c>
      <c r="K43" s="23">
        <f t="shared" si="9"/>
        <v>0</v>
      </c>
      <c r="L43" s="23">
        <f t="shared" si="10"/>
        <v>0</v>
      </c>
      <c r="M43" s="23">
        <f t="shared" si="11"/>
        <v>0</v>
      </c>
      <c r="N43" s="21">
        <f t="shared" si="12"/>
        <v>0</v>
      </c>
      <c r="O43" s="23">
        <f t="shared" si="13"/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9.5" customHeight="1" x14ac:dyDescent="0.3">
      <c r="A44" s="47">
        <f>'Sessional + End Term Assessment'!A42</f>
        <v>35</v>
      </c>
      <c r="B44" s="72">
        <f>'Sessional + End Term Assessment'!B42</f>
        <v>0</v>
      </c>
      <c r="C44" s="72">
        <f>'Sessional + End Term Assessment'!C42</f>
        <v>0</v>
      </c>
      <c r="D44" s="21">
        <f>'MID Term 1'!D41+'MID Term 2'!D41</f>
        <v>0</v>
      </c>
      <c r="E44" s="21">
        <f>'MID Term 1'!H41+'MID Term 2'!E41</f>
        <v>0</v>
      </c>
      <c r="F44" s="21">
        <f>'MID Term 1'!L41+'MID Term 2'!F41</f>
        <v>0</v>
      </c>
      <c r="G44" s="21">
        <f>'MID Term 1'!P41+'MID Term 2'!J41</f>
        <v>0</v>
      </c>
      <c r="H44" s="21">
        <f>'MID Term 1'!Q41+'MID Term 2'!N41</f>
        <v>0</v>
      </c>
      <c r="I44" s="23">
        <f t="shared" si="7"/>
        <v>0</v>
      </c>
      <c r="J44" s="23">
        <f t="shared" si="8"/>
        <v>0</v>
      </c>
      <c r="K44" s="23">
        <f t="shared" si="9"/>
        <v>0</v>
      </c>
      <c r="L44" s="23">
        <f t="shared" si="10"/>
        <v>0</v>
      </c>
      <c r="M44" s="23">
        <f t="shared" si="11"/>
        <v>0</v>
      </c>
      <c r="N44" s="21">
        <f t="shared" si="12"/>
        <v>0</v>
      </c>
      <c r="O44" s="23">
        <f t="shared" si="13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3">
      <c r="A45" s="47">
        <f>'Sessional + End Term Assessment'!A43</f>
        <v>36</v>
      </c>
      <c r="B45" s="72">
        <f>'Sessional + End Term Assessment'!B43</f>
        <v>0</v>
      </c>
      <c r="C45" s="72">
        <f>'Sessional + End Term Assessment'!C43</f>
        <v>0</v>
      </c>
      <c r="D45" s="21">
        <f>'MID Term 1'!D42+'MID Term 2'!D42</f>
        <v>0</v>
      </c>
      <c r="E45" s="21">
        <f>'MID Term 1'!H42+'MID Term 2'!E42</f>
        <v>0</v>
      </c>
      <c r="F45" s="21">
        <f>'MID Term 1'!L42+'MID Term 2'!F42</f>
        <v>0</v>
      </c>
      <c r="G45" s="21">
        <f>'MID Term 1'!P42+'MID Term 2'!J42</f>
        <v>0</v>
      </c>
      <c r="H45" s="21">
        <f>'MID Term 1'!Q42+'MID Term 2'!N42</f>
        <v>0</v>
      </c>
      <c r="I45" s="23">
        <f t="shared" si="7"/>
        <v>0</v>
      </c>
      <c r="J45" s="23">
        <f t="shared" si="8"/>
        <v>0</v>
      </c>
      <c r="K45" s="23">
        <f t="shared" si="9"/>
        <v>0</v>
      </c>
      <c r="L45" s="23">
        <f t="shared" si="10"/>
        <v>0</v>
      </c>
      <c r="M45" s="23">
        <f t="shared" si="11"/>
        <v>0</v>
      </c>
      <c r="N45" s="21">
        <f t="shared" si="12"/>
        <v>0</v>
      </c>
      <c r="O45" s="23">
        <f t="shared" si="13"/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9.5" customHeight="1" x14ac:dyDescent="0.3">
      <c r="A46" s="47">
        <f>'Sessional + End Term Assessment'!A44</f>
        <v>37</v>
      </c>
      <c r="B46" s="72">
        <f>'Sessional + End Term Assessment'!B44</f>
        <v>0</v>
      </c>
      <c r="C46" s="72">
        <f>'Sessional + End Term Assessment'!C44</f>
        <v>0</v>
      </c>
      <c r="D46" s="21">
        <f>'MID Term 1'!D43+'MID Term 2'!D43</f>
        <v>0</v>
      </c>
      <c r="E46" s="21">
        <f>'MID Term 1'!H43+'MID Term 2'!E43</f>
        <v>0</v>
      </c>
      <c r="F46" s="21">
        <f>'MID Term 1'!L43+'MID Term 2'!F43</f>
        <v>0</v>
      </c>
      <c r="G46" s="21">
        <f>'MID Term 1'!P43+'MID Term 2'!J43</f>
        <v>0</v>
      </c>
      <c r="H46" s="21">
        <f>'MID Term 1'!Q43+'MID Term 2'!N43</f>
        <v>0</v>
      </c>
      <c r="I46" s="23">
        <f t="shared" si="7"/>
        <v>0</v>
      </c>
      <c r="J46" s="23">
        <f t="shared" si="8"/>
        <v>0</v>
      </c>
      <c r="K46" s="23">
        <f t="shared" si="9"/>
        <v>0</v>
      </c>
      <c r="L46" s="23">
        <f t="shared" si="10"/>
        <v>0</v>
      </c>
      <c r="M46" s="23">
        <f t="shared" si="11"/>
        <v>0</v>
      </c>
      <c r="N46" s="21">
        <f t="shared" si="12"/>
        <v>0</v>
      </c>
      <c r="O46" s="23">
        <f t="shared" si="13"/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9.5" customHeight="1" x14ac:dyDescent="0.3">
      <c r="A47" s="47">
        <f>'Sessional + End Term Assessment'!A45</f>
        <v>38</v>
      </c>
      <c r="B47" s="72">
        <f>'Sessional + End Term Assessment'!B45</f>
        <v>0</v>
      </c>
      <c r="C47" s="72">
        <f>'Sessional + End Term Assessment'!C45</f>
        <v>0</v>
      </c>
      <c r="D47" s="21">
        <f>'MID Term 1'!D44+'MID Term 2'!D44</f>
        <v>0</v>
      </c>
      <c r="E47" s="21">
        <f>'MID Term 1'!H44+'MID Term 2'!E44</f>
        <v>0</v>
      </c>
      <c r="F47" s="21">
        <f>'MID Term 1'!L44+'MID Term 2'!F44</f>
        <v>0</v>
      </c>
      <c r="G47" s="21">
        <f>'MID Term 1'!P44+'MID Term 2'!J44</f>
        <v>0</v>
      </c>
      <c r="H47" s="21">
        <f>'MID Term 1'!Q44+'MID Term 2'!N44</f>
        <v>0</v>
      </c>
      <c r="I47" s="23">
        <f t="shared" si="7"/>
        <v>0</v>
      </c>
      <c r="J47" s="23">
        <f t="shared" si="8"/>
        <v>0</v>
      </c>
      <c r="K47" s="23">
        <f t="shared" si="9"/>
        <v>0</v>
      </c>
      <c r="L47" s="23">
        <f t="shared" si="10"/>
        <v>0</v>
      </c>
      <c r="M47" s="23">
        <f t="shared" si="11"/>
        <v>0</v>
      </c>
      <c r="N47" s="21">
        <f t="shared" si="12"/>
        <v>0</v>
      </c>
      <c r="O47" s="23">
        <f t="shared" si="13"/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9.5" customHeight="1" x14ac:dyDescent="0.3">
      <c r="A48" s="47">
        <f>'Sessional + End Term Assessment'!A46</f>
        <v>39</v>
      </c>
      <c r="B48" s="72">
        <f>'Sessional + End Term Assessment'!B46</f>
        <v>0</v>
      </c>
      <c r="C48" s="72">
        <f>'Sessional + End Term Assessment'!C46</f>
        <v>0</v>
      </c>
      <c r="D48" s="21">
        <f>'MID Term 1'!D45+'MID Term 2'!D45</f>
        <v>0</v>
      </c>
      <c r="E48" s="21">
        <f>'MID Term 1'!H45+'MID Term 2'!E45</f>
        <v>0</v>
      </c>
      <c r="F48" s="21">
        <f>'MID Term 1'!L45+'MID Term 2'!F45</f>
        <v>0</v>
      </c>
      <c r="G48" s="21">
        <f>'MID Term 1'!P45+'MID Term 2'!J45</f>
        <v>0</v>
      </c>
      <c r="H48" s="21">
        <f>'MID Term 1'!Q45+'MID Term 2'!N45</f>
        <v>0</v>
      </c>
      <c r="I48" s="23">
        <f t="shared" si="7"/>
        <v>0</v>
      </c>
      <c r="J48" s="23">
        <f t="shared" si="8"/>
        <v>0</v>
      </c>
      <c r="K48" s="23">
        <f t="shared" si="9"/>
        <v>0</v>
      </c>
      <c r="L48" s="23">
        <f t="shared" si="10"/>
        <v>0</v>
      </c>
      <c r="M48" s="23">
        <f t="shared" si="11"/>
        <v>0</v>
      </c>
      <c r="N48" s="21">
        <f t="shared" si="12"/>
        <v>0</v>
      </c>
      <c r="O48" s="23">
        <f t="shared" si="13"/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9.5" customHeight="1" x14ac:dyDescent="0.3">
      <c r="A49" s="47">
        <f>'Sessional + End Term Assessment'!A47</f>
        <v>40</v>
      </c>
      <c r="B49" s="72">
        <f>'Sessional + End Term Assessment'!B47</f>
        <v>0</v>
      </c>
      <c r="C49" s="72">
        <f>'Sessional + End Term Assessment'!C47</f>
        <v>0</v>
      </c>
      <c r="D49" s="21">
        <f>'MID Term 1'!D46+'MID Term 2'!D46</f>
        <v>0</v>
      </c>
      <c r="E49" s="21">
        <f>'MID Term 1'!H46+'MID Term 2'!E46</f>
        <v>0</v>
      </c>
      <c r="F49" s="21">
        <f>'MID Term 1'!L46+'MID Term 2'!F46</f>
        <v>0</v>
      </c>
      <c r="G49" s="21">
        <f>'MID Term 1'!P46+'MID Term 2'!J46</f>
        <v>0</v>
      </c>
      <c r="H49" s="21">
        <f>'MID Term 1'!Q46+'MID Term 2'!N46</f>
        <v>0</v>
      </c>
      <c r="I49" s="23">
        <f t="shared" si="7"/>
        <v>0</v>
      </c>
      <c r="J49" s="23">
        <f t="shared" si="8"/>
        <v>0</v>
      </c>
      <c r="K49" s="23">
        <f t="shared" si="9"/>
        <v>0</v>
      </c>
      <c r="L49" s="23">
        <f t="shared" si="10"/>
        <v>0</v>
      </c>
      <c r="M49" s="23">
        <f t="shared" si="11"/>
        <v>0</v>
      </c>
      <c r="N49" s="21">
        <f t="shared" si="12"/>
        <v>0</v>
      </c>
      <c r="O49" s="23">
        <f t="shared" si="13"/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9.5" customHeight="1" x14ac:dyDescent="0.3">
      <c r="A50" s="47">
        <f>'Sessional + End Term Assessment'!A48</f>
        <v>41</v>
      </c>
      <c r="B50" s="72">
        <f>'Sessional + End Term Assessment'!B48</f>
        <v>0</v>
      </c>
      <c r="C50" s="72">
        <f>'Sessional + End Term Assessment'!C48</f>
        <v>0</v>
      </c>
      <c r="D50" s="21">
        <f>'MID Term 1'!D47+'MID Term 2'!D47</f>
        <v>0</v>
      </c>
      <c r="E50" s="21">
        <f>'MID Term 1'!H47+'MID Term 2'!E47</f>
        <v>0</v>
      </c>
      <c r="F50" s="21">
        <f>'MID Term 1'!L47+'MID Term 2'!F47</f>
        <v>0</v>
      </c>
      <c r="G50" s="21">
        <f>'MID Term 1'!P47+'MID Term 2'!J47</f>
        <v>0</v>
      </c>
      <c r="H50" s="21">
        <f>'MID Term 1'!Q47+'MID Term 2'!N47</f>
        <v>0</v>
      </c>
      <c r="I50" s="23">
        <f t="shared" si="7"/>
        <v>0</v>
      </c>
      <c r="J50" s="23">
        <f t="shared" si="8"/>
        <v>0</v>
      </c>
      <c r="K50" s="23">
        <f t="shared" si="9"/>
        <v>0</v>
      </c>
      <c r="L50" s="23">
        <f t="shared" si="10"/>
        <v>0</v>
      </c>
      <c r="M50" s="23">
        <f t="shared" si="11"/>
        <v>0</v>
      </c>
      <c r="N50" s="21">
        <f t="shared" si="12"/>
        <v>0</v>
      </c>
      <c r="O50" s="23">
        <f t="shared" si="13"/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9.5" customHeight="1" x14ac:dyDescent="0.3">
      <c r="A51" s="47">
        <f>'Sessional + End Term Assessment'!A49</f>
        <v>42</v>
      </c>
      <c r="B51" s="72">
        <f>'Sessional + End Term Assessment'!B49</f>
        <v>0</v>
      </c>
      <c r="C51" s="72">
        <f>'Sessional + End Term Assessment'!C49</f>
        <v>0</v>
      </c>
      <c r="D51" s="21">
        <f>'MID Term 1'!D48+'MID Term 2'!D48</f>
        <v>0</v>
      </c>
      <c r="E51" s="21">
        <f>'MID Term 1'!H48+'MID Term 2'!E48</f>
        <v>0</v>
      </c>
      <c r="F51" s="21">
        <f>'MID Term 1'!L48+'MID Term 2'!F48</f>
        <v>0</v>
      </c>
      <c r="G51" s="21">
        <f>'MID Term 1'!P48+'MID Term 2'!J48</f>
        <v>0</v>
      </c>
      <c r="H51" s="21">
        <f>'MID Term 1'!Q48+'MID Term 2'!N48</f>
        <v>0</v>
      </c>
      <c r="I51" s="23">
        <f t="shared" si="7"/>
        <v>0</v>
      </c>
      <c r="J51" s="23">
        <f t="shared" si="8"/>
        <v>0</v>
      </c>
      <c r="K51" s="23">
        <f t="shared" si="9"/>
        <v>0</v>
      </c>
      <c r="L51" s="23">
        <f t="shared" si="10"/>
        <v>0</v>
      </c>
      <c r="M51" s="23">
        <f t="shared" si="11"/>
        <v>0</v>
      </c>
      <c r="N51" s="21">
        <f t="shared" si="12"/>
        <v>0</v>
      </c>
      <c r="O51" s="23">
        <f t="shared" si="13"/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9.5" customHeight="1" x14ac:dyDescent="0.3">
      <c r="A52" s="47">
        <f>'Sessional + End Term Assessment'!A50</f>
        <v>43</v>
      </c>
      <c r="B52" s="72">
        <f>'Sessional + End Term Assessment'!B50</f>
        <v>0</v>
      </c>
      <c r="C52" s="72">
        <f>'Sessional + End Term Assessment'!C50</f>
        <v>0</v>
      </c>
      <c r="D52" s="21">
        <f>'MID Term 1'!D49+'MID Term 2'!D49</f>
        <v>0</v>
      </c>
      <c r="E52" s="21">
        <f>'MID Term 1'!H49+'MID Term 2'!E49</f>
        <v>0</v>
      </c>
      <c r="F52" s="21">
        <f>'MID Term 1'!L49+'MID Term 2'!F49</f>
        <v>0</v>
      </c>
      <c r="G52" s="21">
        <f>'MID Term 1'!P49+'MID Term 2'!J49</f>
        <v>0</v>
      </c>
      <c r="H52" s="21">
        <f>'MID Term 1'!Q49+'MID Term 2'!N49</f>
        <v>0</v>
      </c>
      <c r="I52" s="23">
        <f t="shared" si="7"/>
        <v>0</v>
      </c>
      <c r="J52" s="23">
        <f t="shared" si="8"/>
        <v>0</v>
      </c>
      <c r="K52" s="23">
        <f t="shared" si="9"/>
        <v>0</v>
      </c>
      <c r="L52" s="23">
        <f t="shared" si="10"/>
        <v>0</v>
      </c>
      <c r="M52" s="23">
        <f t="shared" si="11"/>
        <v>0</v>
      </c>
      <c r="N52" s="21">
        <f t="shared" si="12"/>
        <v>0</v>
      </c>
      <c r="O52" s="23">
        <f t="shared" si="13"/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9.5" customHeight="1" x14ac:dyDescent="0.3">
      <c r="A53" s="47">
        <f>'Sessional + End Term Assessment'!A51</f>
        <v>44</v>
      </c>
      <c r="B53" s="72">
        <f>'Sessional + End Term Assessment'!B51</f>
        <v>0</v>
      </c>
      <c r="C53" s="72">
        <f>'Sessional + End Term Assessment'!C51</f>
        <v>0</v>
      </c>
      <c r="D53" s="21">
        <f>'MID Term 1'!D50+'MID Term 2'!D50</f>
        <v>0</v>
      </c>
      <c r="E53" s="21">
        <f>'MID Term 1'!H50+'MID Term 2'!E50</f>
        <v>0</v>
      </c>
      <c r="F53" s="21">
        <f>'MID Term 1'!L50+'MID Term 2'!F50</f>
        <v>0</v>
      </c>
      <c r="G53" s="21">
        <f>'MID Term 1'!P50+'MID Term 2'!J50</f>
        <v>0</v>
      </c>
      <c r="H53" s="21">
        <f>'MID Term 1'!Q50+'MID Term 2'!N50</f>
        <v>0</v>
      </c>
      <c r="I53" s="23">
        <f t="shared" si="7"/>
        <v>0</v>
      </c>
      <c r="J53" s="23">
        <f t="shared" si="8"/>
        <v>0</v>
      </c>
      <c r="K53" s="23">
        <f t="shared" si="9"/>
        <v>0</v>
      </c>
      <c r="L53" s="23">
        <f t="shared" si="10"/>
        <v>0</v>
      </c>
      <c r="M53" s="23">
        <f t="shared" si="11"/>
        <v>0</v>
      </c>
      <c r="N53" s="21">
        <f t="shared" si="12"/>
        <v>0</v>
      </c>
      <c r="O53" s="23">
        <f t="shared" si="13"/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9.5" customHeight="1" x14ac:dyDescent="0.3">
      <c r="A54" s="47">
        <f>'Sessional + End Term Assessment'!A52</f>
        <v>45</v>
      </c>
      <c r="B54" s="72">
        <f>'Sessional + End Term Assessment'!B52</f>
        <v>0</v>
      </c>
      <c r="C54" s="72">
        <f>'Sessional + End Term Assessment'!C52</f>
        <v>0</v>
      </c>
      <c r="D54" s="21">
        <f>'MID Term 1'!D51+'MID Term 2'!D51</f>
        <v>0</v>
      </c>
      <c r="E54" s="21">
        <f>'MID Term 1'!H51+'MID Term 2'!E51</f>
        <v>0</v>
      </c>
      <c r="F54" s="21">
        <f>'MID Term 1'!L51+'MID Term 2'!F51</f>
        <v>0</v>
      </c>
      <c r="G54" s="21">
        <f>'MID Term 1'!P51+'MID Term 2'!J51</f>
        <v>0</v>
      </c>
      <c r="H54" s="21">
        <f>'MID Term 1'!Q51+'MID Term 2'!N51</f>
        <v>0</v>
      </c>
      <c r="I54" s="23">
        <f t="shared" si="7"/>
        <v>0</v>
      </c>
      <c r="J54" s="23">
        <f t="shared" si="8"/>
        <v>0</v>
      </c>
      <c r="K54" s="23">
        <f t="shared" si="9"/>
        <v>0</v>
      </c>
      <c r="L54" s="23">
        <f t="shared" si="10"/>
        <v>0</v>
      </c>
      <c r="M54" s="23">
        <f t="shared" si="11"/>
        <v>0</v>
      </c>
      <c r="N54" s="21">
        <f t="shared" si="12"/>
        <v>0</v>
      </c>
      <c r="O54" s="23">
        <f t="shared" si="13"/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9.5" customHeight="1" x14ac:dyDescent="0.3">
      <c r="A55" s="47">
        <f>'Sessional + End Term Assessment'!A53</f>
        <v>46</v>
      </c>
      <c r="B55" s="72">
        <f>'Sessional + End Term Assessment'!B53</f>
        <v>0</v>
      </c>
      <c r="C55" s="72">
        <f>'Sessional + End Term Assessment'!C53</f>
        <v>0</v>
      </c>
      <c r="D55" s="21">
        <f>'MID Term 1'!D52+'MID Term 2'!D52</f>
        <v>0</v>
      </c>
      <c r="E55" s="21">
        <f>'MID Term 1'!H52+'MID Term 2'!E52</f>
        <v>0</v>
      </c>
      <c r="F55" s="21">
        <f>'MID Term 1'!L52+'MID Term 2'!F52</f>
        <v>0</v>
      </c>
      <c r="G55" s="21">
        <f>'MID Term 1'!P52+'MID Term 2'!J52</f>
        <v>0</v>
      </c>
      <c r="H55" s="21">
        <f>'MID Term 1'!Q52+'MID Term 2'!N52</f>
        <v>0</v>
      </c>
      <c r="I55" s="23">
        <f t="shared" si="7"/>
        <v>0</v>
      </c>
      <c r="J55" s="23">
        <f t="shared" si="8"/>
        <v>0</v>
      </c>
      <c r="K55" s="23">
        <f t="shared" si="9"/>
        <v>0</v>
      </c>
      <c r="L55" s="23">
        <f t="shared" si="10"/>
        <v>0</v>
      </c>
      <c r="M55" s="23">
        <f t="shared" si="11"/>
        <v>0</v>
      </c>
      <c r="N55" s="21">
        <f t="shared" si="12"/>
        <v>0</v>
      </c>
      <c r="O55" s="23">
        <f t="shared" si="13"/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9.5" customHeight="1" x14ac:dyDescent="0.3">
      <c r="A56" s="47">
        <f>'Sessional + End Term Assessment'!A54</f>
        <v>47</v>
      </c>
      <c r="B56" s="72">
        <f>'Sessional + End Term Assessment'!B54</f>
        <v>0</v>
      </c>
      <c r="C56" s="72">
        <f>'Sessional + End Term Assessment'!C54</f>
        <v>0</v>
      </c>
      <c r="D56" s="21">
        <f>'MID Term 1'!D53+'MID Term 2'!D53</f>
        <v>0</v>
      </c>
      <c r="E56" s="21">
        <f>'MID Term 1'!H53+'MID Term 2'!E53</f>
        <v>0</v>
      </c>
      <c r="F56" s="21">
        <f>'MID Term 1'!L53+'MID Term 2'!F53</f>
        <v>0</v>
      </c>
      <c r="G56" s="21">
        <f>'MID Term 1'!P53+'MID Term 2'!J53</f>
        <v>0</v>
      </c>
      <c r="H56" s="21">
        <f>'MID Term 1'!Q53+'MID Term 2'!N53</f>
        <v>0</v>
      </c>
      <c r="I56" s="23">
        <f t="shared" si="7"/>
        <v>0</v>
      </c>
      <c r="J56" s="23">
        <f t="shared" si="8"/>
        <v>0</v>
      </c>
      <c r="K56" s="23">
        <f t="shared" si="9"/>
        <v>0</v>
      </c>
      <c r="L56" s="23">
        <f t="shared" si="10"/>
        <v>0</v>
      </c>
      <c r="M56" s="23">
        <f t="shared" si="11"/>
        <v>0</v>
      </c>
      <c r="N56" s="21">
        <f t="shared" si="12"/>
        <v>0</v>
      </c>
      <c r="O56" s="23">
        <f t="shared" si="13"/>
        <v>0</v>
      </c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9.5" customHeight="1" x14ac:dyDescent="0.3">
      <c r="A57" s="47">
        <f>'Sessional + End Term Assessment'!A55</f>
        <v>48</v>
      </c>
      <c r="B57" s="72">
        <f>'Sessional + End Term Assessment'!B55</f>
        <v>0</v>
      </c>
      <c r="C57" s="72">
        <f>'Sessional + End Term Assessment'!C55</f>
        <v>0</v>
      </c>
      <c r="D57" s="21">
        <f>'MID Term 1'!D54+'MID Term 2'!D54</f>
        <v>0</v>
      </c>
      <c r="E57" s="21">
        <f>'MID Term 1'!H54+'MID Term 2'!E54</f>
        <v>0</v>
      </c>
      <c r="F57" s="21">
        <f>'MID Term 1'!L54+'MID Term 2'!F54</f>
        <v>0</v>
      </c>
      <c r="G57" s="21">
        <f>'MID Term 1'!P54+'MID Term 2'!J54</f>
        <v>0</v>
      </c>
      <c r="H57" s="21">
        <f>'MID Term 1'!Q54+'MID Term 2'!N54</f>
        <v>0</v>
      </c>
      <c r="I57" s="23">
        <f t="shared" si="7"/>
        <v>0</v>
      </c>
      <c r="J57" s="23">
        <f t="shared" si="8"/>
        <v>0</v>
      </c>
      <c r="K57" s="23">
        <f t="shared" si="9"/>
        <v>0</v>
      </c>
      <c r="L57" s="23">
        <f t="shared" si="10"/>
        <v>0</v>
      </c>
      <c r="M57" s="23">
        <f t="shared" si="11"/>
        <v>0</v>
      </c>
      <c r="N57" s="21">
        <f t="shared" si="12"/>
        <v>0</v>
      </c>
      <c r="O57" s="23">
        <f t="shared" si="13"/>
        <v>0</v>
      </c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9.5" customHeight="1" x14ac:dyDescent="0.3">
      <c r="A58" s="47">
        <f>'Sessional + End Term Assessment'!A56</f>
        <v>49</v>
      </c>
      <c r="B58" s="72">
        <f>'Sessional + End Term Assessment'!B56</f>
        <v>0</v>
      </c>
      <c r="C58" s="72">
        <f>'Sessional + End Term Assessment'!C56</f>
        <v>0</v>
      </c>
      <c r="D58" s="21">
        <f>'MID Term 1'!D55+'MID Term 2'!D55</f>
        <v>0</v>
      </c>
      <c r="E58" s="21">
        <f>'MID Term 1'!H55+'MID Term 2'!E55</f>
        <v>0</v>
      </c>
      <c r="F58" s="21">
        <f>'MID Term 1'!L55+'MID Term 2'!F55</f>
        <v>0</v>
      </c>
      <c r="G58" s="21">
        <f>'MID Term 1'!P55+'MID Term 2'!J55</f>
        <v>0</v>
      </c>
      <c r="H58" s="21">
        <f>'MID Term 1'!Q55+'MID Term 2'!N55</f>
        <v>0</v>
      </c>
      <c r="I58" s="23">
        <f t="shared" si="7"/>
        <v>0</v>
      </c>
      <c r="J58" s="23">
        <f t="shared" si="8"/>
        <v>0</v>
      </c>
      <c r="K58" s="23">
        <f t="shared" si="9"/>
        <v>0</v>
      </c>
      <c r="L58" s="23">
        <f t="shared" si="10"/>
        <v>0</v>
      </c>
      <c r="M58" s="23">
        <f t="shared" si="11"/>
        <v>0</v>
      </c>
      <c r="N58" s="21">
        <f t="shared" si="12"/>
        <v>0</v>
      </c>
      <c r="O58" s="23">
        <f t="shared" si="13"/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9.5" customHeight="1" x14ac:dyDescent="0.3">
      <c r="A59" s="47">
        <f>'Sessional + End Term Assessment'!A57</f>
        <v>50</v>
      </c>
      <c r="B59" s="72">
        <f>'Sessional + End Term Assessment'!B57</f>
        <v>0</v>
      </c>
      <c r="C59" s="72">
        <f>'Sessional + End Term Assessment'!C57</f>
        <v>0</v>
      </c>
      <c r="D59" s="21">
        <f>'MID Term 1'!D56+'MID Term 2'!D56</f>
        <v>0</v>
      </c>
      <c r="E59" s="21">
        <f>'MID Term 1'!H56+'MID Term 2'!E56</f>
        <v>0</v>
      </c>
      <c r="F59" s="21">
        <f>'MID Term 1'!L56+'MID Term 2'!F56</f>
        <v>0</v>
      </c>
      <c r="G59" s="21">
        <f>'MID Term 1'!P56+'MID Term 2'!J56</f>
        <v>0</v>
      </c>
      <c r="H59" s="21">
        <f>'MID Term 1'!Q56+'MID Term 2'!N56</f>
        <v>0</v>
      </c>
      <c r="I59" s="23">
        <f t="shared" si="7"/>
        <v>0</v>
      </c>
      <c r="J59" s="23">
        <f t="shared" si="8"/>
        <v>0</v>
      </c>
      <c r="K59" s="23">
        <f t="shared" si="9"/>
        <v>0</v>
      </c>
      <c r="L59" s="23">
        <f t="shared" si="10"/>
        <v>0</v>
      </c>
      <c r="M59" s="23">
        <f t="shared" si="11"/>
        <v>0</v>
      </c>
      <c r="N59" s="21">
        <f t="shared" si="12"/>
        <v>0</v>
      </c>
      <c r="O59" s="23">
        <f t="shared" si="13"/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9.5" customHeight="1" x14ac:dyDescent="0.3">
      <c r="A60" s="47">
        <f>'Sessional + End Term Assessment'!A58</f>
        <v>51</v>
      </c>
      <c r="B60" s="72">
        <f>'Sessional + End Term Assessment'!B58</f>
        <v>0</v>
      </c>
      <c r="C60" s="72">
        <f>'Sessional + End Term Assessment'!C58</f>
        <v>0</v>
      </c>
      <c r="D60" s="21">
        <f>'MID Term 1'!D57+'MID Term 2'!D57</f>
        <v>0</v>
      </c>
      <c r="E60" s="21">
        <f>'MID Term 1'!H57+'MID Term 2'!E57</f>
        <v>0</v>
      </c>
      <c r="F60" s="21">
        <f>'MID Term 1'!L57+'MID Term 2'!F57</f>
        <v>0</v>
      </c>
      <c r="G60" s="21">
        <f>'MID Term 1'!P57+'MID Term 2'!J57</f>
        <v>0</v>
      </c>
      <c r="H60" s="21">
        <f>'MID Term 1'!Q57+'MID Term 2'!N57</f>
        <v>0</v>
      </c>
      <c r="I60" s="23">
        <f t="shared" si="7"/>
        <v>0</v>
      </c>
      <c r="J60" s="23">
        <f t="shared" si="8"/>
        <v>0</v>
      </c>
      <c r="K60" s="23">
        <f t="shared" si="9"/>
        <v>0</v>
      </c>
      <c r="L60" s="23">
        <f t="shared" si="10"/>
        <v>0</v>
      </c>
      <c r="M60" s="23">
        <f t="shared" si="11"/>
        <v>0</v>
      </c>
      <c r="N60" s="21">
        <f t="shared" si="12"/>
        <v>0</v>
      </c>
      <c r="O60" s="23">
        <f t="shared" si="13"/>
        <v>0</v>
      </c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.5" customHeight="1" x14ac:dyDescent="0.3">
      <c r="A61" s="47">
        <f>'Sessional + End Term Assessment'!A59</f>
        <v>52</v>
      </c>
      <c r="B61" s="72">
        <f>'Sessional + End Term Assessment'!B59</f>
        <v>0</v>
      </c>
      <c r="C61" s="72">
        <f>'Sessional + End Term Assessment'!C59</f>
        <v>0</v>
      </c>
      <c r="D61" s="21">
        <f>'MID Term 1'!D58+'MID Term 2'!D58</f>
        <v>0</v>
      </c>
      <c r="E61" s="21">
        <f>'MID Term 1'!H58+'MID Term 2'!E58</f>
        <v>0</v>
      </c>
      <c r="F61" s="21">
        <f>'MID Term 1'!L58+'MID Term 2'!F58</f>
        <v>0</v>
      </c>
      <c r="G61" s="21">
        <f>'MID Term 1'!P58+'MID Term 2'!J58</f>
        <v>0</v>
      </c>
      <c r="H61" s="21">
        <f>'MID Term 1'!Q58+'MID Term 2'!N58</f>
        <v>0</v>
      </c>
      <c r="I61" s="23">
        <f t="shared" si="7"/>
        <v>0</v>
      </c>
      <c r="J61" s="23">
        <f t="shared" si="8"/>
        <v>0</v>
      </c>
      <c r="K61" s="23">
        <f t="shared" si="9"/>
        <v>0</v>
      </c>
      <c r="L61" s="23">
        <f t="shared" si="10"/>
        <v>0</v>
      </c>
      <c r="M61" s="23">
        <f t="shared" si="11"/>
        <v>0</v>
      </c>
      <c r="N61" s="21">
        <f t="shared" si="12"/>
        <v>0</v>
      </c>
      <c r="O61" s="23">
        <f t="shared" si="13"/>
        <v>0</v>
      </c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.5" customHeight="1" x14ac:dyDescent="0.3">
      <c r="A62" s="47">
        <f>'Sessional + End Term Assessment'!A60</f>
        <v>53</v>
      </c>
      <c r="B62" s="72">
        <f>'Sessional + End Term Assessment'!B60</f>
        <v>0</v>
      </c>
      <c r="C62" s="72">
        <f>'Sessional + End Term Assessment'!C60</f>
        <v>0</v>
      </c>
      <c r="D62" s="21">
        <f>'MID Term 1'!D59+'MID Term 2'!D59</f>
        <v>0</v>
      </c>
      <c r="E62" s="21">
        <f>'MID Term 1'!H59+'MID Term 2'!E59</f>
        <v>0</v>
      </c>
      <c r="F62" s="21">
        <f>'MID Term 1'!L59+'MID Term 2'!F59</f>
        <v>0</v>
      </c>
      <c r="G62" s="21">
        <f>'MID Term 1'!P59+'MID Term 2'!J59</f>
        <v>0</v>
      </c>
      <c r="H62" s="21">
        <f>'MID Term 1'!Q59+'MID Term 2'!N59</f>
        <v>0</v>
      </c>
      <c r="I62" s="23">
        <f t="shared" si="7"/>
        <v>0</v>
      </c>
      <c r="J62" s="23">
        <f t="shared" si="8"/>
        <v>0</v>
      </c>
      <c r="K62" s="23">
        <f t="shared" si="9"/>
        <v>0</v>
      </c>
      <c r="L62" s="23">
        <f t="shared" si="10"/>
        <v>0</v>
      </c>
      <c r="M62" s="23">
        <f t="shared" si="11"/>
        <v>0</v>
      </c>
      <c r="N62" s="21">
        <f t="shared" si="12"/>
        <v>0</v>
      </c>
      <c r="O62" s="23">
        <f t="shared" si="13"/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.5" customHeight="1" x14ac:dyDescent="0.3">
      <c r="A63" s="47">
        <f>'Sessional + End Term Assessment'!A61</f>
        <v>54</v>
      </c>
      <c r="B63" s="72">
        <f>'Sessional + End Term Assessment'!B61</f>
        <v>0</v>
      </c>
      <c r="C63" s="72">
        <f>'Sessional + End Term Assessment'!C61</f>
        <v>0</v>
      </c>
      <c r="D63" s="21">
        <f>'MID Term 1'!D60+'MID Term 2'!D60</f>
        <v>0</v>
      </c>
      <c r="E63" s="21">
        <f>'MID Term 1'!H60+'MID Term 2'!E60</f>
        <v>0</v>
      </c>
      <c r="F63" s="21">
        <f>'MID Term 1'!L60+'MID Term 2'!F60</f>
        <v>0</v>
      </c>
      <c r="G63" s="21">
        <f>'MID Term 1'!P60+'MID Term 2'!J60</f>
        <v>0</v>
      </c>
      <c r="H63" s="21">
        <f>'MID Term 1'!Q60+'MID Term 2'!N60</f>
        <v>0</v>
      </c>
      <c r="I63" s="23">
        <f t="shared" si="7"/>
        <v>0</v>
      </c>
      <c r="J63" s="23">
        <f t="shared" si="8"/>
        <v>0</v>
      </c>
      <c r="K63" s="23">
        <f t="shared" si="9"/>
        <v>0</v>
      </c>
      <c r="L63" s="23">
        <f t="shared" si="10"/>
        <v>0</v>
      </c>
      <c r="M63" s="23">
        <f t="shared" si="11"/>
        <v>0</v>
      </c>
      <c r="N63" s="21">
        <f t="shared" si="12"/>
        <v>0</v>
      </c>
      <c r="O63" s="23">
        <f t="shared" si="13"/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.5" customHeight="1" x14ac:dyDescent="0.3">
      <c r="A64" s="47">
        <f>'Sessional + End Term Assessment'!A62</f>
        <v>55</v>
      </c>
      <c r="B64" s="72">
        <f>'Sessional + End Term Assessment'!B62</f>
        <v>0</v>
      </c>
      <c r="C64" s="72">
        <f>'Sessional + End Term Assessment'!C62</f>
        <v>0</v>
      </c>
      <c r="D64" s="21">
        <f>'MID Term 1'!D61+'MID Term 2'!D61</f>
        <v>0</v>
      </c>
      <c r="E64" s="21">
        <f>'MID Term 1'!H61+'MID Term 2'!E61</f>
        <v>0</v>
      </c>
      <c r="F64" s="21">
        <f>'MID Term 1'!L61+'MID Term 2'!F61</f>
        <v>0</v>
      </c>
      <c r="G64" s="21">
        <f>'MID Term 1'!P61+'MID Term 2'!J61</f>
        <v>0</v>
      </c>
      <c r="H64" s="21">
        <f>'MID Term 1'!Q61+'MID Term 2'!N61</f>
        <v>0</v>
      </c>
      <c r="I64" s="23">
        <f t="shared" si="7"/>
        <v>0</v>
      </c>
      <c r="J64" s="23">
        <f t="shared" si="8"/>
        <v>0</v>
      </c>
      <c r="K64" s="23">
        <f t="shared" si="9"/>
        <v>0</v>
      </c>
      <c r="L64" s="23">
        <f t="shared" si="10"/>
        <v>0</v>
      </c>
      <c r="M64" s="23">
        <f t="shared" si="11"/>
        <v>0</v>
      </c>
      <c r="N64" s="21">
        <f t="shared" si="12"/>
        <v>0</v>
      </c>
      <c r="O64" s="23">
        <f t="shared" si="13"/>
        <v>0</v>
      </c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.5" customHeight="1" x14ac:dyDescent="0.3">
      <c r="A65" s="47">
        <f>'Sessional + End Term Assessment'!A63</f>
        <v>56</v>
      </c>
      <c r="B65" s="72">
        <f>'Sessional + End Term Assessment'!B63</f>
        <v>0</v>
      </c>
      <c r="C65" s="72">
        <f>'Sessional + End Term Assessment'!C63</f>
        <v>0</v>
      </c>
      <c r="D65" s="21">
        <f>'MID Term 1'!D62+'MID Term 2'!D62</f>
        <v>0</v>
      </c>
      <c r="E65" s="21">
        <f>'MID Term 1'!H62+'MID Term 2'!E62</f>
        <v>0</v>
      </c>
      <c r="F65" s="21">
        <f>'MID Term 1'!L62+'MID Term 2'!F62</f>
        <v>0</v>
      </c>
      <c r="G65" s="21">
        <f>'MID Term 1'!P62+'MID Term 2'!J62</f>
        <v>0</v>
      </c>
      <c r="H65" s="21">
        <f>'MID Term 1'!Q62+'MID Term 2'!N62</f>
        <v>0</v>
      </c>
      <c r="I65" s="23">
        <f t="shared" si="7"/>
        <v>0</v>
      </c>
      <c r="J65" s="23">
        <f t="shared" si="8"/>
        <v>0</v>
      </c>
      <c r="K65" s="23">
        <f t="shared" si="9"/>
        <v>0</v>
      </c>
      <c r="L65" s="23">
        <f t="shared" si="10"/>
        <v>0</v>
      </c>
      <c r="M65" s="23">
        <f t="shared" si="11"/>
        <v>0</v>
      </c>
      <c r="N65" s="21">
        <f t="shared" si="12"/>
        <v>0</v>
      </c>
      <c r="O65" s="23">
        <f t="shared" si="13"/>
        <v>0</v>
      </c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.5" customHeight="1" x14ac:dyDescent="0.3">
      <c r="A66" s="47">
        <f>'Sessional + End Term Assessment'!A64</f>
        <v>57</v>
      </c>
      <c r="B66" s="72">
        <f>'Sessional + End Term Assessment'!B64</f>
        <v>0</v>
      </c>
      <c r="C66" s="72">
        <f>'Sessional + End Term Assessment'!C64</f>
        <v>0</v>
      </c>
      <c r="D66" s="21">
        <f>'MID Term 1'!D63+'MID Term 2'!D63</f>
        <v>0</v>
      </c>
      <c r="E66" s="21">
        <f>'MID Term 1'!H63+'MID Term 2'!E63</f>
        <v>0</v>
      </c>
      <c r="F66" s="21">
        <f>'MID Term 1'!L63+'MID Term 2'!F63</f>
        <v>0</v>
      </c>
      <c r="G66" s="21">
        <f>'MID Term 1'!P63+'MID Term 2'!J63</f>
        <v>0</v>
      </c>
      <c r="H66" s="21">
        <f>'MID Term 1'!Q63+'MID Term 2'!N63</f>
        <v>0</v>
      </c>
      <c r="I66" s="23">
        <f t="shared" si="7"/>
        <v>0</v>
      </c>
      <c r="J66" s="23">
        <f t="shared" si="8"/>
        <v>0</v>
      </c>
      <c r="K66" s="23">
        <f t="shared" si="9"/>
        <v>0</v>
      </c>
      <c r="L66" s="23">
        <f t="shared" si="10"/>
        <v>0</v>
      </c>
      <c r="M66" s="23">
        <f t="shared" si="11"/>
        <v>0</v>
      </c>
      <c r="N66" s="21">
        <f t="shared" si="12"/>
        <v>0</v>
      </c>
      <c r="O66" s="23">
        <f t="shared" si="13"/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.5" customHeight="1" x14ac:dyDescent="0.3">
      <c r="A67" s="47">
        <f>'Sessional + End Term Assessment'!A65</f>
        <v>58</v>
      </c>
      <c r="B67" s="72">
        <f>'Sessional + End Term Assessment'!B65</f>
        <v>0</v>
      </c>
      <c r="C67" s="72">
        <f>'Sessional + End Term Assessment'!C65</f>
        <v>0</v>
      </c>
      <c r="D67" s="21">
        <f>'MID Term 1'!D64+'MID Term 2'!D64</f>
        <v>0</v>
      </c>
      <c r="E67" s="21">
        <f>'MID Term 1'!H64+'MID Term 2'!E64</f>
        <v>0</v>
      </c>
      <c r="F67" s="21">
        <f>'MID Term 1'!L64+'MID Term 2'!F64</f>
        <v>0</v>
      </c>
      <c r="G67" s="21">
        <f>'MID Term 1'!P64+'MID Term 2'!J64</f>
        <v>0</v>
      </c>
      <c r="H67" s="21">
        <f>'MID Term 1'!Q64+'MID Term 2'!N64</f>
        <v>0</v>
      </c>
      <c r="I67" s="23">
        <f t="shared" si="7"/>
        <v>0</v>
      </c>
      <c r="J67" s="23">
        <f t="shared" si="8"/>
        <v>0</v>
      </c>
      <c r="K67" s="23">
        <f t="shared" si="9"/>
        <v>0</v>
      </c>
      <c r="L67" s="23">
        <f t="shared" si="10"/>
        <v>0</v>
      </c>
      <c r="M67" s="23">
        <f t="shared" si="11"/>
        <v>0</v>
      </c>
      <c r="N67" s="21">
        <f t="shared" si="12"/>
        <v>0</v>
      </c>
      <c r="O67" s="23">
        <f t="shared" si="13"/>
        <v>0</v>
      </c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.5" customHeight="1" x14ac:dyDescent="0.3">
      <c r="A68" s="47">
        <f>'Sessional + End Term Assessment'!A66</f>
        <v>59</v>
      </c>
      <c r="B68" s="72">
        <f>'Sessional + End Term Assessment'!B66</f>
        <v>0</v>
      </c>
      <c r="C68" s="72">
        <f>'Sessional + End Term Assessment'!C66</f>
        <v>0</v>
      </c>
      <c r="D68" s="21">
        <f>'MID Term 1'!D65+'MID Term 2'!D65</f>
        <v>0</v>
      </c>
      <c r="E68" s="21">
        <f>'MID Term 1'!H65+'MID Term 2'!E65</f>
        <v>0</v>
      </c>
      <c r="F68" s="21">
        <f>'MID Term 1'!L65+'MID Term 2'!F65</f>
        <v>0</v>
      </c>
      <c r="G68" s="21">
        <f>'MID Term 1'!P65+'MID Term 2'!J65</f>
        <v>0</v>
      </c>
      <c r="H68" s="21">
        <f>'MID Term 1'!Q65+'MID Term 2'!N65</f>
        <v>0</v>
      </c>
      <c r="I68" s="23">
        <f t="shared" ref="I68:I69" si="14">IF((D68/$D$8)&gt;=$I$8,1,0)</f>
        <v>0</v>
      </c>
      <c r="J68" s="23">
        <f t="shared" ref="J68:J69" si="15">IF((E68/$E$8)&gt;=$J$8,1,0)</f>
        <v>0</v>
      </c>
      <c r="K68" s="23">
        <f t="shared" ref="K68:K69" si="16">IF((F68/$F$8)&gt;=$K$8,1,0)</f>
        <v>0</v>
      </c>
      <c r="L68" s="23">
        <f t="shared" ref="L68:L69" si="17">IF((G68/$G$8)&gt;=$L$8,1,0)</f>
        <v>0</v>
      </c>
      <c r="M68" s="23">
        <f t="shared" ref="M68:M69" si="18">IF((H68/$H$8)&gt;=$M$8,1,0)</f>
        <v>0</v>
      </c>
      <c r="N68" s="21">
        <f t="shared" ref="N68:N69" si="19">SUM(D68:H68)</f>
        <v>0</v>
      </c>
      <c r="O68" s="23">
        <f t="shared" ref="O68:O69" si="20">ROUND(N68/2,0)</f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.5" customHeight="1" x14ac:dyDescent="0.3">
      <c r="A69" s="47">
        <f>'Sessional + End Term Assessment'!A67</f>
        <v>60</v>
      </c>
      <c r="B69" s="72">
        <f>'Sessional + End Term Assessment'!B67</f>
        <v>0</v>
      </c>
      <c r="C69" s="72">
        <f>'Sessional + End Term Assessment'!C67</f>
        <v>0</v>
      </c>
      <c r="D69" s="21">
        <f>'MID Term 1'!D66+'MID Term 2'!D66</f>
        <v>0</v>
      </c>
      <c r="E69" s="21">
        <f>'MID Term 1'!H66+'MID Term 2'!E66</f>
        <v>0</v>
      </c>
      <c r="F69" s="21">
        <f>'MID Term 1'!L66+'MID Term 2'!F66</f>
        <v>0</v>
      </c>
      <c r="G69" s="21">
        <f>'MID Term 1'!P66+'MID Term 2'!J66</f>
        <v>0</v>
      </c>
      <c r="H69" s="21">
        <f>'MID Term 1'!Q66+'MID Term 2'!N66</f>
        <v>0</v>
      </c>
      <c r="I69" s="23">
        <f t="shared" si="14"/>
        <v>0</v>
      </c>
      <c r="J69" s="23">
        <f t="shared" si="15"/>
        <v>0</v>
      </c>
      <c r="K69" s="23">
        <f t="shared" si="16"/>
        <v>0</v>
      </c>
      <c r="L69" s="23">
        <f t="shared" si="17"/>
        <v>0</v>
      </c>
      <c r="M69" s="23">
        <f t="shared" si="18"/>
        <v>0</v>
      </c>
      <c r="N69" s="21">
        <f t="shared" si="19"/>
        <v>0</v>
      </c>
      <c r="O69" s="23">
        <f t="shared" si="20"/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.5" customHeight="1" x14ac:dyDescent="0.3">
      <c r="A70" s="15"/>
      <c r="B70" s="15"/>
      <c r="C70" s="15" t="s">
        <v>80</v>
      </c>
      <c r="D70" s="55">
        <v>60</v>
      </c>
      <c r="E70" s="55">
        <v>60</v>
      </c>
      <c r="F70" s="55">
        <v>60</v>
      </c>
      <c r="G70" s="55">
        <v>60</v>
      </c>
      <c r="H70" s="55">
        <v>60</v>
      </c>
      <c r="I70" s="55">
        <f>SUM(I10:I69)</f>
        <v>0</v>
      </c>
      <c r="J70" s="55">
        <f>SUM(J10:J69)</f>
        <v>0</v>
      </c>
      <c r="K70" s="55">
        <f>SUM(K10:K69)</f>
        <v>0</v>
      </c>
      <c r="L70" s="55">
        <f>SUM(L10:L69)</f>
        <v>0</v>
      </c>
      <c r="M70" s="55">
        <f>SUM(M10:M69)</f>
        <v>0</v>
      </c>
      <c r="N70" s="55"/>
      <c r="O70" s="55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.5" customHeight="1" x14ac:dyDescent="0.3">
      <c r="A71" s="90" t="s">
        <v>81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9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.5" customHeight="1" x14ac:dyDescent="0.3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100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.5" customHeight="1" x14ac:dyDescent="0.3">
      <c r="A73" s="93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100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.5" customHeight="1" x14ac:dyDescent="0.3">
      <c r="A74" s="96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10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">
      <c r="A75" s="89" t="s">
        <v>36</v>
      </c>
      <c r="B75" s="85"/>
      <c r="C75" s="86"/>
      <c r="D75" s="32" t="s">
        <v>37</v>
      </c>
      <c r="E75" s="32" t="s">
        <v>38</v>
      </c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.5" customHeight="1" x14ac:dyDescent="0.3">
      <c r="A76" s="89" t="s">
        <v>82</v>
      </c>
      <c r="B76" s="85"/>
      <c r="C76" s="86"/>
      <c r="D76" s="33">
        <f>ROUND((I70/D70*100),0)</f>
        <v>0</v>
      </c>
      <c r="E76" s="32">
        <f t="shared" ref="E76:E80" si="21">IF(D76&gt;100,"ERROR",IF(D76&gt;=61,3,IF(D76&gt;=46,2,IF(D76&gt;=16,1,IF(D76&gt;15,0,0)))))</f>
        <v>0</v>
      </c>
      <c r="F76" s="33">
        <f t="shared" ref="F76:F80" si="22">E76*0.2</f>
        <v>0</v>
      </c>
      <c r="G76" s="33"/>
      <c r="H76" s="33"/>
      <c r="I76" s="33"/>
      <c r="J76" s="33"/>
      <c r="K76" s="33"/>
      <c r="L76" s="33"/>
      <c r="M76" s="33"/>
      <c r="N76" s="33"/>
      <c r="O76" s="33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.5" customHeight="1" x14ac:dyDescent="0.3">
      <c r="A77" s="89" t="s">
        <v>83</v>
      </c>
      <c r="B77" s="85"/>
      <c r="C77" s="86"/>
      <c r="D77" s="33">
        <f>ROUND((J70/E70*100),0)</f>
        <v>0</v>
      </c>
      <c r="E77" s="32">
        <f t="shared" si="21"/>
        <v>0</v>
      </c>
      <c r="F77" s="33">
        <f t="shared" si="22"/>
        <v>0</v>
      </c>
      <c r="G77" s="33"/>
      <c r="H77" s="102" t="s">
        <v>84</v>
      </c>
      <c r="I77" s="103"/>
      <c r="J77" s="56">
        <f>SUM(F76:F80)</f>
        <v>0</v>
      </c>
      <c r="K77" s="33"/>
      <c r="L77" s="33"/>
      <c r="M77" s="33"/>
      <c r="N77" s="33"/>
      <c r="O77" s="33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.5" customHeight="1" x14ac:dyDescent="0.3">
      <c r="A78" s="89" t="s">
        <v>85</v>
      </c>
      <c r="B78" s="85"/>
      <c r="C78" s="86"/>
      <c r="D78" s="33">
        <f>ROUND((K70/F70*100),0)</f>
        <v>0</v>
      </c>
      <c r="E78" s="32">
        <f t="shared" si="21"/>
        <v>0</v>
      </c>
      <c r="F78" s="33">
        <f t="shared" si="22"/>
        <v>0</v>
      </c>
      <c r="G78" s="33"/>
      <c r="H78" s="33"/>
      <c r="I78" s="33"/>
      <c r="J78" s="33"/>
      <c r="K78" s="33"/>
      <c r="L78" s="33"/>
      <c r="M78" s="33"/>
      <c r="N78" s="33"/>
      <c r="O78" s="33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.5" customHeight="1" x14ac:dyDescent="0.3">
      <c r="A79" s="89" t="s">
        <v>86</v>
      </c>
      <c r="B79" s="85"/>
      <c r="C79" s="86"/>
      <c r="D79" s="33">
        <f>ROUND((L70/G70*100),0)</f>
        <v>0</v>
      </c>
      <c r="E79" s="32">
        <f t="shared" si="21"/>
        <v>0</v>
      </c>
      <c r="F79" s="33">
        <f t="shared" si="22"/>
        <v>0</v>
      </c>
      <c r="G79" s="33"/>
      <c r="H79" s="33"/>
      <c r="I79" s="33"/>
      <c r="J79" s="33"/>
      <c r="K79" s="33"/>
      <c r="L79" s="33"/>
      <c r="M79" s="33"/>
      <c r="N79" s="33"/>
      <c r="O79" s="33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.5" customHeight="1" x14ac:dyDescent="0.3">
      <c r="A80" s="89" t="s">
        <v>87</v>
      </c>
      <c r="B80" s="85"/>
      <c r="C80" s="86"/>
      <c r="D80" s="33">
        <f>ROUND((M70/H70*100),0)</f>
        <v>0</v>
      </c>
      <c r="E80" s="32">
        <f t="shared" si="21"/>
        <v>0</v>
      </c>
      <c r="F80" s="33">
        <f t="shared" si="22"/>
        <v>0</v>
      </c>
      <c r="G80" s="33"/>
      <c r="H80" s="33"/>
      <c r="I80" s="33"/>
      <c r="J80" s="33"/>
      <c r="K80" s="33"/>
      <c r="L80" s="33"/>
      <c r="M80" s="33"/>
      <c r="N80" s="33"/>
      <c r="O80" s="33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.5" customHeight="1" x14ac:dyDescent="0.3">
      <c r="A81" s="90" t="s">
        <v>88</v>
      </c>
      <c r="B81" s="91"/>
      <c r="C81" s="91"/>
      <c r="D81" s="91"/>
      <c r="E81" s="91"/>
      <c r="F81" s="91"/>
      <c r="G81" s="91"/>
      <c r="H81" s="92"/>
      <c r="I81" s="90" t="s">
        <v>89</v>
      </c>
      <c r="J81" s="91"/>
      <c r="K81" s="91"/>
      <c r="L81" s="91"/>
      <c r="M81" s="91"/>
      <c r="N81" s="91"/>
      <c r="O81" s="99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.5" customHeight="1" x14ac:dyDescent="0.3">
      <c r="A82" s="93"/>
      <c r="B82" s="94"/>
      <c r="C82" s="94"/>
      <c r="D82" s="94"/>
      <c r="E82" s="94"/>
      <c r="F82" s="94"/>
      <c r="G82" s="94"/>
      <c r="H82" s="95"/>
      <c r="I82" s="93"/>
      <c r="J82" s="94"/>
      <c r="K82" s="94"/>
      <c r="L82" s="94"/>
      <c r="M82" s="94"/>
      <c r="N82" s="94"/>
      <c r="O82" s="100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.5" customHeight="1" x14ac:dyDescent="0.3">
      <c r="A83" s="93"/>
      <c r="B83" s="94"/>
      <c r="C83" s="94"/>
      <c r="D83" s="94"/>
      <c r="E83" s="94"/>
      <c r="F83" s="94"/>
      <c r="G83" s="94"/>
      <c r="H83" s="95"/>
      <c r="I83" s="93"/>
      <c r="J83" s="94"/>
      <c r="K83" s="94"/>
      <c r="L83" s="94"/>
      <c r="M83" s="94"/>
      <c r="N83" s="94"/>
      <c r="O83" s="100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.5" customHeight="1" x14ac:dyDescent="0.3">
      <c r="A84" s="96"/>
      <c r="B84" s="97"/>
      <c r="C84" s="97"/>
      <c r="D84" s="97"/>
      <c r="E84" s="97"/>
      <c r="F84" s="97"/>
      <c r="G84" s="97"/>
      <c r="H84" s="98"/>
      <c r="I84" s="96"/>
      <c r="J84" s="97"/>
      <c r="K84" s="97"/>
      <c r="L84" s="97"/>
      <c r="M84" s="97"/>
      <c r="N84" s="97"/>
      <c r="O84" s="10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">
      <c r="C85" s="50"/>
    </row>
    <row r="86" spans="1:25" ht="15.75" customHeight="1" x14ac:dyDescent="0.25"/>
    <row r="87" spans="1:25" ht="15.75" customHeight="1" x14ac:dyDescent="0.25"/>
    <row r="88" spans="1:25" ht="15.75" customHeight="1" x14ac:dyDescent="0.25"/>
    <row r="89" spans="1:25" ht="15.75" customHeight="1" x14ac:dyDescent="0.25"/>
    <row r="90" spans="1:25" ht="15.75" customHeight="1" x14ac:dyDescent="0.25"/>
    <row r="91" spans="1:25" ht="15.75" customHeight="1" x14ac:dyDescent="0.25"/>
    <row r="92" spans="1:25" ht="15.75" customHeight="1" x14ac:dyDescent="0.25"/>
    <row r="93" spans="1:25" ht="15.75" customHeight="1" x14ac:dyDescent="0.25"/>
    <row r="94" spans="1:25" ht="15.75" customHeight="1" x14ac:dyDescent="0.25"/>
    <row r="95" spans="1:25" ht="15.75" customHeight="1" x14ac:dyDescent="0.25"/>
    <row r="96" spans="1:2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</sheetData>
  <mergeCells count="37">
    <mergeCell ref="A80:C80"/>
    <mergeCell ref="A81:H84"/>
    <mergeCell ref="I81:O84"/>
    <mergeCell ref="A71:O74"/>
    <mergeCell ref="A75:C75"/>
    <mergeCell ref="A76:C76"/>
    <mergeCell ref="A77:C77"/>
    <mergeCell ref="H77:I77"/>
    <mergeCell ref="A78:C78"/>
    <mergeCell ref="A79:C79"/>
    <mergeCell ref="B5:B8"/>
    <mergeCell ref="A9:C9"/>
    <mergeCell ref="A1:O1"/>
    <mergeCell ref="A2:O2"/>
    <mergeCell ref="A3:O3"/>
    <mergeCell ref="A4:O4"/>
    <mergeCell ref="A5:A8"/>
    <mergeCell ref="D5:D6"/>
    <mergeCell ref="O5:O7"/>
    <mergeCell ref="N8:N9"/>
    <mergeCell ref="O8:O9"/>
    <mergeCell ref="G5:G6"/>
    <mergeCell ref="H5:H6"/>
    <mergeCell ref="I8:I9"/>
    <mergeCell ref="J8:J9"/>
    <mergeCell ref="K8:K9"/>
    <mergeCell ref="L8:L9"/>
    <mergeCell ref="M8:M9"/>
    <mergeCell ref="E5:E6"/>
    <mergeCell ref="F5:F6"/>
    <mergeCell ref="I5:M5"/>
    <mergeCell ref="N5:N7"/>
    <mergeCell ref="I6:I7"/>
    <mergeCell ref="J6:J7"/>
    <mergeCell ref="K6:K7"/>
    <mergeCell ref="L6:L7"/>
    <mergeCell ref="M6:M7"/>
  </mergeCells>
  <phoneticPr fontId="32" type="noConversion"/>
  <conditionalFormatting sqref="N10:O70 D10:H70">
    <cfRule type="containsText" dxfId="1" priority="2" operator="containsText" text="AB">
      <formula>NOT(ISERROR(SEARCH(("AB"),(D10))))</formula>
    </cfRule>
  </conditionalFormatting>
  <conditionalFormatting sqref="I10:M70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2.3984375" customWidth="1"/>
    <col min="2" max="26" width="7.69921875" customWidth="1"/>
  </cols>
  <sheetData>
    <row r="1" spans="1:26" ht="19.5" customHeight="1" x14ac:dyDescent="0.25">
      <c r="A1" s="84" t="str">
        <f>'CO-PO Mapping'!A1:P1</f>
        <v>DEPARTMENT OF COMPUTER SCIENCE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6"/>
    </row>
    <row r="2" spans="1:26" ht="19.5" customHeight="1" x14ac:dyDescent="0.25">
      <c r="A2" s="84" t="s">
        <v>90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6"/>
    </row>
    <row r="3" spans="1:26" ht="19.5" customHeight="1" x14ac:dyDescent="0.25">
      <c r="A3" s="84" t="str">
        <f>'CO-PO Mapping'!A3:P3</f>
        <v>II Year III Semester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6"/>
    </row>
    <row r="4" spans="1:26" ht="19.5" customHeight="1" x14ac:dyDescent="0.25">
      <c r="A4" s="84" t="str">
        <f>'CO-PO Mapping'!A4:P4</f>
        <v>SUBJECT: Advanced Engineering Mathematics                                                                                                   Faculty: Dr. Kalpana Fatawat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6"/>
    </row>
    <row r="5" spans="1:26" ht="31.2" x14ac:dyDescent="0.25">
      <c r="A5" s="12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9.5" customHeight="1" x14ac:dyDescent="0.25">
      <c r="A6" s="12" t="s">
        <v>18</v>
      </c>
      <c r="B6" s="23">
        <f>'Attainment Sheet Sessional'!E76*'CO-PO Mapping'!B6/3</f>
        <v>0</v>
      </c>
      <c r="C6" s="23">
        <f>'Attainment Sheet Sessional'!E76*'CO-PO Mapping'!C6/3</f>
        <v>0</v>
      </c>
      <c r="D6" s="23">
        <f>'Attainment Sheet Sessional'!$E76*'CO-PO Mapping'!D6/3</f>
        <v>0</v>
      </c>
      <c r="E6" s="23">
        <f>'Attainment Sheet Sessional'!$E76*'CO-PO Mapping'!E6/3</f>
        <v>0</v>
      </c>
      <c r="F6" s="23">
        <f>'Attainment Sheet Sessional'!$E76*'CO-PO Mapping'!F6/3</f>
        <v>0</v>
      </c>
      <c r="G6" s="23">
        <f>'Attainment Sheet Sessional'!$E76*'CO-PO Mapping'!G6/3</f>
        <v>0</v>
      </c>
      <c r="H6" s="23">
        <f>'Attainment Sheet Sessional'!$E76*'CO-PO Mapping'!H6/3</f>
        <v>0</v>
      </c>
      <c r="I6" s="23">
        <f>'Attainment Sheet Sessional'!$E76*'CO-PO Mapping'!I6/3</f>
        <v>0</v>
      </c>
      <c r="J6" s="23">
        <f>'Attainment Sheet Sessional'!$E76*'CO-PO Mapping'!J6/3</f>
        <v>0</v>
      </c>
      <c r="K6" s="23">
        <f>'Attainment Sheet Sessional'!$E76*'CO-PO Mapping'!K6/3</f>
        <v>0</v>
      </c>
      <c r="L6" s="23">
        <f>'Attainment Sheet Sessional'!$E76*'CO-PO Mapping'!L6/3</f>
        <v>0</v>
      </c>
      <c r="M6" s="23">
        <f>'Attainment Sheet Sessional'!$E76*'CO-PO Mapping'!M6/3</f>
        <v>0</v>
      </c>
      <c r="N6" s="23">
        <f>'Attainment Sheet Sessional'!$E76*'CO-PO Mapping'!N6/3</f>
        <v>0</v>
      </c>
      <c r="O6" s="23">
        <f>'Attainment Sheet Sessional'!$E76*'CO-PO Mapping'!O6/3</f>
        <v>0</v>
      </c>
      <c r="P6" s="23">
        <f>'Attainment Sheet Sessional'!$E76*'CO-PO Mapping'!P6/3</f>
        <v>0</v>
      </c>
    </row>
    <row r="7" spans="1:26" ht="19.5" customHeight="1" x14ac:dyDescent="0.25">
      <c r="A7" s="12" t="s">
        <v>19</v>
      </c>
      <c r="B7" s="23">
        <f>'Attainment Sheet Sessional'!E77*'CO-PO Mapping'!B7/3</f>
        <v>0</v>
      </c>
      <c r="C7" s="23">
        <f>'Attainment Sheet Sessional'!E77*'CO-PO Mapping'!C7/3</f>
        <v>0</v>
      </c>
      <c r="D7" s="23">
        <f>'Attainment Sheet Sessional'!$E77*'CO-PO Mapping'!D7/3</f>
        <v>0</v>
      </c>
      <c r="E7" s="23">
        <f>'Attainment Sheet Sessional'!$E77*'CO-PO Mapping'!E7/3</f>
        <v>0</v>
      </c>
      <c r="F7" s="23">
        <f>'Attainment Sheet Sessional'!$E77*'CO-PO Mapping'!F7/3</f>
        <v>0</v>
      </c>
      <c r="G7" s="23">
        <f>'Attainment Sheet Sessional'!$E77*'CO-PO Mapping'!G7/3</f>
        <v>0</v>
      </c>
      <c r="H7" s="23">
        <f>'Attainment Sheet Sessional'!$E77*'CO-PO Mapping'!H7/3</f>
        <v>0</v>
      </c>
      <c r="I7" s="23">
        <f>'Attainment Sheet Sessional'!$E77*'CO-PO Mapping'!I7/3</f>
        <v>0</v>
      </c>
      <c r="J7" s="23">
        <f>'Attainment Sheet Sessional'!$E77*'CO-PO Mapping'!J7/3</f>
        <v>0</v>
      </c>
      <c r="K7" s="23">
        <f>'Attainment Sheet Sessional'!$E77*'CO-PO Mapping'!K7/3</f>
        <v>0</v>
      </c>
      <c r="L7" s="23">
        <f>'Attainment Sheet Sessional'!$E77*'CO-PO Mapping'!L7/3</f>
        <v>0</v>
      </c>
      <c r="M7" s="23">
        <f>'Attainment Sheet Sessional'!$E77*'CO-PO Mapping'!M7/3</f>
        <v>0</v>
      </c>
      <c r="N7" s="23">
        <f>'Attainment Sheet Sessional'!$E77*'CO-PO Mapping'!N7/3</f>
        <v>0</v>
      </c>
      <c r="O7" s="23">
        <f>'Attainment Sheet Sessional'!$E77*'CO-PO Mapping'!O7/3</f>
        <v>0</v>
      </c>
      <c r="P7" s="23">
        <f>'Attainment Sheet Sessional'!$E77*'CO-PO Mapping'!P7/3</f>
        <v>0</v>
      </c>
    </row>
    <row r="8" spans="1:26" ht="19.5" customHeight="1" x14ac:dyDescent="0.25">
      <c r="A8" s="12" t="s">
        <v>20</v>
      </c>
      <c r="B8" s="23">
        <f>'Attainment Sheet Sessional'!E78*'CO-PO Mapping'!B8/3</f>
        <v>0</v>
      </c>
      <c r="C8" s="23">
        <f>'Attainment Sheet Sessional'!E78*'CO-PO Mapping'!C8/3</f>
        <v>0</v>
      </c>
      <c r="D8" s="23">
        <f>'Attainment Sheet Sessional'!$E78*'CO-PO Mapping'!D8/3</f>
        <v>0</v>
      </c>
      <c r="E8" s="23">
        <f>'Attainment Sheet Sessional'!$E78*'CO-PO Mapping'!E8/3</f>
        <v>0</v>
      </c>
      <c r="F8" s="23">
        <f>'Attainment Sheet Sessional'!$E78*'CO-PO Mapping'!F8/3</f>
        <v>0</v>
      </c>
      <c r="G8" s="23">
        <f>'Attainment Sheet Sessional'!$E78*'CO-PO Mapping'!G8/3</f>
        <v>0</v>
      </c>
      <c r="H8" s="23">
        <f>'Attainment Sheet Sessional'!$E78*'CO-PO Mapping'!H8/3</f>
        <v>0</v>
      </c>
      <c r="I8" s="23">
        <f>'Attainment Sheet Sessional'!$E78*'CO-PO Mapping'!I8/3</f>
        <v>0</v>
      </c>
      <c r="J8" s="23">
        <f>'Attainment Sheet Sessional'!$E78*'CO-PO Mapping'!J8/3</f>
        <v>0</v>
      </c>
      <c r="K8" s="23">
        <f>'Attainment Sheet Sessional'!$E78*'CO-PO Mapping'!K8/3</f>
        <v>0</v>
      </c>
      <c r="L8" s="23">
        <f>'Attainment Sheet Sessional'!$E78*'CO-PO Mapping'!L8/3</f>
        <v>0</v>
      </c>
      <c r="M8" s="23">
        <f>'Attainment Sheet Sessional'!$E78*'CO-PO Mapping'!M8/3</f>
        <v>0</v>
      </c>
      <c r="N8" s="23">
        <f>'Attainment Sheet Sessional'!$E78*'CO-PO Mapping'!N8/3</f>
        <v>0</v>
      </c>
      <c r="O8" s="23">
        <f>'Attainment Sheet Sessional'!$E78*'CO-PO Mapping'!O8/3</f>
        <v>0</v>
      </c>
      <c r="P8" s="23">
        <f>'Attainment Sheet Sessional'!$E78*'CO-PO Mapping'!P8/3</f>
        <v>0</v>
      </c>
    </row>
    <row r="9" spans="1:26" ht="19.5" customHeight="1" x14ac:dyDescent="0.25">
      <c r="A9" s="12" t="s">
        <v>21</v>
      </c>
      <c r="B9" s="23">
        <f>'Attainment Sheet Sessional'!E79*'CO-PO Mapping'!B9/3</f>
        <v>0</v>
      </c>
      <c r="C9" s="23">
        <f>'Attainment Sheet Sessional'!E79*'CO-PO Mapping'!C9/3</f>
        <v>0</v>
      </c>
      <c r="D9" s="23">
        <f>'Attainment Sheet Sessional'!$E79*'CO-PO Mapping'!D9/3</f>
        <v>0</v>
      </c>
      <c r="E9" s="23">
        <f>'Attainment Sheet Sessional'!$E79*'CO-PO Mapping'!E9/3</f>
        <v>0</v>
      </c>
      <c r="F9" s="23">
        <f>'Attainment Sheet Sessional'!$E79*'CO-PO Mapping'!F9/3</f>
        <v>0</v>
      </c>
      <c r="G9" s="23">
        <f>'Attainment Sheet Sessional'!$E79*'CO-PO Mapping'!G9/3</f>
        <v>0</v>
      </c>
      <c r="H9" s="23">
        <f>'Attainment Sheet Sessional'!$E79*'CO-PO Mapping'!H9/3</f>
        <v>0</v>
      </c>
      <c r="I9" s="23">
        <f>'Attainment Sheet Sessional'!$E79*'CO-PO Mapping'!I9/3</f>
        <v>0</v>
      </c>
      <c r="J9" s="23">
        <f>'Attainment Sheet Sessional'!$E79*'CO-PO Mapping'!J9/3</f>
        <v>0</v>
      </c>
      <c r="K9" s="23">
        <f>'Attainment Sheet Sessional'!$E79*'CO-PO Mapping'!K9/3</f>
        <v>0</v>
      </c>
      <c r="L9" s="23">
        <f>'Attainment Sheet Sessional'!$E79*'CO-PO Mapping'!L9/3</f>
        <v>0</v>
      </c>
      <c r="M9" s="23">
        <f>'Attainment Sheet Sessional'!$E79*'CO-PO Mapping'!M9/3</f>
        <v>0</v>
      </c>
      <c r="N9" s="23">
        <f>'Attainment Sheet Sessional'!$E79*'CO-PO Mapping'!N9/3</f>
        <v>0</v>
      </c>
      <c r="O9" s="23">
        <f>'Attainment Sheet Sessional'!$E79*'CO-PO Mapping'!O9/3</f>
        <v>0</v>
      </c>
      <c r="P9" s="23">
        <f>'Attainment Sheet Sessional'!$E79*'CO-PO Mapping'!P9/3</f>
        <v>0</v>
      </c>
    </row>
    <row r="10" spans="1:26" ht="19.5" customHeight="1" x14ac:dyDescent="0.25">
      <c r="A10" s="12" t="s">
        <v>22</v>
      </c>
      <c r="B10" s="23">
        <f>'Attainment Sheet Sessional'!E80*'CO-PO Mapping'!B10/3</f>
        <v>0</v>
      </c>
      <c r="C10" s="23">
        <f>'Attainment Sheet Sessional'!E80*'CO-PO Mapping'!C10/3</f>
        <v>0</v>
      </c>
      <c r="D10" s="23">
        <f>'Attainment Sheet Sessional'!$E80*'CO-PO Mapping'!D10/3</f>
        <v>0</v>
      </c>
      <c r="E10" s="23">
        <f>'Attainment Sheet Sessional'!$E80*'CO-PO Mapping'!E10/3</f>
        <v>0</v>
      </c>
      <c r="F10" s="23">
        <f>'Attainment Sheet Sessional'!$E80*'CO-PO Mapping'!F10/3</f>
        <v>0</v>
      </c>
      <c r="G10" s="23">
        <f>'Attainment Sheet Sessional'!$E80*'CO-PO Mapping'!G10/3</f>
        <v>0</v>
      </c>
      <c r="H10" s="23">
        <f>'Attainment Sheet Sessional'!$E80*'CO-PO Mapping'!H10/3</f>
        <v>0</v>
      </c>
      <c r="I10" s="23">
        <f>'Attainment Sheet Sessional'!$E80*'CO-PO Mapping'!I10/3</f>
        <v>0</v>
      </c>
      <c r="J10" s="23">
        <f>'Attainment Sheet Sessional'!$E80*'CO-PO Mapping'!J10/3</f>
        <v>0</v>
      </c>
      <c r="K10" s="23">
        <f>'Attainment Sheet Sessional'!$E80*'CO-PO Mapping'!K10/3</f>
        <v>0</v>
      </c>
      <c r="L10" s="23">
        <f>'Attainment Sheet Sessional'!$E80*'CO-PO Mapping'!L10/3</f>
        <v>0</v>
      </c>
      <c r="M10" s="23">
        <f>'Attainment Sheet Sessional'!$E80*'CO-PO Mapping'!M10/3</f>
        <v>0</v>
      </c>
      <c r="N10" s="23">
        <f>'Attainment Sheet Sessional'!$E80*'CO-PO Mapping'!N10/3</f>
        <v>0</v>
      </c>
      <c r="O10" s="23">
        <f>'Attainment Sheet Sessional'!$E80*'CO-PO Mapping'!O10/3</f>
        <v>0</v>
      </c>
      <c r="P10" s="23">
        <f>'Attainment Sheet Sessional'!$E80*'CO-PO Mapping'!P10/3</f>
        <v>0</v>
      </c>
    </row>
    <row r="11" spans="1:26" ht="19.5" customHeight="1" x14ac:dyDescent="0.25">
      <c r="A11" s="12" t="str">
        <f>'CO-PO Mapping'!A11</f>
        <v>CO35CS203 Avg</v>
      </c>
      <c r="B11" s="23">
        <f t="shared" ref="B11:P11" si="0">AVERAGE(B6:B10)</f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O11" s="23">
        <f t="shared" si="0"/>
        <v>0</v>
      </c>
      <c r="P11" s="23">
        <f t="shared" si="0"/>
        <v>0</v>
      </c>
    </row>
    <row r="12" spans="1:26" ht="39.75" customHeight="1" x14ac:dyDescent="0.25">
      <c r="A12" s="89" t="s">
        <v>39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6"/>
      <c r="N12" s="89"/>
      <c r="O12" s="85"/>
      <c r="P12" s="86"/>
    </row>
    <row r="16" spans="1:26" ht="15.6" x14ac:dyDescent="0.3">
      <c r="F16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2:M12"/>
    <mergeCell ref="N12:P12"/>
  </mergeCells>
  <pageMargins left="0.7" right="0.7" top="0.75" bottom="0.75" header="0" footer="0"/>
  <pageSetup scale="61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2" workbookViewId="0">
      <selection activeCell="L17" sqref="E17:L22"/>
    </sheetView>
  </sheetViews>
  <sheetFormatPr defaultColWidth="12.59765625" defaultRowHeight="15" customHeight="1" x14ac:dyDescent="0.25"/>
  <cols>
    <col min="1" max="1" width="10.8984375" customWidth="1"/>
    <col min="2" max="16" width="8" customWidth="1"/>
    <col min="17" max="26" width="7.69921875" customWidth="1"/>
  </cols>
  <sheetData>
    <row r="1" spans="1:26" ht="19.5" customHeight="1" x14ac:dyDescent="0.3">
      <c r="A1" s="84" t="str">
        <f>'CO-PO Mapping'!A1:P1</f>
        <v>DEPARTMENT OF COMPUTER SCIENCE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6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4" t="s">
        <v>91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6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4" t="str">
        <f>'CO-PO Mapping'!A3:P3</f>
        <v>II Year III Semester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6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4" t="str">
        <f>'CO-PO Mapping'!A4:P4</f>
        <v>SUBJECT: Advanced Engineering Mathematics                                                                                                   Faculty: Dr. Kalpana Fatawat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6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9.5" customHeight="1" x14ac:dyDescent="0.3">
      <c r="A6" s="15" t="s">
        <v>92</v>
      </c>
      <c r="B6" s="58">
        <f>AVERAGE('Attainment Tool 1 C to PO'!B6,'Attainment CO to PO Sessional'!B11)</f>
        <v>0</v>
      </c>
      <c r="C6" s="58">
        <f>AVERAGE('Attainment Tool 1 C to PO'!C6,'Attainment CO to PO Sessional'!C11)</f>
        <v>0</v>
      </c>
      <c r="D6" s="58">
        <f>AVERAGE('Attainment Tool 1 C to PO'!D6,'Attainment CO to PO Sessional'!D11)</f>
        <v>0</v>
      </c>
      <c r="E6" s="58">
        <f>AVERAGE('Attainment Tool 1 C to PO'!E6,'Attainment CO to PO Sessional'!E11)</f>
        <v>0</v>
      </c>
      <c r="F6" s="58">
        <f>AVERAGE('Attainment Tool 1 C to PO'!F6,'Attainment CO to PO Sessional'!F11)</f>
        <v>0</v>
      </c>
      <c r="G6" s="58">
        <f>AVERAGE('Attainment Tool 1 C to PO'!G6,'Attainment CO to PO Sessional'!G11)</f>
        <v>0</v>
      </c>
      <c r="H6" s="58">
        <f>AVERAGE('Attainment Tool 1 C to PO'!H6,'Attainment CO to PO Sessional'!H11)</f>
        <v>0</v>
      </c>
      <c r="I6" s="58">
        <f>AVERAGE('Attainment Tool 1 C to PO'!I6,'Attainment CO to PO Sessional'!I11)</f>
        <v>0</v>
      </c>
      <c r="J6" s="58">
        <f>AVERAGE('Attainment Tool 1 C to PO'!J6,'Attainment CO to PO Sessional'!J11)</f>
        <v>0</v>
      </c>
      <c r="K6" s="58">
        <f>AVERAGE('Attainment Tool 1 C to PO'!K6,'Attainment CO to PO Sessional'!K11)</f>
        <v>0</v>
      </c>
      <c r="L6" s="58">
        <f>AVERAGE('Attainment Tool 1 C to PO'!L6,'Attainment CO to PO Sessional'!L11)</f>
        <v>0</v>
      </c>
      <c r="M6" s="58">
        <f>AVERAGE('Attainment Tool 1 C to PO'!M6,'Attainment CO to PO Sessional'!M11)</f>
        <v>0</v>
      </c>
      <c r="N6" s="58">
        <f>AVERAGE('Attainment Tool 1 C to PO'!N6,'Attainment CO to PO Sessional'!N11)</f>
        <v>0</v>
      </c>
      <c r="O6" s="58">
        <f>AVERAGE('Attainment Tool 1 C to PO'!O6,'Attainment CO to PO Sessional'!O11)</f>
        <v>0</v>
      </c>
      <c r="P6" s="58">
        <f>AVERAGE('Attainment Tool 1 C to PO'!P6,'Attainment CO to PO Sessional'!P11)</f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2" t="s">
        <v>93</v>
      </c>
      <c r="B7" s="58">
        <f t="shared" ref="B7:P7" si="0">ROUND(B6,0)</f>
        <v>0</v>
      </c>
      <c r="C7" s="58">
        <f t="shared" si="0"/>
        <v>0</v>
      </c>
      <c r="D7" s="58">
        <f t="shared" si="0"/>
        <v>0</v>
      </c>
      <c r="E7" s="58">
        <f t="shared" si="0"/>
        <v>0</v>
      </c>
      <c r="F7" s="58">
        <f t="shared" si="0"/>
        <v>0</v>
      </c>
      <c r="G7" s="58">
        <f t="shared" si="0"/>
        <v>0</v>
      </c>
      <c r="H7" s="58">
        <f t="shared" si="0"/>
        <v>0</v>
      </c>
      <c r="I7" s="58">
        <f t="shared" si="0"/>
        <v>0</v>
      </c>
      <c r="J7" s="58">
        <f t="shared" si="0"/>
        <v>0</v>
      </c>
      <c r="K7" s="58">
        <f t="shared" si="0"/>
        <v>0</v>
      </c>
      <c r="L7" s="58">
        <f t="shared" si="0"/>
        <v>0</v>
      </c>
      <c r="M7" s="58">
        <f t="shared" si="0"/>
        <v>0</v>
      </c>
      <c r="N7" s="58">
        <f t="shared" si="0"/>
        <v>0</v>
      </c>
      <c r="O7" s="58">
        <f t="shared" si="0"/>
        <v>0</v>
      </c>
      <c r="P7" s="58">
        <f t="shared" si="0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3">
      <c r="A8" s="89" t="s">
        <v>39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6"/>
      <c r="N8" s="89"/>
      <c r="O8" s="85"/>
      <c r="P8" s="86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8:M8"/>
    <mergeCell ref="N8:P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CO-PO Mapping</vt:lpstr>
      <vt:lpstr>Sessional + End Term Assessment</vt:lpstr>
      <vt:lpstr>Attainment of Subject Code</vt:lpstr>
      <vt:lpstr>Attainment Tool 1 C to PO</vt:lpstr>
      <vt:lpstr>MID Term 1</vt:lpstr>
      <vt:lpstr>REMIDAL 1</vt:lpstr>
      <vt:lpstr>MID Term 2</vt:lpstr>
      <vt:lpstr>REMIDAL 2</vt:lpstr>
      <vt:lpstr>Attainment Sheet Sessional</vt:lpstr>
      <vt:lpstr>Attainment CO to PO Sessional</vt:lpstr>
      <vt:lpstr>Attainment Tool C to PO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Kalpana Fatawat</cp:lastModifiedBy>
  <dcterms:created xsi:type="dcterms:W3CDTF">2018-02-21T04:44:08Z</dcterms:created>
  <dcterms:modified xsi:type="dcterms:W3CDTF">2026-08-07T06:02:12Z</dcterms:modified>
</cp:coreProperties>
</file>
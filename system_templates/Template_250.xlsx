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templates\"/>
    </mc:Choice>
  </mc:AlternateContent>
  <xr:revisionPtr revIDLastSave="0" documentId="13_ncr:1_{CAFC6511-E68A-412A-BF0D-44496B50E709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" i="9" l="1"/>
  <c r="E222" i="9"/>
  <c r="F222" i="9"/>
  <c r="G222" i="9"/>
  <c r="H222" i="9"/>
  <c r="I222" i="9"/>
  <c r="J222" i="9"/>
  <c r="K222" i="9"/>
  <c r="L222" i="9"/>
  <c r="M222" i="9"/>
  <c r="N222" i="9"/>
  <c r="O222" i="9"/>
  <c r="D223" i="9"/>
  <c r="N223" i="9" s="1"/>
  <c r="O223" i="9" s="1"/>
  <c r="E223" i="9"/>
  <c r="J223" i="9" s="1"/>
  <c r="F223" i="9"/>
  <c r="K223" i="9" s="1"/>
  <c r="G223" i="9"/>
  <c r="L223" i="9" s="1"/>
  <c r="H223" i="9"/>
  <c r="M223" i="9"/>
  <c r="D224" i="9"/>
  <c r="N224" i="9" s="1"/>
  <c r="O224" i="9" s="1"/>
  <c r="E224" i="9"/>
  <c r="F224" i="9"/>
  <c r="G224" i="9"/>
  <c r="L224" i="9" s="1"/>
  <c r="H224" i="9"/>
  <c r="M224" i="9" s="1"/>
  <c r="I224" i="9"/>
  <c r="J224" i="9"/>
  <c r="K224" i="9"/>
  <c r="D225" i="9"/>
  <c r="E225" i="9"/>
  <c r="F225" i="9"/>
  <c r="G225" i="9"/>
  <c r="H225" i="9"/>
  <c r="I225" i="9"/>
  <c r="J225" i="9"/>
  <c r="K225" i="9"/>
  <c r="L225" i="9"/>
  <c r="M225" i="9"/>
  <c r="N225" i="9"/>
  <c r="O225" i="9"/>
  <c r="D226" i="9"/>
  <c r="E226" i="9"/>
  <c r="F226" i="9"/>
  <c r="G226" i="9"/>
  <c r="H226" i="9"/>
  <c r="I226" i="9"/>
  <c r="J226" i="9"/>
  <c r="K226" i="9"/>
  <c r="L226" i="9"/>
  <c r="M226" i="9"/>
  <c r="N226" i="9"/>
  <c r="O226" i="9"/>
  <c r="D227" i="9"/>
  <c r="N227" i="9" s="1"/>
  <c r="O227" i="9" s="1"/>
  <c r="E227" i="9"/>
  <c r="J227" i="9" s="1"/>
  <c r="F227" i="9"/>
  <c r="K227" i="9" s="1"/>
  <c r="G227" i="9"/>
  <c r="L227" i="9" s="1"/>
  <c r="H227" i="9"/>
  <c r="M227" i="9"/>
  <c r="D228" i="9"/>
  <c r="N228" i="9" s="1"/>
  <c r="O228" i="9" s="1"/>
  <c r="E228" i="9"/>
  <c r="F228" i="9"/>
  <c r="G228" i="9"/>
  <c r="L228" i="9" s="1"/>
  <c r="H228" i="9"/>
  <c r="M228" i="9" s="1"/>
  <c r="I228" i="9"/>
  <c r="J228" i="9"/>
  <c r="K228" i="9"/>
  <c r="D229" i="9"/>
  <c r="E229" i="9"/>
  <c r="F229" i="9"/>
  <c r="G229" i="9"/>
  <c r="H229" i="9"/>
  <c r="I229" i="9"/>
  <c r="J229" i="9"/>
  <c r="K229" i="9"/>
  <c r="L229" i="9"/>
  <c r="M229" i="9"/>
  <c r="N229" i="9"/>
  <c r="O229" i="9"/>
  <c r="D230" i="9"/>
  <c r="E230" i="9"/>
  <c r="F230" i="9"/>
  <c r="G230" i="9"/>
  <c r="H230" i="9"/>
  <c r="I230" i="9"/>
  <c r="J230" i="9"/>
  <c r="K230" i="9"/>
  <c r="L230" i="9"/>
  <c r="M230" i="9"/>
  <c r="N230" i="9"/>
  <c r="O230" i="9"/>
  <c r="D231" i="9"/>
  <c r="I231" i="9" s="1"/>
  <c r="E231" i="9"/>
  <c r="J231" i="9" s="1"/>
  <c r="F231" i="9"/>
  <c r="K231" i="9" s="1"/>
  <c r="G231" i="9"/>
  <c r="L231" i="9" s="1"/>
  <c r="H231" i="9"/>
  <c r="M231" i="9"/>
  <c r="D232" i="9"/>
  <c r="N232" i="9" s="1"/>
  <c r="O232" i="9" s="1"/>
  <c r="E232" i="9"/>
  <c r="F232" i="9"/>
  <c r="G232" i="9"/>
  <c r="L232" i="9" s="1"/>
  <c r="H232" i="9"/>
  <c r="M232" i="9" s="1"/>
  <c r="I232" i="9"/>
  <c r="J232" i="9"/>
  <c r="K232" i="9"/>
  <c r="D233" i="9"/>
  <c r="E233" i="9"/>
  <c r="F233" i="9"/>
  <c r="G233" i="9"/>
  <c r="H233" i="9"/>
  <c r="I233" i="9"/>
  <c r="J233" i="9"/>
  <c r="K233" i="9"/>
  <c r="L233" i="9"/>
  <c r="M233" i="9"/>
  <c r="N233" i="9"/>
  <c r="O233" i="9"/>
  <c r="D234" i="9"/>
  <c r="E234" i="9"/>
  <c r="F234" i="9"/>
  <c r="G234" i="9"/>
  <c r="H234" i="9"/>
  <c r="I234" i="9"/>
  <c r="J234" i="9"/>
  <c r="K234" i="9"/>
  <c r="L234" i="9"/>
  <c r="M234" i="9"/>
  <c r="N234" i="9"/>
  <c r="O234" i="9"/>
  <c r="D235" i="9"/>
  <c r="N235" i="9" s="1"/>
  <c r="O235" i="9" s="1"/>
  <c r="E235" i="9"/>
  <c r="J235" i="9" s="1"/>
  <c r="F235" i="9"/>
  <c r="K235" i="9" s="1"/>
  <c r="G235" i="9"/>
  <c r="L235" i="9" s="1"/>
  <c r="H235" i="9"/>
  <c r="M235" i="9"/>
  <c r="D236" i="9"/>
  <c r="N236" i="9" s="1"/>
  <c r="O236" i="9" s="1"/>
  <c r="E236" i="9"/>
  <c r="F236" i="9"/>
  <c r="G236" i="9"/>
  <c r="L236" i="9" s="1"/>
  <c r="H236" i="9"/>
  <c r="M236" i="9" s="1"/>
  <c r="I236" i="9"/>
  <c r="J236" i="9"/>
  <c r="K236" i="9"/>
  <c r="D237" i="9"/>
  <c r="E237" i="9"/>
  <c r="F237" i="9"/>
  <c r="G237" i="9"/>
  <c r="H237" i="9"/>
  <c r="I237" i="9"/>
  <c r="J237" i="9"/>
  <c r="K237" i="9"/>
  <c r="L237" i="9"/>
  <c r="M237" i="9"/>
  <c r="N237" i="9"/>
  <c r="O237" i="9"/>
  <c r="D238" i="9"/>
  <c r="E238" i="9"/>
  <c r="F238" i="9"/>
  <c r="G238" i="9"/>
  <c r="H238" i="9"/>
  <c r="I238" i="9"/>
  <c r="J238" i="9"/>
  <c r="K238" i="9"/>
  <c r="L238" i="9"/>
  <c r="M238" i="9"/>
  <c r="N238" i="9"/>
  <c r="O238" i="9"/>
  <c r="D239" i="9"/>
  <c r="I239" i="9" s="1"/>
  <c r="E239" i="9"/>
  <c r="J239" i="9" s="1"/>
  <c r="F239" i="9"/>
  <c r="K239" i="9" s="1"/>
  <c r="G239" i="9"/>
  <c r="L239" i="9" s="1"/>
  <c r="H239" i="9"/>
  <c r="M239" i="9"/>
  <c r="D240" i="9"/>
  <c r="N240" i="9" s="1"/>
  <c r="O240" i="9" s="1"/>
  <c r="E240" i="9"/>
  <c r="F240" i="9"/>
  <c r="G240" i="9"/>
  <c r="L240" i="9" s="1"/>
  <c r="H240" i="9"/>
  <c r="M240" i="9" s="1"/>
  <c r="I240" i="9"/>
  <c r="J240" i="9"/>
  <c r="K240" i="9"/>
  <c r="D241" i="9"/>
  <c r="E241" i="9"/>
  <c r="F241" i="9"/>
  <c r="G241" i="9"/>
  <c r="H241" i="9"/>
  <c r="I241" i="9"/>
  <c r="J241" i="9"/>
  <c r="K241" i="9"/>
  <c r="L241" i="9"/>
  <c r="M241" i="9"/>
  <c r="N241" i="9"/>
  <c r="O241" i="9"/>
  <c r="D242" i="9"/>
  <c r="E242" i="9"/>
  <c r="F242" i="9"/>
  <c r="G242" i="9"/>
  <c r="H242" i="9"/>
  <c r="I242" i="9"/>
  <c r="J242" i="9"/>
  <c r="K242" i="9"/>
  <c r="L242" i="9"/>
  <c r="M242" i="9"/>
  <c r="N242" i="9"/>
  <c r="O242" i="9"/>
  <c r="D243" i="9"/>
  <c r="N243" i="9" s="1"/>
  <c r="O243" i="9" s="1"/>
  <c r="E243" i="9"/>
  <c r="J243" i="9" s="1"/>
  <c r="F243" i="9"/>
  <c r="K243" i="9" s="1"/>
  <c r="G243" i="9"/>
  <c r="L243" i="9" s="1"/>
  <c r="H243" i="9"/>
  <c r="M243" i="9"/>
  <c r="D244" i="9"/>
  <c r="N244" i="9" s="1"/>
  <c r="O244" i="9" s="1"/>
  <c r="E244" i="9"/>
  <c r="F244" i="9"/>
  <c r="G244" i="9"/>
  <c r="L244" i="9" s="1"/>
  <c r="H244" i="9"/>
  <c r="M244" i="9" s="1"/>
  <c r="I244" i="9"/>
  <c r="J244" i="9"/>
  <c r="K244" i="9"/>
  <c r="D245" i="9"/>
  <c r="E245" i="9"/>
  <c r="F245" i="9"/>
  <c r="G245" i="9"/>
  <c r="H245" i="9"/>
  <c r="I245" i="9"/>
  <c r="J245" i="9"/>
  <c r="K245" i="9"/>
  <c r="L245" i="9"/>
  <c r="M245" i="9"/>
  <c r="N245" i="9"/>
  <c r="O245" i="9"/>
  <c r="D246" i="9"/>
  <c r="E246" i="9"/>
  <c r="F246" i="9"/>
  <c r="G246" i="9"/>
  <c r="H246" i="9"/>
  <c r="I246" i="9"/>
  <c r="J246" i="9"/>
  <c r="K246" i="9"/>
  <c r="L246" i="9"/>
  <c r="M246" i="9"/>
  <c r="N246" i="9"/>
  <c r="O246" i="9"/>
  <c r="D247" i="9"/>
  <c r="I247" i="9" s="1"/>
  <c r="E247" i="9"/>
  <c r="J247" i="9" s="1"/>
  <c r="F247" i="9"/>
  <c r="K247" i="9" s="1"/>
  <c r="G247" i="9"/>
  <c r="L247" i="9" s="1"/>
  <c r="H247" i="9"/>
  <c r="M247" i="9"/>
  <c r="D248" i="9"/>
  <c r="N248" i="9" s="1"/>
  <c r="O248" i="9" s="1"/>
  <c r="E248" i="9"/>
  <c r="F248" i="9"/>
  <c r="G248" i="9"/>
  <c r="L248" i="9" s="1"/>
  <c r="H248" i="9"/>
  <c r="M248" i="9" s="1"/>
  <c r="I248" i="9"/>
  <c r="J248" i="9"/>
  <c r="K248" i="9"/>
  <c r="D249" i="9"/>
  <c r="E249" i="9"/>
  <c r="F249" i="9"/>
  <c r="G249" i="9"/>
  <c r="H249" i="9"/>
  <c r="I249" i="9"/>
  <c r="J249" i="9"/>
  <c r="K249" i="9"/>
  <c r="L249" i="9"/>
  <c r="M249" i="9"/>
  <c r="N249" i="9"/>
  <c r="O249" i="9"/>
  <c r="D250" i="9"/>
  <c r="E250" i="9"/>
  <c r="F250" i="9"/>
  <c r="G250" i="9"/>
  <c r="H250" i="9"/>
  <c r="I250" i="9"/>
  <c r="J250" i="9"/>
  <c r="K250" i="9"/>
  <c r="L250" i="9"/>
  <c r="M250" i="9"/>
  <c r="N250" i="9"/>
  <c r="O250" i="9"/>
  <c r="D251" i="9"/>
  <c r="N251" i="9" s="1"/>
  <c r="O251" i="9" s="1"/>
  <c r="E251" i="9"/>
  <c r="J251" i="9" s="1"/>
  <c r="F251" i="9"/>
  <c r="K251" i="9" s="1"/>
  <c r="G251" i="9"/>
  <c r="L251" i="9" s="1"/>
  <c r="H251" i="9"/>
  <c r="M251" i="9"/>
  <c r="D252" i="9"/>
  <c r="N252" i="9" s="1"/>
  <c r="O252" i="9" s="1"/>
  <c r="E252" i="9"/>
  <c r="F252" i="9"/>
  <c r="G252" i="9"/>
  <c r="L252" i="9" s="1"/>
  <c r="H252" i="9"/>
  <c r="M252" i="9" s="1"/>
  <c r="I252" i="9"/>
  <c r="J252" i="9"/>
  <c r="K252" i="9"/>
  <c r="D253" i="9"/>
  <c r="E253" i="9"/>
  <c r="F253" i="9"/>
  <c r="G253" i="9"/>
  <c r="H253" i="9"/>
  <c r="I253" i="9"/>
  <c r="J253" i="9"/>
  <c r="K253" i="9"/>
  <c r="L253" i="9"/>
  <c r="M253" i="9"/>
  <c r="N253" i="9"/>
  <c r="O253" i="9"/>
  <c r="D254" i="9"/>
  <c r="E254" i="9"/>
  <c r="F254" i="9"/>
  <c r="G254" i="9"/>
  <c r="H254" i="9"/>
  <c r="I254" i="9"/>
  <c r="J254" i="9"/>
  <c r="K254" i="9"/>
  <c r="L254" i="9"/>
  <c r="M254" i="9"/>
  <c r="N254" i="9"/>
  <c r="O254" i="9"/>
  <c r="D255" i="9"/>
  <c r="I255" i="9" s="1"/>
  <c r="E255" i="9"/>
  <c r="J255" i="9" s="1"/>
  <c r="F255" i="9"/>
  <c r="K255" i="9" s="1"/>
  <c r="G255" i="9"/>
  <c r="L255" i="9" s="1"/>
  <c r="H255" i="9"/>
  <c r="M255" i="9"/>
  <c r="D256" i="9"/>
  <c r="N256" i="9" s="1"/>
  <c r="O256" i="9" s="1"/>
  <c r="E256" i="9"/>
  <c r="F256" i="9"/>
  <c r="G256" i="9"/>
  <c r="L256" i="9" s="1"/>
  <c r="H256" i="9"/>
  <c r="M256" i="9" s="1"/>
  <c r="I256" i="9"/>
  <c r="J256" i="9"/>
  <c r="K256" i="9"/>
  <c r="D257" i="9"/>
  <c r="E257" i="9"/>
  <c r="F257" i="9"/>
  <c r="G257" i="9"/>
  <c r="H257" i="9"/>
  <c r="I257" i="9"/>
  <c r="J257" i="9"/>
  <c r="K257" i="9"/>
  <c r="L257" i="9"/>
  <c r="M257" i="9"/>
  <c r="N257" i="9"/>
  <c r="O257" i="9"/>
  <c r="D258" i="9"/>
  <c r="E258" i="9"/>
  <c r="F258" i="9"/>
  <c r="G258" i="9"/>
  <c r="H258" i="9"/>
  <c r="I258" i="9"/>
  <c r="J258" i="9"/>
  <c r="K258" i="9"/>
  <c r="L258" i="9"/>
  <c r="M258" i="9"/>
  <c r="N258" i="9"/>
  <c r="O258" i="9"/>
  <c r="D259" i="9"/>
  <c r="N259" i="9" s="1"/>
  <c r="O259" i="9" s="1"/>
  <c r="E259" i="9"/>
  <c r="J259" i="9" s="1"/>
  <c r="F259" i="9"/>
  <c r="K259" i="9" s="1"/>
  <c r="G259" i="9"/>
  <c r="L259" i="9" s="1"/>
  <c r="H259" i="9"/>
  <c r="M259" i="9"/>
  <c r="A215" i="8"/>
  <c r="B215" i="8"/>
  <c r="C215" i="8"/>
  <c r="D215" i="8"/>
  <c r="E215" i="8"/>
  <c r="A216" i="8"/>
  <c r="B216" i="8"/>
  <c r="C216" i="8"/>
  <c r="D216" i="8"/>
  <c r="E216" i="8"/>
  <c r="A217" i="8"/>
  <c r="B217" i="8"/>
  <c r="C217" i="8"/>
  <c r="D217" i="8"/>
  <c r="E217" i="8"/>
  <c r="A218" i="8"/>
  <c r="B218" i="8"/>
  <c r="C218" i="8"/>
  <c r="D218" i="8"/>
  <c r="E218" i="8"/>
  <c r="A219" i="8"/>
  <c r="B219" i="8"/>
  <c r="C219" i="8"/>
  <c r="D219" i="8"/>
  <c r="E219" i="8"/>
  <c r="A220" i="8"/>
  <c r="B220" i="8"/>
  <c r="C220" i="8"/>
  <c r="D220" i="8"/>
  <c r="E220" i="8"/>
  <c r="A221" i="8"/>
  <c r="B221" i="8"/>
  <c r="C221" i="8"/>
  <c r="D221" i="8"/>
  <c r="E221" i="8"/>
  <c r="A222" i="8"/>
  <c r="B222" i="8"/>
  <c r="C222" i="8"/>
  <c r="D222" i="8"/>
  <c r="E222" i="8"/>
  <c r="A223" i="8"/>
  <c r="B223" i="8"/>
  <c r="C223" i="8"/>
  <c r="D223" i="8"/>
  <c r="E223" i="8"/>
  <c r="A224" i="8"/>
  <c r="B224" i="8"/>
  <c r="C224" i="8"/>
  <c r="D224" i="8"/>
  <c r="E224" i="8"/>
  <c r="A225" i="8"/>
  <c r="B225" i="8"/>
  <c r="C225" i="8"/>
  <c r="D225" i="8"/>
  <c r="E225" i="8"/>
  <c r="A226" i="8"/>
  <c r="B226" i="8"/>
  <c r="C226" i="8"/>
  <c r="D226" i="8"/>
  <c r="E226" i="8"/>
  <c r="A227" i="8"/>
  <c r="B227" i="8"/>
  <c r="C227" i="8"/>
  <c r="D227" i="8"/>
  <c r="E227" i="8" s="1"/>
  <c r="A228" i="8"/>
  <c r="B228" i="8"/>
  <c r="C228" i="8"/>
  <c r="D228" i="8"/>
  <c r="E228" i="8"/>
  <c r="A229" i="8"/>
  <c r="B229" i="8"/>
  <c r="C229" i="8"/>
  <c r="D229" i="8"/>
  <c r="E229" i="8"/>
  <c r="A230" i="8"/>
  <c r="B230" i="8"/>
  <c r="C230" i="8"/>
  <c r="D230" i="8"/>
  <c r="E230" i="8"/>
  <c r="A231" i="8"/>
  <c r="B231" i="8"/>
  <c r="C231" i="8"/>
  <c r="D231" i="8"/>
  <c r="E231" i="8"/>
  <c r="A232" i="8"/>
  <c r="B232" i="8"/>
  <c r="C232" i="8"/>
  <c r="D232" i="8"/>
  <c r="E232" i="8"/>
  <c r="A233" i="8"/>
  <c r="B233" i="8"/>
  <c r="C233" i="8"/>
  <c r="D233" i="8"/>
  <c r="E233" i="8"/>
  <c r="A234" i="8"/>
  <c r="B234" i="8"/>
  <c r="C234" i="8"/>
  <c r="D234" i="8"/>
  <c r="E234" i="8"/>
  <c r="A235" i="8"/>
  <c r="B235" i="8"/>
  <c r="C235" i="8"/>
  <c r="D235" i="8"/>
  <c r="E235" i="8"/>
  <c r="A236" i="8"/>
  <c r="B236" i="8"/>
  <c r="C236" i="8"/>
  <c r="D236" i="8"/>
  <c r="E236" i="8"/>
  <c r="A237" i="8"/>
  <c r="B237" i="8"/>
  <c r="C237" i="8"/>
  <c r="D237" i="8"/>
  <c r="E237" i="8"/>
  <c r="A238" i="8"/>
  <c r="B238" i="8"/>
  <c r="C238" i="8"/>
  <c r="D238" i="8"/>
  <c r="E238" i="8"/>
  <c r="A239" i="8"/>
  <c r="B239" i="8"/>
  <c r="C239" i="8"/>
  <c r="D239" i="8"/>
  <c r="E239" i="8"/>
  <c r="A240" i="8"/>
  <c r="B240" i="8"/>
  <c r="C240" i="8"/>
  <c r="D240" i="8"/>
  <c r="E240" i="8"/>
  <c r="A241" i="8"/>
  <c r="B241" i="8"/>
  <c r="C241" i="8"/>
  <c r="D241" i="8"/>
  <c r="E241" i="8"/>
  <c r="A242" i="8"/>
  <c r="B242" i="8"/>
  <c r="C242" i="8"/>
  <c r="D242" i="8"/>
  <c r="E242" i="8"/>
  <c r="A243" i="8"/>
  <c r="B243" i="8"/>
  <c r="C243" i="8"/>
  <c r="D243" i="8"/>
  <c r="E243" i="8" s="1"/>
  <c r="A244" i="8"/>
  <c r="B244" i="8"/>
  <c r="C244" i="8"/>
  <c r="D244" i="8"/>
  <c r="E244" i="8"/>
  <c r="A245" i="8"/>
  <c r="B245" i="8"/>
  <c r="C245" i="8"/>
  <c r="D245" i="8"/>
  <c r="E245" i="8"/>
  <c r="A246" i="8"/>
  <c r="B246" i="8"/>
  <c r="C246" i="8"/>
  <c r="D246" i="8"/>
  <c r="E246" i="8"/>
  <c r="A247" i="8"/>
  <c r="B247" i="8"/>
  <c r="C247" i="8"/>
  <c r="D247" i="8"/>
  <c r="E247" i="8"/>
  <c r="A248" i="8"/>
  <c r="B248" i="8"/>
  <c r="C248" i="8"/>
  <c r="D248" i="8"/>
  <c r="E248" i="8"/>
  <c r="A249" i="8"/>
  <c r="B249" i="8"/>
  <c r="C249" i="8"/>
  <c r="D249" i="8"/>
  <c r="E249" i="8"/>
  <c r="A250" i="8"/>
  <c r="B250" i="8"/>
  <c r="C250" i="8"/>
  <c r="D250" i="8"/>
  <c r="E250" i="8"/>
  <c r="A251" i="8"/>
  <c r="B251" i="8"/>
  <c r="C251" i="8"/>
  <c r="D251" i="8"/>
  <c r="E251" i="8"/>
  <c r="A252" i="8"/>
  <c r="B252" i="8"/>
  <c r="C252" i="8"/>
  <c r="D252" i="8"/>
  <c r="E252" i="8"/>
  <c r="A219" i="7"/>
  <c r="B219" i="7"/>
  <c r="C219" i="7"/>
  <c r="G219" i="7"/>
  <c r="H219" i="7"/>
  <c r="I219" i="7"/>
  <c r="K219" i="7"/>
  <c r="L219" i="7"/>
  <c r="M219" i="7"/>
  <c r="O219" i="7"/>
  <c r="P219" i="7"/>
  <c r="Q219" i="7"/>
  <c r="A220" i="7"/>
  <c r="B220" i="7"/>
  <c r="C220" i="7"/>
  <c r="G220" i="7"/>
  <c r="H220" i="7"/>
  <c r="I220" i="7"/>
  <c r="K220" i="7"/>
  <c r="L220" i="7"/>
  <c r="M220" i="7"/>
  <c r="O220" i="7"/>
  <c r="P220" i="7"/>
  <c r="Q220" i="7"/>
  <c r="A221" i="7"/>
  <c r="B221" i="7"/>
  <c r="C221" i="7"/>
  <c r="G221" i="7"/>
  <c r="H221" i="7"/>
  <c r="I221" i="7"/>
  <c r="K221" i="7"/>
  <c r="L221" i="7"/>
  <c r="M221" i="7"/>
  <c r="O221" i="7"/>
  <c r="P221" i="7"/>
  <c r="Q221" i="7"/>
  <c r="A222" i="7"/>
  <c r="B222" i="7"/>
  <c r="C222" i="7"/>
  <c r="G222" i="7"/>
  <c r="H222" i="7"/>
  <c r="I222" i="7"/>
  <c r="K222" i="7"/>
  <c r="L222" i="7"/>
  <c r="M222" i="7"/>
  <c r="O222" i="7"/>
  <c r="P222" i="7"/>
  <c r="Q222" i="7"/>
  <c r="A223" i="7"/>
  <c r="B223" i="7"/>
  <c r="C223" i="7"/>
  <c r="G223" i="7"/>
  <c r="H223" i="7"/>
  <c r="I223" i="7"/>
  <c r="K223" i="7"/>
  <c r="L223" i="7"/>
  <c r="M223" i="7"/>
  <c r="O223" i="7"/>
  <c r="P223" i="7"/>
  <c r="Q223" i="7"/>
  <c r="A224" i="7"/>
  <c r="B224" i="7"/>
  <c r="C224" i="7"/>
  <c r="G224" i="7"/>
  <c r="H224" i="7"/>
  <c r="I224" i="7"/>
  <c r="K224" i="7"/>
  <c r="L224" i="7"/>
  <c r="M224" i="7"/>
  <c r="O224" i="7"/>
  <c r="P224" i="7"/>
  <c r="Q224" i="7"/>
  <c r="A225" i="7"/>
  <c r="B225" i="7"/>
  <c r="C225" i="7"/>
  <c r="G225" i="7"/>
  <c r="H225" i="7"/>
  <c r="I225" i="7"/>
  <c r="K225" i="7"/>
  <c r="L225" i="7"/>
  <c r="M225" i="7"/>
  <c r="O225" i="7"/>
  <c r="P225" i="7"/>
  <c r="Q225" i="7"/>
  <c r="A226" i="7"/>
  <c r="B226" i="7"/>
  <c r="C226" i="7"/>
  <c r="G226" i="7"/>
  <c r="H226" i="7"/>
  <c r="I226" i="7"/>
  <c r="K226" i="7"/>
  <c r="L226" i="7"/>
  <c r="M226" i="7"/>
  <c r="O226" i="7"/>
  <c r="P226" i="7"/>
  <c r="Q226" i="7"/>
  <c r="A227" i="7"/>
  <c r="B227" i="7"/>
  <c r="C227" i="7"/>
  <c r="G227" i="7"/>
  <c r="H227" i="7"/>
  <c r="I227" i="7"/>
  <c r="K227" i="7"/>
  <c r="L227" i="7"/>
  <c r="M227" i="7"/>
  <c r="O227" i="7"/>
  <c r="P227" i="7"/>
  <c r="Q227" i="7"/>
  <c r="A228" i="7"/>
  <c r="B228" i="7"/>
  <c r="C228" i="7"/>
  <c r="G228" i="7"/>
  <c r="H228" i="7"/>
  <c r="I228" i="7"/>
  <c r="K228" i="7"/>
  <c r="L228" i="7"/>
  <c r="M228" i="7"/>
  <c r="O228" i="7"/>
  <c r="P228" i="7"/>
  <c r="Q228" i="7"/>
  <c r="A229" i="7"/>
  <c r="B229" i="7"/>
  <c r="C229" i="7"/>
  <c r="G229" i="7"/>
  <c r="H229" i="7"/>
  <c r="I229" i="7"/>
  <c r="K229" i="7"/>
  <c r="L229" i="7"/>
  <c r="M229" i="7"/>
  <c r="O229" i="7"/>
  <c r="P229" i="7"/>
  <c r="Q229" i="7"/>
  <c r="A230" i="7"/>
  <c r="B230" i="7"/>
  <c r="C230" i="7"/>
  <c r="G230" i="7"/>
  <c r="H230" i="7"/>
  <c r="I230" i="7"/>
  <c r="K230" i="7"/>
  <c r="L230" i="7"/>
  <c r="M230" i="7"/>
  <c r="O230" i="7"/>
  <c r="P230" i="7"/>
  <c r="Q230" i="7"/>
  <c r="A231" i="7"/>
  <c r="B231" i="7"/>
  <c r="C231" i="7"/>
  <c r="G231" i="7"/>
  <c r="H231" i="7"/>
  <c r="I231" i="7"/>
  <c r="K231" i="7"/>
  <c r="L231" i="7"/>
  <c r="M231" i="7"/>
  <c r="O231" i="7"/>
  <c r="P231" i="7"/>
  <c r="Q231" i="7"/>
  <c r="A232" i="7"/>
  <c r="B232" i="7"/>
  <c r="C232" i="7"/>
  <c r="G232" i="7"/>
  <c r="H232" i="7"/>
  <c r="I232" i="7"/>
  <c r="K232" i="7"/>
  <c r="L232" i="7"/>
  <c r="M232" i="7"/>
  <c r="O232" i="7"/>
  <c r="P232" i="7"/>
  <c r="Q232" i="7"/>
  <c r="A233" i="7"/>
  <c r="B233" i="7"/>
  <c r="C233" i="7"/>
  <c r="G233" i="7"/>
  <c r="H233" i="7"/>
  <c r="I233" i="7"/>
  <c r="K233" i="7"/>
  <c r="L233" i="7"/>
  <c r="M233" i="7"/>
  <c r="O233" i="7"/>
  <c r="P233" i="7"/>
  <c r="Q233" i="7"/>
  <c r="A234" i="7"/>
  <c r="B234" i="7"/>
  <c r="C234" i="7"/>
  <c r="G234" i="7"/>
  <c r="H234" i="7"/>
  <c r="I234" i="7"/>
  <c r="K234" i="7"/>
  <c r="L234" i="7"/>
  <c r="M234" i="7"/>
  <c r="O234" i="7"/>
  <c r="P234" i="7"/>
  <c r="Q234" i="7"/>
  <c r="A235" i="7"/>
  <c r="B235" i="7"/>
  <c r="C235" i="7"/>
  <c r="G235" i="7"/>
  <c r="H235" i="7"/>
  <c r="I235" i="7"/>
  <c r="K235" i="7"/>
  <c r="L235" i="7"/>
  <c r="M235" i="7"/>
  <c r="O235" i="7"/>
  <c r="P235" i="7"/>
  <c r="Q235" i="7"/>
  <c r="A236" i="7"/>
  <c r="B236" i="7"/>
  <c r="C236" i="7"/>
  <c r="G236" i="7"/>
  <c r="H236" i="7"/>
  <c r="I236" i="7"/>
  <c r="K236" i="7"/>
  <c r="L236" i="7"/>
  <c r="M236" i="7"/>
  <c r="O236" i="7"/>
  <c r="P236" i="7"/>
  <c r="Q236" i="7"/>
  <c r="A237" i="7"/>
  <c r="B237" i="7"/>
  <c r="C237" i="7"/>
  <c r="G237" i="7"/>
  <c r="H237" i="7"/>
  <c r="I237" i="7"/>
  <c r="K237" i="7"/>
  <c r="L237" i="7"/>
  <c r="M237" i="7"/>
  <c r="O237" i="7"/>
  <c r="P237" i="7"/>
  <c r="Q237" i="7"/>
  <c r="A238" i="7"/>
  <c r="B238" i="7"/>
  <c r="C238" i="7"/>
  <c r="G238" i="7"/>
  <c r="H238" i="7"/>
  <c r="I238" i="7"/>
  <c r="K238" i="7"/>
  <c r="L238" i="7"/>
  <c r="M238" i="7"/>
  <c r="O238" i="7"/>
  <c r="P238" i="7"/>
  <c r="Q238" i="7"/>
  <c r="A239" i="7"/>
  <c r="B239" i="7"/>
  <c r="C239" i="7"/>
  <c r="G239" i="7"/>
  <c r="H239" i="7"/>
  <c r="I239" i="7"/>
  <c r="K239" i="7"/>
  <c r="L239" i="7"/>
  <c r="M239" i="7"/>
  <c r="O239" i="7"/>
  <c r="P239" i="7"/>
  <c r="Q239" i="7"/>
  <c r="A240" i="7"/>
  <c r="B240" i="7"/>
  <c r="C240" i="7"/>
  <c r="G240" i="7"/>
  <c r="H240" i="7"/>
  <c r="I240" i="7"/>
  <c r="K240" i="7"/>
  <c r="L240" i="7"/>
  <c r="M240" i="7"/>
  <c r="O240" i="7"/>
  <c r="P240" i="7"/>
  <c r="Q240" i="7"/>
  <c r="A241" i="7"/>
  <c r="B241" i="7"/>
  <c r="C241" i="7"/>
  <c r="G241" i="7"/>
  <c r="H241" i="7"/>
  <c r="I241" i="7"/>
  <c r="K241" i="7"/>
  <c r="L241" i="7"/>
  <c r="M241" i="7"/>
  <c r="O241" i="7"/>
  <c r="P241" i="7"/>
  <c r="Q241" i="7"/>
  <c r="A242" i="7"/>
  <c r="B242" i="7"/>
  <c r="C242" i="7"/>
  <c r="G242" i="7"/>
  <c r="H242" i="7"/>
  <c r="I242" i="7"/>
  <c r="K242" i="7"/>
  <c r="L242" i="7"/>
  <c r="M242" i="7"/>
  <c r="O242" i="7"/>
  <c r="P242" i="7"/>
  <c r="Q242" i="7"/>
  <c r="A243" i="7"/>
  <c r="B243" i="7"/>
  <c r="C243" i="7"/>
  <c r="G243" i="7"/>
  <c r="H243" i="7"/>
  <c r="I243" i="7"/>
  <c r="K243" i="7"/>
  <c r="L243" i="7"/>
  <c r="M243" i="7"/>
  <c r="O243" i="7"/>
  <c r="P243" i="7"/>
  <c r="Q243" i="7"/>
  <c r="A244" i="7"/>
  <c r="B244" i="7"/>
  <c r="C244" i="7"/>
  <c r="G244" i="7"/>
  <c r="H244" i="7"/>
  <c r="I244" i="7"/>
  <c r="K244" i="7"/>
  <c r="L244" i="7"/>
  <c r="M244" i="7"/>
  <c r="O244" i="7"/>
  <c r="P244" i="7"/>
  <c r="Q244" i="7"/>
  <c r="A245" i="7"/>
  <c r="B245" i="7"/>
  <c r="C245" i="7"/>
  <c r="G245" i="7"/>
  <c r="H245" i="7"/>
  <c r="I245" i="7"/>
  <c r="K245" i="7"/>
  <c r="L245" i="7"/>
  <c r="M245" i="7"/>
  <c r="O245" i="7"/>
  <c r="P245" i="7"/>
  <c r="Q245" i="7"/>
  <c r="A246" i="7"/>
  <c r="B246" i="7"/>
  <c r="C246" i="7"/>
  <c r="G246" i="7"/>
  <c r="H246" i="7"/>
  <c r="I246" i="7"/>
  <c r="K246" i="7"/>
  <c r="L246" i="7"/>
  <c r="M246" i="7"/>
  <c r="O246" i="7"/>
  <c r="P246" i="7"/>
  <c r="Q246" i="7"/>
  <c r="A247" i="7"/>
  <c r="B247" i="7"/>
  <c r="C247" i="7"/>
  <c r="G247" i="7"/>
  <c r="H247" i="7"/>
  <c r="I247" i="7"/>
  <c r="K247" i="7"/>
  <c r="L247" i="7"/>
  <c r="M247" i="7"/>
  <c r="O247" i="7"/>
  <c r="P247" i="7"/>
  <c r="Q247" i="7"/>
  <c r="A248" i="7"/>
  <c r="B248" i="7"/>
  <c r="C248" i="7"/>
  <c r="G248" i="7"/>
  <c r="H248" i="7"/>
  <c r="I248" i="7"/>
  <c r="K248" i="7"/>
  <c r="L248" i="7"/>
  <c r="M248" i="7"/>
  <c r="O248" i="7"/>
  <c r="P248" i="7"/>
  <c r="Q248" i="7"/>
  <c r="A249" i="7"/>
  <c r="B249" i="7"/>
  <c r="C249" i="7"/>
  <c r="G249" i="7"/>
  <c r="H249" i="7"/>
  <c r="I249" i="7"/>
  <c r="K249" i="7"/>
  <c r="L249" i="7"/>
  <c r="M249" i="7"/>
  <c r="O249" i="7"/>
  <c r="P249" i="7"/>
  <c r="Q249" i="7"/>
  <c r="A250" i="7"/>
  <c r="B250" i="7"/>
  <c r="C250" i="7"/>
  <c r="G250" i="7"/>
  <c r="H250" i="7"/>
  <c r="I250" i="7"/>
  <c r="K250" i="7"/>
  <c r="L250" i="7"/>
  <c r="M250" i="7"/>
  <c r="O250" i="7"/>
  <c r="P250" i="7"/>
  <c r="Q250" i="7"/>
  <c r="A251" i="7"/>
  <c r="B251" i="7"/>
  <c r="C251" i="7"/>
  <c r="G251" i="7"/>
  <c r="H251" i="7"/>
  <c r="I251" i="7"/>
  <c r="K251" i="7"/>
  <c r="L251" i="7"/>
  <c r="M251" i="7"/>
  <c r="O251" i="7"/>
  <c r="P251" i="7"/>
  <c r="Q251" i="7"/>
  <c r="A252" i="7"/>
  <c r="B252" i="7"/>
  <c r="C252" i="7"/>
  <c r="G252" i="7"/>
  <c r="H252" i="7"/>
  <c r="I252" i="7"/>
  <c r="K252" i="7"/>
  <c r="L252" i="7"/>
  <c r="M252" i="7"/>
  <c r="O252" i="7"/>
  <c r="P252" i="7"/>
  <c r="Q252" i="7"/>
  <c r="A253" i="7"/>
  <c r="B253" i="7"/>
  <c r="C253" i="7"/>
  <c r="G253" i="7"/>
  <c r="H253" i="7"/>
  <c r="I253" i="7"/>
  <c r="K253" i="7"/>
  <c r="L253" i="7"/>
  <c r="M253" i="7"/>
  <c r="O253" i="7"/>
  <c r="P253" i="7"/>
  <c r="Q253" i="7"/>
  <c r="A254" i="7"/>
  <c r="B254" i="7"/>
  <c r="C254" i="7"/>
  <c r="G254" i="7"/>
  <c r="H254" i="7"/>
  <c r="I254" i="7"/>
  <c r="K254" i="7"/>
  <c r="L254" i="7"/>
  <c r="M254" i="7"/>
  <c r="O254" i="7"/>
  <c r="P254" i="7"/>
  <c r="Q254" i="7"/>
  <c r="A255" i="7"/>
  <c r="B255" i="7"/>
  <c r="C255" i="7"/>
  <c r="G255" i="7"/>
  <c r="H255" i="7"/>
  <c r="I255" i="7"/>
  <c r="K255" i="7"/>
  <c r="L255" i="7"/>
  <c r="M255" i="7"/>
  <c r="O255" i="7"/>
  <c r="P255" i="7"/>
  <c r="Q255" i="7"/>
  <c r="A256" i="7"/>
  <c r="B256" i="7"/>
  <c r="C256" i="7"/>
  <c r="G256" i="7"/>
  <c r="H256" i="7"/>
  <c r="I256" i="7"/>
  <c r="K256" i="7"/>
  <c r="L256" i="7"/>
  <c r="M256" i="7"/>
  <c r="O256" i="7"/>
  <c r="P256" i="7"/>
  <c r="Q256" i="7"/>
  <c r="A215" i="6"/>
  <c r="B215" i="6"/>
  <c r="C215" i="6"/>
  <c r="D215" i="6"/>
  <c r="E215" i="6"/>
  <c r="A216" i="6"/>
  <c r="B216" i="6"/>
  <c r="C216" i="6"/>
  <c r="D216" i="6"/>
  <c r="E216" i="6"/>
  <c r="A217" i="6"/>
  <c r="B217" i="6"/>
  <c r="C217" i="6"/>
  <c r="D217" i="6"/>
  <c r="E217" i="6"/>
  <c r="A218" i="6"/>
  <c r="B218" i="6"/>
  <c r="C218" i="6"/>
  <c r="D218" i="6"/>
  <c r="E218" i="6"/>
  <c r="A219" i="6"/>
  <c r="B219" i="6"/>
  <c r="C219" i="6"/>
  <c r="D219" i="6"/>
  <c r="E219" i="6"/>
  <c r="A220" i="6"/>
  <c r="B220" i="6"/>
  <c r="C220" i="6"/>
  <c r="D220" i="6"/>
  <c r="E220" i="6" s="1"/>
  <c r="A221" i="6"/>
  <c r="B221" i="6"/>
  <c r="C221" i="6"/>
  <c r="D221" i="6"/>
  <c r="E221" i="6"/>
  <c r="A222" i="6"/>
  <c r="B222" i="6"/>
  <c r="C222" i="6"/>
  <c r="D222" i="6"/>
  <c r="E222" i="6" s="1"/>
  <c r="A223" i="6"/>
  <c r="B223" i="6"/>
  <c r="C223" i="6"/>
  <c r="D223" i="6"/>
  <c r="E223" i="6"/>
  <c r="A224" i="6"/>
  <c r="B224" i="6"/>
  <c r="C224" i="6"/>
  <c r="D224" i="6"/>
  <c r="E224" i="6" s="1"/>
  <c r="A225" i="6"/>
  <c r="B225" i="6"/>
  <c r="C225" i="6"/>
  <c r="D225" i="6"/>
  <c r="E225" i="6"/>
  <c r="A226" i="6"/>
  <c r="B226" i="6"/>
  <c r="C226" i="6"/>
  <c r="D226" i="6"/>
  <c r="E226" i="6"/>
  <c r="A227" i="6"/>
  <c r="B227" i="6"/>
  <c r="C227" i="6"/>
  <c r="D227" i="6"/>
  <c r="E227" i="6" s="1"/>
  <c r="A228" i="6"/>
  <c r="B228" i="6"/>
  <c r="C228" i="6"/>
  <c r="D228" i="6"/>
  <c r="E228" i="6"/>
  <c r="A229" i="6"/>
  <c r="B229" i="6"/>
  <c r="C229" i="6"/>
  <c r="D229" i="6"/>
  <c r="E229" i="6" s="1"/>
  <c r="A230" i="6"/>
  <c r="B230" i="6"/>
  <c r="C230" i="6"/>
  <c r="D230" i="6"/>
  <c r="E230" i="6"/>
  <c r="A231" i="6"/>
  <c r="B231" i="6"/>
  <c r="C231" i="6"/>
  <c r="D231" i="6"/>
  <c r="E231" i="6"/>
  <c r="A232" i="6"/>
  <c r="B232" i="6"/>
  <c r="C232" i="6"/>
  <c r="D232" i="6"/>
  <c r="E232" i="6"/>
  <c r="A233" i="6"/>
  <c r="B233" i="6"/>
  <c r="C233" i="6"/>
  <c r="D233" i="6"/>
  <c r="E233" i="6"/>
  <c r="A234" i="6"/>
  <c r="B234" i="6"/>
  <c r="C234" i="6"/>
  <c r="D234" i="6"/>
  <c r="E234" i="6" s="1"/>
  <c r="A235" i="6"/>
  <c r="B235" i="6"/>
  <c r="C235" i="6"/>
  <c r="D235" i="6"/>
  <c r="E235" i="6"/>
  <c r="A236" i="6"/>
  <c r="B236" i="6"/>
  <c r="C236" i="6"/>
  <c r="D236" i="6"/>
  <c r="E236" i="6"/>
  <c r="A237" i="6"/>
  <c r="B237" i="6"/>
  <c r="C237" i="6"/>
  <c r="D237" i="6"/>
  <c r="E237" i="6"/>
  <c r="A238" i="6"/>
  <c r="B238" i="6"/>
  <c r="C238" i="6"/>
  <c r="D238" i="6"/>
  <c r="E238" i="6" s="1"/>
  <c r="A239" i="6"/>
  <c r="B239" i="6"/>
  <c r="C239" i="6"/>
  <c r="D239" i="6"/>
  <c r="E239" i="6"/>
  <c r="A240" i="6"/>
  <c r="B240" i="6"/>
  <c r="C240" i="6"/>
  <c r="D240" i="6"/>
  <c r="E240" i="6" s="1"/>
  <c r="A241" i="6"/>
  <c r="B241" i="6"/>
  <c r="C241" i="6"/>
  <c r="D241" i="6"/>
  <c r="E241" i="6"/>
  <c r="A242" i="6"/>
  <c r="B242" i="6"/>
  <c r="C242" i="6"/>
  <c r="D242" i="6"/>
  <c r="E242" i="6"/>
  <c r="A243" i="6"/>
  <c r="B243" i="6"/>
  <c r="C243" i="6"/>
  <c r="D243" i="6"/>
  <c r="E243" i="6" s="1"/>
  <c r="A244" i="6"/>
  <c r="B244" i="6"/>
  <c r="C244" i="6"/>
  <c r="D244" i="6"/>
  <c r="E244" i="6"/>
  <c r="A245" i="6"/>
  <c r="B245" i="6"/>
  <c r="C245" i="6"/>
  <c r="D245" i="6"/>
  <c r="E245" i="6"/>
  <c r="A246" i="6"/>
  <c r="B246" i="6"/>
  <c r="C246" i="6"/>
  <c r="D246" i="6"/>
  <c r="E246" i="6"/>
  <c r="A247" i="6"/>
  <c r="B247" i="6"/>
  <c r="C247" i="6"/>
  <c r="D247" i="6"/>
  <c r="E247" i="6"/>
  <c r="A248" i="6"/>
  <c r="B248" i="6"/>
  <c r="C248" i="6"/>
  <c r="D248" i="6"/>
  <c r="E248" i="6"/>
  <c r="A249" i="6"/>
  <c r="B249" i="6"/>
  <c r="C249" i="6"/>
  <c r="D249" i="6"/>
  <c r="E249" i="6"/>
  <c r="A250" i="6"/>
  <c r="B250" i="6"/>
  <c r="C250" i="6"/>
  <c r="D250" i="6"/>
  <c r="E250" i="6" s="1"/>
  <c r="A251" i="6"/>
  <c r="B251" i="6"/>
  <c r="C251" i="6"/>
  <c r="D251" i="6"/>
  <c r="E251" i="6"/>
  <c r="A252" i="6"/>
  <c r="B252" i="6"/>
  <c r="C252" i="6"/>
  <c r="D252" i="6"/>
  <c r="E252" i="6" s="1"/>
  <c r="B219" i="5"/>
  <c r="C219" i="5"/>
  <c r="E219" i="5"/>
  <c r="F219" i="5"/>
  <c r="G219" i="5"/>
  <c r="I219" i="5"/>
  <c r="J219" i="5"/>
  <c r="K219" i="5"/>
  <c r="M219" i="5"/>
  <c r="N219" i="5"/>
  <c r="O219" i="5"/>
  <c r="B220" i="5"/>
  <c r="C220" i="5"/>
  <c r="E220" i="5"/>
  <c r="F220" i="5"/>
  <c r="G220" i="5"/>
  <c r="I220" i="5"/>
  <c r="J220" i="5"/>
  <c r="K220" i="5"/>
  <c r="M220" i="5"/>
  <c r="N220" i="5"/>
  <c r="O220" i="5"/>
  <c r="B221" i="5"/>
  <c r="C221" i="5"/>
  <c r="E221" i="5"/>
  <c r="F221" i="5"/>
  <c r="G221" i="5"/>
  <c r="I221" i="5"/>
  <c r="J221" i="5"/>
  <c r="K221" i="5"/>
  <c r="M221" i="5"/>
  <c r="N221" i="5"/>
  <c r="O221" i="5"/>
  <c r="B222" i="5"/>
  <c r="C222" i="5"/>
  <c r="E222" i="5"/>
  <c r="F222" i="5"/>
  <c r="G222" i="5"/>
  <c r="I222" i="5"/>
  <c r="J222" i="5"/>
  <c r="K222" i="5"/>
  <c r="M222" i="5"/>
  <c r="N222" i="5"/>
  <c r="O222" i="5"/>
  <c r="B223" i="5"/>
  <c r="C223" i="5"/>
  <c r="E223" i="5"/>
  <c r="F223" i="5"/>
  <c r="G223" i="5"/>
  <c r="I223" i="5"/>
  <c r="J223" i="5"/>
  <c r="K223" i="5"/>
  <c r="M223" i="5"/>
  <c r="N223" i="5"/>
  <c r="O223" i="5"/>
  <c r="B224" i="5"/>
  <c r="C224" i="5"/>
  <c r="E224" i="5"/>
  <c r="F224" i="5"/>
  <c r="G224" i="5"/>
  <c r="I224" i="5"/>
  <c r="J224" i="5"/>
  <c r="K224" i="5"/>
  <c r="M224" i="5"/>
  <c r="N224" i="5"/>
  <c r="O224" i="5"/>
  <c r="B225" i="5"/>
  <c r="C225" i="5"/>
  <c r="E225" i="5"/>
  <c r="F225" i="5"/>
  <c r="G225" i="5"/>
  <c r="I225" i="5"/>
  <c r="J225" i="5"/>
  <c r="K225" i="5"/>
  <c r="M225" i="5"/>
  <c r="N225" i="5"/>
  <c r="O225" i="5"/>
  <c r="B226" i="5"/>
  <c r="C226" i="5"/>
  <c r="E226" i="5"/>
  <c r="F226" i="5"/>
  <c r="G226" i="5"/>
  <c r="I226" i="5"/>
  <c r="J226" i="5"/>
  <c r="K226" i="5"/>
  <c r="M226" i="5"/>
  <c r="N226" i="5"/>
  <c r="O226" i="5"/>
  <c r="B227" i="5"/>
  <c r="C227" i="5"/>
  <c r="E227" i="5"/>
  <c r="F227" i="5"/>
  <c r="G227" i="5"/>
  <c r="I227" i="5"/>
  <c r="J227" i="5"/>
  <c r="K227" i="5"/>
  <c r="M227" i="5"/>
  <c r="N227" i="5"/>
  <c r="O227" i="5"/>
  <c r="B228" i="5"/>
  <c r="C228" i="5"/>
  <c r="E228" i="5"/>
  <c r="F228" i="5"/>
  <c r="G228" i="5"/>
  <c r="I228" i="5"/>
  <c r="J228" i="5"/>
  <c r="K228" i="5"/>
  <c r="M228" i="5"/>
  <c r="N228" i="5"/>
  <c r="O228" i="5"/>
  <c r="B229" i="5"/>
  <c r="C229" i="5"/>
  <c r="E229" i="5"/>
  <c r="F229" i="5"/>
  <c r="G229" i="5"/>
  <c r="I229" i="5"/>
  <c r="J229" i="5"/>
  <c r="K229" i="5"/>
  <c r="M229" i="5"/>
  <c r="N229" i="5"/>
  <c r="O229" i="5"/>
  <c r="B230" i="5"/>
  <c r="C230" i="5"/>
  <c r="E230" i="5"/>
  <c r="F230" i="5"/>
  <c r="G230" i="5"/>
  <c r="I230" i="5"/>
  <c r="J230" i="5"/>
  <c r="K230" i="5"/>
  <c r="M230" i="5"/>
  <c r="N230" i="5"/>
  <c r="O230" i="5"/>
  <c r="B231" i="5"/>
  <c r="C231" i="5"/>
  <c r="E231" i="5"/>
  <c r="F231" i="5"/>
  <c r="G231" i="5"/>
  <c r="I231" i="5"/>
  <c r="J231" i="5"/>
  <c r="K231" i="5"/>
  <c r="M231" i="5"/>
  <c r="N231" i="5"/>
  <c r="O231" i="5"/>
  <c r="B232" i="5"/>
  <c r="C232" i="5"/>
  <c r="E232" i="5"/>
  <c r="F232" i="5"/>
  <c r="G232" i="5"/>
  <c r="I232" i="5"/>
  <c r="J232" i="5"/>
  <c r="K232" i="5"/>
  <c r="M232" i="5"/>
  <c r="N232" i="5"/>
  <c r="O232" i="5"/>
  <c r="B233" i="5"/>
  <c r="C233" i="5"/>
  <c r="E233" i="5"/>
  <c r="F233" i="5"/>
  <c r="G233" i="5"/>
  <c r="I233" i="5"/>
  <c r="J233" i="5"/>
  <c r="K233" i="5"/>
  <c r="M233" i="5"/>
  <c r="N233" i="5"/>
  <c r="O233" i="5"/>
  <c r="B234" i="5"/>
  <c r="C234" i="5"/>
  <c r="E234" i="5"/>
  <c r="F234" i="5"/>
  <c r="G234" i="5"/>
  <c r="I234" i="5"/>
  <c r="J234" i="5"/>
  <c r="K234" i="5"/>
  <c r="M234" i="5"/>
  <c r="N234" i="5"/>
  <c r="O234" i="5"/>
  <c r="B235" i="5"/>
  <c r="C235" i="5"/>
  <c r="E235" i="5"/>
  <c r="F235" i="5"/>
  <c r="G235" i="5"/>
  <c r="I235" i="5"/>
  <c r="J235" i="5"/>
  <c r="K235" i="5"/>
  <c r="M235" i="5"/>
  <c r="N235" i="5"/>
  <c r="O235" i="5"/>
  <c r="B236" i="5"/>
  <c r="C236" i="5"/>
  <c r="E236" i="5"/>
  <c r="F236" i="5"/>
  <c r="G236" i="5"/>
  <c r="I236" i="5"/>
  <c r="J236" i="5"/>
  <c r="K236" i="5"/>
  <c r="M236" i="5"/>
  <c r="N236" i="5"/>
  <c r="O236" i="5"/>
  <c r="B237" i="5"/>
  <c r="C237" i="5"/>
  <c r="E237" i="5"/>
  <c r="F237" i="5"/>
  <c r="G237" i="5"/>
  <c r="I237" i="5"/>
  <c r="J237" i="5"/>
  <c r="K237" i="5"/>
  <c r="M237" i="5"/>
  <c r="N237" i="5"/>
  <c r="O237" i="5"/>
  <c r="B238" i="5"/>
  <c r="C238" i="5"/>
  <c r="E238" i="5"/>
  <c r="F238" i="5"/>
  <c r="G238" i="5"/>
  <c r="I238" i="5"/>
  <c r="J238" i="5"/>
  <c r="K238" i="5"/>
  <c r="M238" i="5"/>
  <c r="N238" i="5"/>
  <c r="O238" i="5"/>
  <c r="B239" i="5"/>
  <c r="C239" i="5"/>
  <c r="E239" i="5"/>
  <c r="F239" i="5"/>
  <c r="G239" i="5"/>
  <c r="I239" i="5"/>
  <c r="J239" i="5"/>
  <c r="K239" i="5"/>
  <c r="M239" i="5"/>
  <c r="N239" i="5"/>
  <c r="O239" i="5"/>
  <c r="B240" i="5"/>
  <c r="C240" i="5"/>
  <c r="E240" i="5"/>
  <c r="F240" i="5"/>
  <c r="G240" i="5"/>
  <c r="I240" i="5"/>
  <c r="J240" i="5"/>
  <c r="K240" i="5"/>
  <c r="M240" i="5"/>
  <c r="N240" i="5"/>
  <c r="O240" i="5"/>
  <c r="B241" i="5"/>
  <c r="C241" i="5"/>
  <c r="E241" i="5"/>
  <c r="F241" i="5"/>
  <c r="G241" i="5"/>
  <c r="I241" i="5"/>
  <c r="J241" i="5"/>
  <c r="K241" i="5"/>
  <c r="M241" i="5"/>
  <c r="N241" i="5"/>
  <c r="O241" i="5"/>
  <c r="B242" i="5"/>
  <c r="C242" i="5"/>
  <c r="E242" i="5"/>
  <c r="F242" i="5"/>
  <c r="G242" i="5"/>
  <c r="I242" i="5"/>
  <c r="J242" i="5"/>
  <c r="K242" i="5"/>
  <c r="M242" i="5"/>
  <c r="N242" i="5"/>
  <c r="O242" i="5"/>
  <c r="B243" i="5"/>
  <c r="C243" i="5"/>
  <c r="E243" i="5"/>
  <c r="F243" i="5"/>
  <c r="G243" i="5"/>
  <c r="I243" i="5"/>
  <c r="J243" i="5"/>
  <c r="K243" i="5"/>
  <c r="M243" i="5"/>
  <c r="N243" i="5"/>
  <c r="O243" i="5"/>
  <c r="B244" i="5"/>
  <c r="C244" i="5"/>
  <c r="E244" i="5"/>
  <c r="F244" i="5"/>
  <c r="G244" i="5"/>
  <c r="I244" i="5"/>
  <c r="J244" i="5"/>
  <c r="K244" i="5"/>
  <c r="M244" i="5"/>
  <c r="N244" i="5"/>
  <c r="O244" i="5"/>
  <c r="B245" i="5"/>
  <c r="C245" i="5"/>
  <c r="E245" i="5"/>
  <c r="F245" i="5"/>
  <c r="G245" i="5"/>
  <c r="I245" i="5"/>
  <c r="J245" i="5"/>
  <c r="K245" i="5"/>
  <c r="M245" i="5"/>
  <c r="N245" i="5"/>
  <c r="O245" i="5"/>
  <c r="B246" i="5"/>
  <c r="C246" i="5"/>
  <c r="E246" i="5"/>
  <c r="F246" i="5"/>
  <c r="G246" i="5"/>
  <c r="I246" i="5"/>
  <c r="J246" i="5"/>
  <c r="K246" i="5"/>
  <c r="M246" i="5"/>
  <c r="N246" i="5"/>
  <c r="O246" i="5"/>
  <c r="B247" i="5"/>
  <c r="C247" i="5"/>
  <c r="E247" i="5"/>
  <c r="F247" i="5"/>
  <c r="G247" i="5"/>
  <c r="I247" i="5"/>
  <c r="J247" i="5"/>
  <c r="K247" i="5"/>
  <c r="M247" i="5"/>
  <c r="N247" i="5"/>
  <c r="O247" i="5"/>
  <c r="B248" i="5"/>
  <c r="C248" i="5"/>
  <c r="E248" i="5"/>
  <c r="F248" i="5"/>
  <c r="G248" i="5"/>
  <c r="I248" i="5"/>
  <c r="J248" i="5"/>
  <c r="K248" i="5"/>
  <c r="M248" i="5"/>
  <c r="N248" i="5"/>
  <c r="O248" i="5"/>
  <c r="B249" i="5"/>
  <c r="C249" i="5"/>
  <c r="E249" i="5"/>
  <c r="F249" i="5"/>
  <c r="G249" i="5"/>
  <c r="I249" i="5"/>
  <c r="J249" i="5"/>
  <c r="K249" i="5"/>
  <c r="M249" i="5"/>
  <c r="N249" i="5"/>
  <c r="O249" i="5"/>
  <c r="B250" i="5"/>
  <c r="C250" i="5"/>
  <c r="E250" i="5"/>
  <c r="F250" i="5"/>
  <c r="G250" i="5"/>
  <c r="I250" i="5"/>
  <c r="J250" i="5"/>
  <c r="K250" i="5"/>
  <c r="M250" i="5"/>
  <c r="N250" i="5"/>
  <c r="O250" i="5"/>
  <c r="B251" i="5"/>
  <c r="C251" i="5"/>
  <c r="E251" i="5"/>
  <c r="F251" i="5"/>
  <c r="G251" i="5"/>
  <c r="I251" i="5"/>
  <c r="J251" i="5"/>
  <c r="K251" i="5"/>
  <c r="M251" i="5"/>
  <c r="N251" i="5"/>
  <c r="O251" i="5"/>
  <c r="B252" i="5"/>
  <c r="C252" i="5"/>
  <c r="E252" i="5"/>
  <c r="F252" i="5"/>
  <c r="G252" i="5"/>
  <c r="I252" i="5"/>
  <c r="J252" i="5"/>
  <c r="K252" i="5"/>
  <c r="M252" i="5"/>
  <c r="N252" i="5"/>
  <c r="O252" i="5"/>
  <c r="B253" i="5"/>
  <c r="C253" i="5"/>
  <c r="E253" i="5"/>
  <c r="F253" i="5"/>
  <c r="G253" i="5"/>
  <c r="I253" i="5"/>
  <c r="J253" i="5"/>
  <c r="K253" i="5"/>
  <c r="M253" i="5"/>
  <c r="N253" i="5"/>
  <c r="O253" i="5"/>
  <c r="B254" i="5"/>
  <c r="C254" i="5"/>
  <c r="E254" i="5"/>
  <c r="F254" i="5"/>
  <c r="G254" i="5"/>
  <c r="I254" i="5"/>
  <c r="J254" i="5"/>
  <c r="K254" i="5"/>
  <c r="M254" i="5"/>
  <c r="N254" i="5"/>
  <c r="O254" i="5"/>
  <c r="B255" i="5"/>
  <c r="C255" i="5"/>
  <c r="E255" i="5"/>
  <c r="F255" i="5"/>
  <c r="G255" i="5"/>
  <c r="I255" i="5"/>
  <c r="J255" i="5"/>
  <c r="K255" i="5"/>
  <c r="M255" i="5"/>
  <c r="N255" i="5"/>
  <c r="O255" i="5"/>
  <c r="B256" i="5"/>
  <c r="C256" i="5"/>
  <c r="E256" i="5"/>
  <c r="F256" i="5"/>
  <c r="G256" i="5"/>
  <c r="I256" i="5"/>
  <c r="J256" i="5"/>
  <c r="K256" i="5"/>
  <c r="M256" i="5"/>
  <c r="N256" i="5"/>
  <c r="O256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H258" i="2"/>
  <c r="G258" i="2"/>
  <c r="F220" i="2"/>
  <c r="G220" i="2"/>
  <c r="H220" i="2"/>
  <c r="F221" i="2"/>
  <c r="G221" i="2"/>
  <c r="H221" i="2"/>
  <c r="F222" i="2"/>
  <c r="G222" i="2"/>
  <c r="H222" i="2"/>
  <c r="F223" i="2"/>
  <c r="G223" i="2"/>
  <c r="H223" i="2"/>
  <c r="F224" i="2"/>
  <c r="G224" i="2"/>
  <c r="H224" i="2"/>
  <c r="F225" i="2"/>
  <c r="G225" i="2"/>
  <c r="H225" i="2"/>
  <c r="F226" i="2"/>
  <c r="G226" i="2"/>
  <c r="H226" i="2"/>
  <c r="F227" i="2"/>
  <c r="G227" i="2"/>
  <c r="H227" i="2"/>
  <c r="F228" i="2"/>
  <c r="G228" i="2"/>
  <c r="H228" i="2"/>
  <c r="F229" i="2"/>
  <c r="G229" i="2"/>
  <c r="H229" i="2"/>
  <c r="F230" i="2"/>
  <c r="G230" i="2"/>
  <c r="H230" i="2"/>
  <c r="F231" i="2"/>
  <c r="G231" i="2"/>
  <c r="H231" i="2"/>
  <c r="F232" i="2"/>
  <c r="G232" i="2"/>
  <c r="H232" i="2"/>
  <c r="F233" i="2"/>
  <c r="G233" i="2"/>
  <c r="H233" i="2"/>
  <c r="F234" i="2"/>
  <c r="G234" i="2"/>
  <c r="H234" i="2"/>
  <c r="F235" i="2"/>
  <c r="G235" i="2"/>
  <c r="H235" i="2"/>
  <c r="F236" i="2"/>
  <c r="G236" i="2"/>
  <c r="H236" i="2"/>
  <c r="F237" i="2"/>
  <c r="G237" i="2"/>
  <c r="H237" i="2"/>
  <c r="F238" i="2"/>
  <c r="G238" i="2"/>
  <c r="H238" i="2"/>
  <c r="F239" i="2"/>
  <c r="G239" i="2"/>
  <c r="H239" i="2"/>
  <c r="F240" i="2"/>
  <c r="G240" i="2"/>
  <c r="H240" i="2"/>
  <c r="F241" i="2"/>
  <c r="G241" i="2"/>
  <c r="H241" i="2"/>
  <c r="F242" i="2"/>
  <c r="G242" i="2"/>
  <c r="H242" i="2"/>
  <c r="F243" i="2"/>
  <c r="G243" i="2"/>
  <c r="H243" i="2"/>
  <c r="F244" i="2"/>
  <c r="G244" i="2"/>
  <c r="H244" i="2"/>
  <c r="F245" i="2"/>
  <c r="G245" i="2"/>
  <c r="H245" i="2"/>
  <c r="F246" i="2"/>
  <c r="G246" i="2"/>
  <c r="H246" i="2"/>
  <c r="F247" i="2"/>
  <c r="G247" i="2"/>
  <c r="H247" i="2"/>
  <c r="F248" i="2"/>
  <c r="G248" i="2"/>
  <c r="H248" i="2"/>
  <c r="F249" i="2"/>
  <c r="G249" i="2"/>
  <c r="H249" i="2"/>
  <c r="F250" i="2"/>
  <c r="G250" i="2"/>
  <c r="H250" i="2"/>
  <c r="F251" i="2"/>
  <c r="G251" i="2"/>
  <c r="H251" i="2"/>
  <c r="F252" i="2"/>
  <c r="G252" i="2"/>
  <c r="H252" i="2"/>
  <c r="F253" i="2"/>
  <c r="G253" i="2"/>
  <c r="H253" i="2"/>
  <c r="F254" i="2"/>
  <c r="G254" i="2"/>
  <c r="H254" i="2"/>
  <c r="F255" i="2"/>
  <c r="G255" i="2"/>
  <c r="H255" i="2"/>
  <c r="F256" i="2"/>
  <c r="G256" i="2"/>
  <c r="H256" i="2"/>
  <c r="F257" i="2"/>
  <c r="G257" i="2"/>
  <c r="H257" i="2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A3" i="5"/>
  <c r="A1" i="5"/>
  <c r="D186" i="9"/>
  <c r="E186" i="9"/>
  <c r="F186" i="9"/>
  <c r="G186" i="9"/>
  <c r="H186" i="9"/>
  <c r="D187" i="9"/>
  <c r="E187" i="9"/>
  <c r="F187" i="9"/>
  <c r="G187" i="9"/>
  <c r="H187" i="9"/>
  <c r="D188" i="9"/>
  <c r="E188" i="9"/>
  <c r="F188" i="9"/>
  <c r="G188" i="9"/>
  <c r="H188" i="9"/>
  <c r="D189" i="9"/>
  <c r="E189" i="9"/>
  <c r="F189" i="9"/>
  <c r="G189" i="9"/>
  <c r="H189" i="9"/>
  <c r="D190" i="9"/>
  <c r="E190" i="9"/>
  <c r="F190" i="9"/>
  <c r="G190" i="9"/>
  <c r="H190" i="9"/>
  <c r="D191" i="9"/>
  <c r="E191" i="9"/>
  <c r="F191" i="9"/>
  <c r="G191" i="9"/>
  <c r="H191" i="9"/>
  <c r="D192" i="9"/>
  <c r="E192" i="9"/>
  <c r="F192" i="9"/>
  <c r="G192" i="9"/>
  <c r="H192" i="9"/>
  <c r="D193" i="9"/>
  <c r="E193" i="9"/>
  <c r="F193" i="9"/>
  <c r="G193" i="9"/>
  <c r="H193" i="9"/>
  <c r="D194" i="9"/>
  <c r="E194" i="9"/>
  <c r="F194" i="9"/>
  <c r="G194" i="9"/>
  <c r="H194" i="9"/>
  <c r="D195" i="9"/>
  <c r="E195" i="9"/>
  <c r="F195" i="9"/>
  <c r="G195" i="9"/>
  <c r="H195" i="9"/>
  <c r="D196" i="9"/>
  <c r="E196" i="9"/>
  <c r="F196" i="9"/>
  <c r="G196" i="9"/>
  <c r="H196" i="9"/>
  <c r="D197" i="9"/>
  <c r="E197" i="9"/>
  <c r="F197" i="9"/>
  <c r="G197" i="9"/>
  <c r="H197" i="9"/>
  <c r="D198" i="9"/>
  <c r="E198" i="9"/>
  <c r="F198" i="9"/>
  <c r="G198" i="9"/>
  <c r="H198" i="9"/>
  <c r="D199" i="9"/>
  <c r="E199" i="9"/>
  <c r="F199" i="9"/>
  <c r="G199" i="9"/>
  <c r="H199" i="9"/>
  <c r="D200" i="9"/>
  <c r="E200" i="9"/>
  <c r="F200" i="9"/>
  <c r="G200" i="9"/>
  <c r="H200" i="9"/>
  <c r="D201" i="9"/>
  <c r="E201" i="9"/>
  <c r="F201" i="9"/>
  <c r="G201" i="9"/>
  <c r="H201" i="9"/>
  <c r="D202" i="9"/>
  <c r="E202" i="9"/>
  <c r="F202" i="9"/>
  <c r="G202" i="9"/>
  <c r="H202" i="9"/>
  <c r="D203" i="9"/>
  <c r="E203" i="9"/>
  <c r="F203" i="9"/>
  <c r="G203" i="9"/>
  <c r="H203" i="9"/>
  <c r="D204" i="9"/>
  <c r="E204" i="9"/>
  <c r="F204" i="9"/>
  <c r="G204" i="9"/>
  <c r="H204" i="9"/>
  <c r="D205" i="9"/>
  <c r="E205" i="9"/>
  <c r="F205" i="9"/>
  <c r="G205" i="9"/>
  <c r="H205" i="9"/>
  <c r="D206" i="9"/>
  <c r="E206" i="9"/>
  <c r="F206" i="9"/>
  <c r="G206" i="9"/>
  <c r="H206" i="9"/>
  <c r="D207" i="9"/>
  <c r="E207" i="9"/>
  <c r="F207" i="9"/>
  <c r="G207" i="9"/>
  <c r="H207" i="9"/>
  <c r="D208" i="9"/>
  <c r="E208" i="9"/>
  <c r="F208" i="9"/>
  <c r="G208" i="9"/>
  <c r="H208" i="9"/>
  <c r="D209" i="9"/>
  <c r="E209" i="9"/>
  <c r="F209" i="9"/>
  <c r="G209" i="9"/>
  <c r="H209" i="9"/>
  <c r="D210" i="9"/>
  <c r="E210" i="9"/>
  <c r="F210" i="9"/>
  <c r="G210" i="9"/>
  <c r="H210" i="9"/>
  <c r="D211" i="9"/>
  <c r="E211" i="9"/>
  <c r="F211" i="9"/>
  <c r="G211" i="9"/>
  <c r="H211" i="9"/>
  <c r="D212" i="9"/>
  <c r="E212" i="9"/>
  <c r="F212" i="9"/>
  <c r="G212" i="9"/>
  <c r="H212" i="9"/>
  <c r="D213" i="9"/>
  <c r="E213" i="9"/>
  <c r="F213" i="9"/>
  <c r="G213" i="9"/>
  <c r="H213" i="9"/>
  <c r="D214" i="9"/>
  <c r="E214" i="9"/>
  <c r="F214" i="9"/>
  <c r="G214" i="9"/>
  <c r="H214" i="9"/>
  <c r="D215" i="9"/>
  <c r="E215" i="9"/>
  <c r="F215" i="9"/>
  <c r="G215" i="9"/>
  <c r="H215" i="9"/>
  <c r="D216" i="9"/>
  <c r="E216" i="9"/>
  <c r="F216" i="9"/>
  <c r="G216" i="9"/>
  <c r="H216" i="9"/>
  <c r="D217" i="9"/>
  <c r="E217" i="9"/>
  <c r="F217" i="9"/>
  <c r="G217" i="9"/>
  <c r="H217" i="9"/>
  <c r="D218" i="9"/>
  <c r="E218" i="9"/>
  <c r="F218" i="9"/>
  <c r="G218" i="9"/>
  <c r="H218" i="9"/>
  <c r="D219" i="9"/>
  <c r="E219" i="9"/>
  <c r="F219" i="9"/>
  <c r="G219" i="9"/>
  <c r="H219" i="9"/>
  <c r="D220" i="9"/>
  <c r="E220" i="9"/>
  <c r="F220" i="9"/>
  <c r="G220" i="9"/>
  <c r="H220" i="9"/>
  <c r="D221" i="9"/>
  <c r="E221" i="9"/>
  <c r="F221" i="9"/>
  <c r="G221" i="9"/>
  <c r="H221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7" i="5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8" i="2"/>
  <c r="D179" i="8"/>
  <c r="E179" i="8" s="1"/>
  <c r="D180" i="8"/>
  <c r="E180" i="8" s="1"/>
  <c r="D181" i="8"/>
  <c r="E181" i="8"/>
  <c r="D182" i="8"/>
  <c r="E182" i="8"/>
  <c r="D183" i="8"/>
  <c r="E183" i="8"/>
  <c r="D184" i="8"/>
  <c r="E184" i="8" s="1"/>
  <c r="D185" i="8"/>
  <c r="E185" i="8" s="1"/>
  <c r="D186" i="8"/>
  <c r="E186" i="8"/>
  <c r="D187" i="8"/>
  <c r="E187" i="8"/>
  <c r="D188" i="8"/>
  <c r="E188" i="8" s="1"/>
  <c r="D189" i="8"/>
  <c r="E189" i="8"/>
  <c r="D190" i="8"/>
  <c r="E190" i="8"/>
  <c r="D191" i="8"/>
  <c r="E191" i="8"/>
  <c r="D192" i="8"/>
  <c r="E192" i="8"/>
  <c r="D193" i="8"/>
  <c r="E193" i="8" s="1"/>
  <c r="D194" i="8"/>
  <c r="E194" i="8"/>
  <c r="D195" i="8"/>
  <c r="E195" i="8"/>
  <c r="D196" i="8"/>
  <c r="E196" i="8" s="1"/>
  <c r="D197" i="8"/>
  <c r="E197" i="8" s="1"/>
  <c r="D198" i="8"/>
  <c r="E198" i="8"/>
  <c r="D199" i="8"/>
  <c r="E199" i="8"/>
  <c r="D200" i="8"/>
  <c r="E200" i="8"/>
  <c r="D201" i="8"/>
  <c r="E201" i="8"/>
  <c r="D202" i="8"/>
  <c r="E202" i="8" s="1"/>
  <c r="D203" i="8"/>
  <c r="E203" i="8"/>
  <c r="D204" i="8"/>
  <c r="E204" i="8" s="1"/>
  <c r="D205" i="8"/>
  <c r="E205" i="8"/>
  <c r="D206" i="8"/>
  <c r="E206" i="8" s="1"/>
  <c r="D207" i="8"/>
  <c r="E207" i="8"/>
  <c r="D208" i="8"/>
  <c r="E208" i="8"/>
  <c r="D209" i="8"/>
  <c r="E209" i="8"/>
  <c r="D210" i="8"/>
  <c r="E210" i="8"/>
  <c r="D211" i="8"/>
  <c r="E211" i="8" s="1"/>
  <c r="D212" i="8"/>
  <c r="E212" i="8" s="1"/>
  <c r="D213" i="8"/>
  <c r="E213" i="8"/>
  <c r="D214" i="8"/>
  <c r="E214" i="8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O183" i="7"/>
  <c r="P183" i="7"/>
  <c r="Q183" i="7"/>
  <c r="O184" i="7"/>
  <c r="P184" i="7"/>
  <c r="Q184" i="7"/>
  <c r="O185" i="7"/>
  <c r="P185" i="7"/>
  <c r="Q185" i="7"/>
  <c r="O186" i="7"/>
  <c r="P186" i="7"/>
  <c r="Q186" i="7"/>
  <c r="O187" i="7"/>
  <c r="P187" i="7"/>
  <c r="Q187" i="7"/>
  <c r="O188" i="7"/>
  <c r="P188" i="7"/>
  <c r="Q188" i="7"/>
  <c r="O189" i="7"/>
  <c r="P189" i="7"/>
  <c r="Q189" i="7"/>
  <c r="O190" i="7"/>
  <c r="P190" i="7"/>
  <c r="Q190" i="7"/>
  <c r="O191" i="7"/>
  <c r="P191" i="7"/>
  <c r="Q191" i="7"/>
  <c r="O192" i="7"/>
  <c r="P192" i="7"/>
  <c r="Q192" i="7"/>
  <c r="O193" i="7"/>
  <c r="P193" i="7"/>
  <c r="Q193" i="7"/>
  <c r="O194" i="7"/>
  <c r="P194" i="7"/>
  <c r="Q194" i="7"/>
  <c r="O195" i="7"/>
  <c r="P195" i="7"/>
  <c r="Q195" i="7"/>
  <c r="O196" i="7"/>
  <c r="P196" i="7"/>
  <c r="Q196" i="7"/>
  <c r="O197" i="7"/>
  <c r="P197" i="7"/>
  <c r="Q197" i="7"/>
  <c r="O198" i="7"/>
  <c r="P198" i="7"/>
  <c r="Q198" i="7"/>
  <c r="O199" i="7"/>
  <c r="P199" i="7"/>
  <c r="Q199" i="7"/>
  <c r="O200" i="7"/>
  <c r="P200" i="7"/>
  <c r="Q200" i="7"/>
  <c r="O201" i="7"/>
  <c r="P201" i="7"/>
  <c r="Q201" i="7"/>
  <c r="O202" i="7"/>
  <c r="P202" i="7"/>
  <c r="Q202" i="7"/>
  <c r="O203" i="7"/>
  <c r="P203" i="7"/>
  <c r="Q203" i="7"/>
  <c r="O204" i="7"/>
  <c r="P204" i="7"/>
  <c r="Q204" i="7"/>
  <c r="O205" i="7"/>
  <c r="P205" i="7"/>
  <c r="Q205" i="7"/>
  <c r="O206" i="7"/>
  <c r="P206" i="7"/>
  <c r="Q206" i="7"/>
  <c r="O207" i="7"/>
  <c r="P207" i="7"/>
  <c r="Q207" i="7"/>
  <c r="O208" i="7"/>
  <c r="P208" i="7"/>
  <c r="Q208" i="7"/>
  <c r="O209" i="7"/>
  <c r="P209" i="7"/>
  <c r="Q209" i="7"/>
  <c r="O210" i="7"/>
  <c r="P210" i="7"/>
  <c r="Q210" i="7"/>
  <c r="O211" i="7"/>
  <c r="P211" i="7"/>
  <c r="Q211" i="7"/>
  <c r="O212" i="7"/>
  <c r="P212" i="7"/>
  <c r="Q212" i="7"/>
  <c r="O213" i="7"/>
  <c r="P213" i="7"/>
  <c r="Q213" i="7"/>
  <c r="O214" i="7"/>
  <c r="P214" i="7"/>
  <c r="Q214" i="7"/>
  <c r="O215" i="7"/>
  <c r="P215" i="7"/>
  <c r="Q215" i="7"/>
  <c r="O216" i="7"/>
  <c r="P216" i="7"/>
  <c r="Q216" i="7"/>
  <c r="O217" i="7"/>
  <c r="P217" i="7"/>
  <c r="Q217" i="7"/>
  <c r="O218" i="7"/>
  <c r="P218" i="7"/>
  <c r="Q218" i="7"/>
  <c r="K183" i="7"/>
  <c r="L183" i="7"/>
  <c r="M183" i="7"/>
  <c r="K184" i="7"/>
  <c r="L184" i="7"/>
  <c r="M184" i="7"/>
  <c r="K185" i="7"/>
  <c r="L185" i="7"/>
  <c r="M185" i="7"/>
  <c r="K186" i="7"/>
  <c r="L186" i="7"/>
  <c r="M186" i="7"/>
  <c r="K187" i="7"/>
  <c r="L187" i="7"/>
  <c r="M187" i="7"/>
  <c r="K188" i="7"/>
  <c r="L188" i="7"/>
  <c r="M188" i="7"/>
  <c r="K189" i="7"/>
  <c r="L189" i="7"/>
  <c r="M189" i="7"/>
  <c r="K190" i="7"/>
  <c r="L190" i="7"/>
  <c r="M190" i="7"/>
  <c r="K191" i="7"/>
  <c r="L191" i="7"/>
  <c r="M191" i="7"/>
  <c r="K192" i="7"/>
  <c r="L192" i="7"/>
  <c r="M192" i="7"/>
  <c r="K193" i="7"/>
  <c r="L193" i="7"/>
  <c r="M193" i="7"/>
  <c r="K194" i="7"/>
  <c r="L194" i="7"/>
  <c r="M194" i="7"/>
  <c r="K195" i="7"/>
  <c r="L195" i="7"/>
  <c r="M195" i="7"/>
  <c r="K196" i="7"/>
  <c r="L196" i="7"/>
  <c r="M196" i="7"/>
  <c r="K197" i="7"/>
  <c r="L197" i="7"/>
  <c r="M197" i="7"/>
  <c r="K198" i="7"/>
  <c r="L198" i="7"/>
  <c r="M198" i="7"/>
  <c r="K199" i="7"/>
  <c r="L199" i="7"/>
  <c r="M199" i="7"/>
  <c r="K200" i="7"/>
  <c r="L200" i="7"/>
  <c r="M200" i="7"/>
  <c r="K201" i="7"/>
  <c r="L201" i="7"/>
  <c r="M201" i="7"/>
  <c r="K202" i="7"/>
  <c r="L202" i="7"/>
  <c r="M202" i="7"/>
  <c r="K203" i="7"/>
  <c r="L203" i="7"/>
  <c r="M203" i="7"/>
  <c r="K204" i="7"/>
  <c r="L204" i="7"/>
  <c r="M204" i="7"/>
  <c r="K205" i="7"/>
  <c r="L205" i="7"/>
  <c r="M205" i="7"/>
  <c r="K206" i="7"/>
  <c r="L206" i="7"/>
  <c r="M206" i="7"/>
  <c r="K207" i="7"/>
  <c r="L207" i="7"/>
  <c r="M207" i="7"/>
  <c r="K208" i="7"/>
  <c r="L208" i="7"/>
  <c r="M208" i="7"/>
  <c r="K209" i="7"/>
  <c r="L209" i="7"/>
  <c r="M209" i="7"/>
  <c r="K210" i="7"/>
  <c r="L210" i="7"/>
  <c r="M210" i="7"/>
  <c r="K211" i="7"/>
  <c r="L211" i="7"/>
  <c r="M211" i="7"/>
  <c r="K212" i="7"/>
  <c r="L212" i="7"/>
  <c r="M212" i="7"/>
  <c r="K213" i="7"/>
  <c r="L213" i="7"/>
  <c r="M213" i="7"/>
  <c r="K214" i="7"/>
  <c r="L214" i="7"/>
  <c r="M214" i="7"/>
  <c r="K215" i="7"/>
  <c r="L215" i="7"/>
  <c r="M215" i="7"/>
  <c r="K216" i="7"/>
  <c r="L216" i="7"/>
  <c r="M216" i="7"/>
  <c r="K217" i="7"/>
  <c r="L217" i="7"/>
  <c r="M217" i="7"/>
  <c r="K218" i="7"/>
  <c r="L218" i="7"/>
  <c r="M218" i="7"/>
  <c r="G183" i="7"/>
  <c r="H183" i="7"/>
  <c r="I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/>
  <c r="I194" i="7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H199" i="7"/>
  <c r="I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/>
  <c r="I210" i="7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H215" i="7"/>
  <c r="I215" i="7"/>
  <c r="G216" i="7"/>
  <c r="H216" i="7"/>
  <c r="I216" i="7"/>
  <c r="G217" i="7"/>
  <c r="H217" i="7"/>
  <c r="I217" i="7"/>
  <c r="G218" i="7"/>
  <c r="H218" i="7"/>
  <c r="I218" i="7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E197" i="6" s="1"/>
  <c r="D198" i="6"/>
  <c r="E198" i="6" s="1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E212" i="6" s="1"/>
  <c r="D213" i="6"/>
  <c r="E213" i="6" s="1"/>
  <c r="D214" i="6"/>
  <c r="E214" i="6" s="1"/>
  <c r="N255" i="9" l="1"/>
  <c r="O255" i="9" s="1"/>
  <c r="N247" i="9"/>
  <c r="O247" i="9" s="1"/>
  <c r="N239" i="9"/>
  <c r="O239" i="9" s="1"/>
  <c r="N231" i="9"/>
  <c r="O231" i="9" s="1"/>
  <c r="I259" i="9"/>
  <c r="I251" i="9"/>
  <c r="I243" i="9"/>
  <c r="I235" i="9"/>
  <c r="I227" i="9"/>
  <c r="I223" i="9"/>
  <c r="N190" i="9"/>
  <c r="O190" i="9" s="1"/>
  <c r="N202" i="9"/>
  <c r="O202" i="9" s="1"/>
  <c r="N189" i="9"/>
  <c r="O189" i="9" s="1"/>
  <c r="N214" i="9"/>
  <c r="O214" i="9" s="1"/>
  <c r="N197" i="9"/>
  <c r="O197" i="9" s="1"/>
  <c r="N209" i="9"/>
  <c r="O209" i="9" s="1"/>
  <c r="N218" i="9"/>
  <c r="O218" i="9" s="1"/>
  <c r="N221" i="9"/>
  <c r="O221" i="9" s="1"/>
  <c r="N194" i="9"/>
  <c r="O194" i="9" s="1"/>
  <c r="N204" i="9"/>
  <c r="O204" i="9" s="1"/>
  <c r="N201" i="9"/>
  <c r="O201" i="9" s="1"/>
  <c r="N213" i="9"/>
  <c r="O213" i="9" s="1"/>
  <c r="N220" i="9"/>
  <c r="O220" i="9" s="1"/>
  <c r="N217" i="9"/>
  <c r="O217" i="9" s="1"/>
  <c r="N206" i="9"/>
  <c r="O206" i="9" s="1"/>
  <c r="N198" i="9"/>
  <c r="O198" i="9" s="1"/>
  <c r="N188" i="9"/>
  <c r="O188" i="9" s="1"/>
  <c r="N205" i="9"/>
  <c r="O205" i="9" s="1"/>
  <c r="N200" i="9"/>
  <c r="O200" i="9" s="1"/>
  <c r="N210" i="9"/>
  <c r="O210" i="9" s="1"/>
  <c r="N208" i="9"/>
  <c r="O208" i="9" s="1"/>
  <c r="N196" i="9"/>
  <c r="O196" i="9" s="1"/>
  <c r="N216" i="9"/>
  <c r="O216" i="9" s="1"/>
  <c r="N193" i="9"/>
  <c r="O193" i="9" s="1"/>
  <c r="N186" i="9"/>
  <c r="O186" i="9" s="1"/>
  <c r="N192" i="9"/>
  <c r="O192" i="9" s="1"/>
  <c r="N212" i="9"/>
  <c r="O212" i="9" s="1"/>
  <c r="N215" i="9"/>
  <c r="O215" i="9" s="1"/>
  <c r="N207" i="9"/>
  <c r="O207" i="9" s="1"/>
  <c r="N199" i="9"/>
  <c r="O199" i="9" s="1"/>
  <c r="N191" i="9"/>
  <c r="O191" i="9" s="1"/>
  <c r="N219" i="9"/>
  <c r="O219" i="9" s="1"/>
  <c r="N211" i="9"/>
  <c r="O211" i="9" s="1"/>
  <c r="N203" i="9"/>
  <c r="O203" i="9" s="1"/>
  <c r="N195" i="9"/>
  <c r="O195" i="9" s="1"/>
  <c r="N187" i="9"/>
  <c r="O187" i="9" s="1"/>
  <c r="M183" i="5"/>
  <c r="N183" i="5"/>
  <c r="O183" i="5"/>
  <c r="M184" i="5"/>
  <c r="N184" i="5"/>
  <c r="O184" i="5"/>
  <c r="M185" i="5"/>
  <c r="N185" i="5"/>
  <c r="O185" i="5"/>
  <c r="M186" i="5"/>
  <c r="N186" i="5"/>
  <c r="O186" i="5"/>
  <c r="M187" i="5"/>
  <c r="N187" i="5"/>
  <c r="O187" i="5"/>
  <c r="M188" i="5"/>
  <c r="N188" i="5"/>
  <c r="O188" i="5"/>
  <c r="M189" i="5"/>
  <c r="N189" i="5"/>
  <c r="O189" i="5"/>
  <c r="M190" i="5"/>
  <c r="N190" i="5"/>
  <c r="O190" i="5"/>
  <c r="M191" i="5"/>
  <c r="N191" i="5"/>
  <c r="O191" i="5"/>
  <c r="M192" i="5"/>
  <c r="N192" i="5"/>
  <c r="O192" i="5"/>
  <c r="M193" i="5"/>
  <c r="N193" i="5"/>
  <c r="O193" i="5"/>
  <c r="M194" i="5"/>
  <c r="N194" i="5"/>
  <c r="O194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M199" i="5"/>
  <c r="N199" i="5"/>
  <c r="O199" i="5"/>
  <c r="M200" i="5"/>
  <c r="N200" i="5"/>
  <c r="O200" i="5"/>
  <c r="M201" i="5"/>
  <c r="N201" i="5"/>
  <c r="O201" i="5"/>
  <c r="M202" i="5"/>
  <c r="N202" i="5"/>
  <c r="O202" i="5"/>
  <c r="M203" i="5"/>
  <c r="N203" i="5"/>
  <c r="O203" i="5"/>
  <c r="M204" i="5"/>
  <c r="N204" i="5"/>
  <c r="O204" i="5"/>
  <c r="M205" i="5"/>
  <c r="N205" i="5"/>
  <c r="O205" i="5"/>
  <c r="M206" i="5"/>
  <c r="N206" i="5"/>
  <c r="O206" i="5"/>
  <c r="M207" i="5"/>
  <c r="N207" i="5"/>
  <c r="O207" i="5"/>
  <c r="M208" i="5"/>
  <c r="N208" i="5"/>
  <c r="O208" i="5"/>
  <c r="M209" i="5"/>
  <c r="N209" i="5"/>
  <c r="O209" i="5"/>
  <c r="M210" i="5"/>
  <c r="N210" i="5"/>
  <c r="O210" i="5"/>
  <c r="M211" i="5"/>
  <c r="N211" i="5"/>
  <c r="O211" i="5"/>
  <c r="M212" i="5"/>
  <c r="N212" i="5"/>
  <c r="O212" i="5"/>
  <c r="M213" i="5"/>
  <c r="N213" i="5"/>
  <c r="O213" i="5"/>
  <c r="M214" i="5"/>
  <c r="N214" i="5"/>
  <c r="O214" i="5"/>
  <c r="M215" i="5"/>
  <c r="N215" i="5"/>
  <c r="O215" i="5"/>
  <c r="M216" i="5"/>
  <c r="N216" i="5"/>
  <c r="O216" i="5"/>
  <c r="M217" i="5"/>
  <c r="N217" i="5"/>
  <c r="O217" i="5"/>
  <c r="M218" i="5"/>
  <c r="N218" i="5"/>
  <c r="O218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E204" i="5"/>
  <c r="F204" i="5"/>
  <c r="G204" i="5"/>
  <c r="E205" i="5"/>
  <c r="F205" i="5"/>
  <c r="G205" i="5"/>
  <c r="E206" i="5"/>
  <c r="F206" i="5"/>
  <c r="G206" i="5"/>
  <c r="E207" i="5"/>
  <c r="F207" i="5"/>
  <c r="G207" i="5"/>
  <c r="E208" i="5"/>
  <c r="F208" i="5"/>
  <c r="G208" i="5"/>
  <c r="E209" i="5"/>
  <c r="F209" i="5"/>
  <c r="G209" i="5"/>
  <c r="E210" i="5"/>
  <c r="F210" i="5"/>
  <c r="G210" i="5"/>
  <c r="E211" i="5"/>
  <c r="F211" i="5"/>
  <c r="G211" i="5"/>
  <c r="E212" i="5"/>
  <c r="F212" i="5"/>
  <c r="G212" i="5"/>
  <c r="E213" i="5"/>
  <c r="F213" i="5"/>
  <c r="G213" i="5"/>
  <c r="E214" i="5"/>
  <c r="F214" i="5"/>
  <c r="G214" i="5"/>
  <c r="E215" i="5"/>
  <c r="F215" i="5"/>
  <c r="G215" i="5"/>
  <c r="E216" i="5"/>
  <c r="F216" i="5"/>
  <c r="G216" i="5"/>
  <c r="E217" i="5"/>
  <c r="F217" i="5"/>
  <c r="G217" i="5"/>
  <c r="E218" i="5"/>
  <c r="F218" i="5"/>
  <c r="G218" i="5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191" i="5"/>
  <c r="A192" i="5"/>
  <c r="A193" i="5"/>
  <c r="A194" i="5"/>
  <c r="A195" i="5"/>
  <c r="A196" i="5"/>
  <c r="A197" i="5"/>
  <c r="A198" i="5"/>
  <c r="A199" i="5"/>
  <c r="A200" i="5"/>
  <c r="A183" i="5"/>
  <c r="A184" i="5"/>
  <c r="A185" i="5"/>
  <c r="A186" i="5"/>
  <c r="A187" i="5"/>
  <c r="A188" i="5"/>
  <c r="A189" i="5"/>
  <c r="A190" i="5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D55" i="8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D118" i="8"/>
  <c r="D119" i="8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D151" i="8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H184" i="9"/>
  <c r="G184" i="9"/>
  <c r="F184" i="9"/>
  <c r="E184" i="9"/>
  <c r="D184" i="9"/>
  <c r="H183" i="9"/>
  <c r="G183" i="9"/>
  <c r="F183" i="9"/>
  <c r="E183" i="9"/>
  <c r="D183" i="9"/>
  <c r="H182" i="9"/>
  <c r="G182" i="9"/>
  <c r="F182" i="9"/>
  <c r="E182" i="9"/>
  <c r="D182" i="9"/>
  <c r="H181" i="9"/>
  <c r="G181" i="9"/>
  <c r="F181" i="9"/>
  <c r="E181" i="9"/>
  <c r="D181" i="9"/>
  <c r="H180" i="9"/>
  <c r="G180" i="9"/>
  <c r="F180" i="9"/>
  <c r="E180" i="9"/>
  <c r="D180" i="9"/>
  <c r="H179" i="9"/>
  <c r="G179" i="9"/>
  <c r="F179" i="9"/>
  <c r="E179" i="9"/>
  <c r="D179" i="9"/>
  <c r="H178" i="9"/>
  <c r="G178" i="9"/>
  <c r="F178" i="9"/>
  <c r="E178" i="9"/>
  <c r="D178" i="9"/>
  <c r="H177" i="9"/>
  <c r="G177" i="9"/>
  <c r="F177" i="9"/>
  <c r="E177" i="9"/>
  <c r="D177" i="9"/>
  <c r="H176" i="9"/>
  <c r="G176" i="9"/>
  <c r="F176" i="9"/>
  <c r="E176" i="9"/>
  <c r="D176" i="9"/>
  <c r="H175" i="9"/>
  <c r="G175" i="9"/>
  <c r="F175" i="9"/>
  <c r="E175" i="9"/>
  <c r="D175" i="9"/>
  <c r="H174" i="9"/>
  <c r="G174" i="9"/>
  <c r="F174" i="9"/>
  <c r="E174" i="9"/>
  <c r="D174" i="9"/>
  <c r="H173" i="9"/>
  <c r="G173" i="9"/>
  <c r="F173" i="9"/>
  <c r="E173" i="9"/>
  <c r="D173" i="9"/>
  <c r="H172" i="9"/>
  <c r="G172" i="9"/>
  <c r="F172" i="9"/>
  <c r="E172" i="9"/>
  <c r="D172" i="9"/>
  <c r="H171" i="9"/>
  <c r="G171" i="9"/>
  <c r="F171" i="9"/>
  <c r="E171" i="9"/>
  <c r="D171" i="9"/>
  <c r="H170" i="9"/>
  <c r="G170" i="9"/>
  <c r="F170" i="9"/>
  <c r="E170" i="9"/>
  <c r="D170" i="9"/>
  <c r="H169" i="9"/>
  <c r="G169" i="9"/>
  <c r="F169" i="9"/>
  <c r="E169" i="9"/>
  <c r="D169" i="9"/>
  <c r="H168" i="9"/>
  <c r="G168" i="9"/>
  <c r="F168" i="9"/>
  <c r="E168" i="9"/>
  <c r="D168" i="9"/>
  <c r="H167" i="9"/>
  <c r="G167" i="9"/>
  <c r="F167" i="9"/>
  <c r="E167" i="9"/>
  <c r="D167" i="9"/>
  <c r="H166" i="9"/>
  <c r="G166" i="9"/>
  <c r="F166" i="9"/>
  <c r="E166" i="9"/>
  <c r="D166" i="9"/>
  <c r="H165" i="9"/>
  <c r="G165" i="9"/>
  <c r="F165" i="9"/>
  <c r="E165" i="9"/>
  <c r="D165" i="9"/>
  <c r="H164" i="9"/>
  <c r="G164" i="9"/>
  <c r="F164" i="9"/>
  <c r="E164" i="9"/>
  <c r="D164" i="9"/>
  <c r="H163" i="9"/>
  <c r="G163" i="9"/>
  <c r="F163" i="9"/>
  <c r="E163" i="9"/>
  <c r="D163" i="9"/>
  <c r="H162" i="9"/>
  <c r="G162" i="9"/>
  <c r="F162" i="9"/>
  <c r="E162" i="9"/>
  <c r="D162" i="9"/>
  <c r="H161" i="9"/>
  <c r="G161" i="9"/>
  <c r="F161" i="9"/>
  <c r="E161" i="9"/>
  <c r="D161" i="9"/>
  <c r="H160" i="9"/>
  <c r="G160" i="9"/>
  <c r="F160" i="9"/>
  <c r="E160" i="9"/>
  <c r="D160" i="9"/>
  <c r="H159" i="9"/>
  <c r="G159" i="9"/>
  <c r="F159" i="9"/>
  <c r="E159" i="9"/>
  <c r="D159" i="9"/>
  <c r="H158" i="9"/>
  <c r="G158" i="9"/>
  <c r="F158" i="9"/>
  <c r="E158" i="9"/>
  <c r="D158" i="9"/>
  <c r="H157" i="9"/>
  <c r="G157" i="9"/>
  <c r="F157" i="9"/>
  <c r="E157" i="9"/>
  <c r="D157" i="9"/>
  <c r="H156" i="9"/>
  <c r="G156" i="9"/>
  <c r="F156" i="9"/>
  <c r="E156" i="9"/>
  <c r="D156" i="9"/>
  <c r="H155" i="9"/>
  <c r="G155" i="9"/>
  <c r="F155" i="9"/>
  <c r="E155" i="9"/>
  <c r="D155" i="9"/>
  <c r="H154" i="9"/>
  <c r="G154" i="9"/>
  <c r="F154" i="9"/>
  <c r="E154" i="9"/>
  <c r="D154" i="9"/>
  <c r="H153" i="9"/>
  <c r="G153" i="9"/>
  <c r="F153" i="9"/>
  <c r="E153" i="9"/>
  <c r="D153" i="9"/>
  <c r="H152" i="9"/>
  <c r="G152" i="9"/>
  <c r="F152" i="9"/>
  <c r="E152" i="9"/>
  <c r="D152" i="9"/>
  <c r="H151" i="9"/>
  <c r="G151" i="9"/>
  <c r="F151" i="9"/>
  <c r="E151" i="9"/>
  <c r="D151" i="9"/>
  <c r="H150" i="9"/>
  <c r="G150" i="9"/>
  <c r="F150" i="9"/>
  <c r="E150" i="9"/>
  <c r="D150" i="9"/>
  <c r="H149" i="9"/>
  <c r="G149" i="9"/>
  <c r="F149" i="9"/>
  <c r="E149" i="9"/>
  <c r="D149" i="9"/>
  <c r="H148" i="9"/>
  <c r="G148" i="9"/>
  <c r="F148" i="9"/>
  <c r="E148" i="9"/>
  <c r="D148" i="9"/>
  <c r="H147" i="9"/>
  <c r="G147" i="9"/>
  <c r="F147" i="9"/>
  <c r="E147" i="9"/>
  <c r="D147" i="9"/>
  <c r="H146" i="9"/>
  <c r="G146" i="9"/>
  <c r="F146" i="9"/>
  <c r="E146" i="9"/>
  <c r="D146" i="9"/>
  <c r="H145" i="9"/>
  <c r="G145" i="9"/>
  <c r="F145" i="9"/>
  <c r="E145" i="9"/>
  <c r="D145" i="9"/>
  <c r="H144" i="9"/>
  <c r="G144" i="9"/>
  <c r="F144" i="9"/>
  <c r="E144" i="9"/>
  <c r="D144" i="9"/>
  <c r="H143" i="9"/>
  <c r="G143" i="9"/>
  <c r="F143" i="9"/>
  <c r="E143" i="9"/>
  <c r="D143" i="9"/>
  <c r="H142" i="9"/>
  <c r="G142" i="9"/>
  <c r="F142" i="9"/>
  <c r="E142" i="9"/>
  <c r="D142" i="9"/>
  <c r="H141" i="9"/>
  <c r="G141" i="9"/>
  <c r="F141" i="9"/>
  <c r="E141" i="9"/>
  <c r="D141" i="9"/>
  <c r="H140" i="9"/>
  <c r="G140" i="9"/>
  <c r="F140" i="9"/>
  <c r="E140" i="9"/>
  <c r="D140" i="9"/>
  <c r="H139" i="9"/>
  <c r="G139" i="9"/>
  <c r="F139" i="9"/>
  <c r="E139" i="9"/>
  <c r="D139" i="9"/>
  <c r="H138" i="9"/>
  <c r="G138" i="9"/>
  <c r="F138" i="9"/>
  <c r="E138" i="9"/>
  <c r="D138" i="9"/>
  <c r="H137" i="9"/>
  <c r="G137" i="9"/>
  <c r="F137" i="9"/>
  <c r="E137" i="9"/>
  <c r="D137" i="9"/>
  <c r="H136" i="9"/>
  <c r="G136" i="9"/>
  <c r="F136" i="9"/>
  <c r="E136" i="9"/>
  <c r="D136" i="9"/>
  <c r="H135" i="9"/>
  <c r="G135" i="9"/>
  <c r="F135" i="9"/>
  <c r="E135" i="9"/>
  <c r="D135" i="9"/>
  <c r="H134" i="9"/>
  <c r="G134" i="9"/>
  <c r="F134" i="9"/>
  <c r="E134" i="9"/>
  <c r="D134" i="9"/>
  <c r="H133" i="9"/>
  <c r="G133" i="9"/>
  <c r="F133" i="9"/>
  <c r="E133" i="9"/>
  <c r="D133" i="9"/>
  <c r="H132" i="9"/>
  <c r="G132" i="9"/>
  <c r="F132" i="9"/>
  <c r="E132" i="9"/>
  <c r="D132" i="9"/>
  <c r="H131" i="9"/>
  <c r="G131" i="9"/>
  <c r="F131" i="9"/>
  <c r="E131" i="9"/>
  <c r="D131" i="9"/>
  <c r="H130" i="9"/>
  <c r="G130" i="9"/>
  <c r="F130" i="9"/>
  <c r="E130" i="9"/>
  <c r="D130" i="9"/>
  <c r="H129" i="9"/>
  <c r="G129" i="9"/>
  <c r="F129" i="9"/>
  <c r="E129" i="9"/>
  <c r="D129" i="9"/>
  <c r="H128" i="9"/>
  <c r="G128" i="9"/>
  <c r="F128" i="9"/>
  <c r="E128" i="9"/>
  <c r="D128" i="9"/>
  <c r="H127" i="9"/>
  <c r="G127" i="9"/>
  <c r="F127" i="9"/>
  <c r="E127" i="9"/>
  <c r="D127" i="9"/>
  <c r="H126" i="9"/>
  <c r="G126" i="9"/>
  <c r="F126" i="9"/>
  <c r="E126" i="9"/>
  <c r="D126" i="9"/>
  <c r="H125" i="9"/>
  <c r="G125" i="9"/>
  <c r="F125" i="9"/>
  <c r="E125" i="9"/>
  <c r="D125" i="9"/>
  <c r="H124" i="9"/>
  <c r="G124" i="9"/>
  <c r="F124" i="9"/>
  <c r="E124" i="9"/>
  <c r="D124" i="9"/>
  <c r="H123" i="9"/>
  <c r="G123" i="9"/>
  <c r="F123" i="9"/>
  <c r="E123" i="9"/>
  <c r="D123" i="9"/>
  <c r="H122" i="9"/>
  <c r="G122" i="9"/>
  <c r="F122" i="9"/>
  <c r="E122" i="9"/>
  <c r="D122" i="9"/>
  <c r="H121" i="9"/>
  <c r="G121" i="9"/>
  <c r="F121" i="9"/>
  <c r="E121" i="9"/>
  <c r="D121" i="9"/>
  <c r="H120" i="9"/>
  <c r="G120" i="9"/>
  <c r="F120" i="9"/>
  <c r="E120" i="9"/>
  <c r="D120" i="9"/>
  <c r="H119" i="9"/>
  <c r="G119" i="9"/>
  <c r="F119" i="9"/>
  <c r="E119" i="9"/>
  <c r="D119" i="9"/>
  <c r="H118" i="9"/>
  <c r="G118" i="9"/>
  <c r="F118" i="9"/>
  <c r="E118" i="9"/>
  <c r="D118" i="9"/>
  <c r="H117" i="9"/>
  <c r="G117" i="9"/>
  <c r="F117" i="9"/>
  <c r="E117" i="9"/>
  <c r="D117" i="9"/>
  <c r="H116" i="9"/>
  <c r="G116" i="9"/>
  <c r="F116" i="9"/>
  <c r="E116" i="9"/>
  <c r="D116" i="9"/>
  <c r="H115" i="9"/>
  <c r="G115" i="9"/>
  <c r="F115" i="9"/>
  <c r="E115" i="9"/>
  <c r="D115" i="9"/>
  <c r="H114" i="9"/>
  <c r="G114" i="9"/>
  <c r="F114" i="9"/>
  <c r="E114" i="9"/>
  <c r="D114" i="9"/>
  <c r="H113" i="9"/>
  <c r="G113" i="9"/>
  <c r="F113" i="9"/>
  <c r="E113" i="9"/>
  <c r="D113" i="9"/>
  <c r="H112" i="9"/>
  <c r="G112" i="9"/>
  <c r="F112" i="9"/>
  <c r="E112" i="9"/>
  <c r="D112" i="9"/>
  <c r="H111" i="9"/>
  <c r="G111" i="9"/>
  <c r="F111" i="9"/>
  <c r="E111" i="9"/>
  <c r="D111" i="9"/>
  <c r="H110" i="9"/>
  <c r="G110" i="9"/>
  <c r="F110" i="9"/>
  <c r="E110" i="9"/>
  <c r="D110" i="9"/>
  <c r="H109" i="9"/>
  <c r="G109" i="9"/>
  <c r="F109" i="9"/>
  <c r="E109" i="9"/>
  <c r="D109" i="9"/>
  <c r="H108" i="9"/>
  <c r="G108" i="9"/>
  <c r="F108" i="9"/>
  <c r="E108" i="9"/>
  <c r="D108" i="9"/>
  <c r="H107" i="9"/>
  <c r="G107" i="9"/>
  <c r="F107" i="9"/>
  <c r="E107" i="9"/>
  <c r="D107" i="9"/>
  <c r="H106" i="9"/>
  <c r="G106" i="9"/>
  <c r="F106" i="9"/>
  <c r="E106" i="9"/>
  <c r="D106" i="9"/>
  <c r="H105" i="9"/>
  <c r="G105" i="9"/>
  <c r="F105" i="9"/>
  <c r="E105" i="9"/>
  <c r="D105" i="9"/>
  <c r="H104" i="9"/>
  <c r="G104" i="9"/>
  <c r="F104" i="9"/>
  <c r="E104" i="9"/>
  <c r="D104" i="9"/>
  <c r="H103" i="9"/>
  <c r="G103" i="9"/>
  <c r="F103" i="9"/>
  <c r="E103" i="9"/>
  <c r="D103" i="9"/>
  <c r="H102" i="9"/>
  <c r="G102" i="9"/>
  <c r="F102" i="9"/>
  <c r="E102" i="9"/>
  <c r="D102" i="9"/>
  <c r="H101" i="9"/>
  <c r="G101" i="9"/>
  <c r="F101" i="9"/>
  <c r="E101" i="9"/>
  <c r="D101" i="9"/>
  <c r="H100" i="9"/>
  <c r="G100" i="9"/>
  <c r="F100" i="9"/>
  <c r="E100" i="9"/>
  <c r="D100" i="9"/>
  <c r="H99" i="9"/>
  <c r="G99" i="9"/>
  <c r="F99" i="9"/>
  <c r="E99" i="9"/>
  <c r="D99" i="9"/>
  <c r="H98" i="9"/>
  <c r="G98" i="9"/>
  <c r="F98" i="9"/>
  <c r="E98" i="9"/>
  <c r="D98" i="9"/>
  <c r="H97" i="9"/>
  <c r="G97" i="9"/>
  <c r="F97" i="9"/>
  <c r="E97" i="9"/>
  <c r="D97" i="9"/>
  <c r="H96" i="9"/>
  <c r="G96" i="9"/>
  <c r="F96" i="9"/>
  <c r="E96" i="9"/>
  <c r="D96" i="9"/>
  <c r="H95" i="9"/>
  <c r="G95" i="9"/>
  <c r="F95" i="9"/>
  <c r="E95" i="9"/>
  <c r="D95" i="9"/>
  <c r="H94" i="9"/>
  <c r="G94" i="9"/>
  <c r="F94" i="9"/>
  <c r="E94" i="9"/>
  <c r="D94" i="9"/>
  <c r="H93" i="9"/>
  <c r="G93" i="9"/>
  <c r="F93" i="9"/>
  <c r="E93" i="9"/>
  <c r="D93" i="9"/>
  <c r="H92" i="9"/>
  <c r="G92" i="9"/>
  <c r="F92" i="9"/>
  <c r="E92" i="9"/>
  <c r="D92" i="9"/>
  <c r="H91" i="9"/>
  <c r="G91" i="9"/>
  <c r="F91" i="9"/>
  <c r="E91" i="9"/>
  <c r="D91" i="9"/>
  <c r="H90" i="9"/>
  <c r="G90" i="9"/>
  <c r="F90" i="9"/>
  <c r="E90" i="9"/>
  <c r="D90" i="9"/>
  <c r="H89" i="9"/>
  <c r="G89" i="9"/>
  <c r="F89" i="9"/>
  <c r="E89" i="9"/>
  <c r="D89" i="9"/>
  <c r="H88" i="9"/>
  <c r="G88" i="9"/>
  <c r="F88" i="9"/>
  <c r="E88" i="9"/>
  <c r="D88" i="9"/>
  <c r="H87" i="9"/>
  <c r="G87" i="9"/>
  <c r="F87" i="9"/>
  <c r="E87" i="9"/>
  <c r="D87" i="9"/>
  <c r="H86" i="9"/>
  <c r="G86" i="9"/>
  <c r="F86" i="9"/>
  <c r="E86" i="9"/>
  <c r="D86" i="9"/>
  <c r="H85" i="9"/>
  <c r="G85" i="9"/>
  <c r="F85" i="9"/>
  <c r="E85" i="9"/>
  <c r="D85" i="9"/>
  <c r="H84" i="9"/>
  <c r="G84" i="9"/>
  <c r="F84" i="9"/>
  <c r="E84" i="9"/>
  <c r="D84" i="9"/>
  <c r="H83" i="9"/>
  <c r="G83" i="9"/>
  <c r="F83" i="9"/>
  <c r="E83" i="9"/>
  <c r="D83" i="9"/>
  <c r="H82" i="9"/>
  <c r="G82" i="9"/>
  <c r="F82" i="9"/>
  <c r="E82" i="9"/>
  <c r="D82" i="9"/>
  <c r="H81" i="9"/>
  <c r="G81" i="9"/>
  <c r="F81" i="9"/>
  <c r="E81" i="9"/>
  <c r="D81" i="9"/>
  <c r="H80" i="9"/>
  <c r="G80" i="9"/>
  <c r="F80" i="9"/>
  <c r="E80" i="9"/>
  <c r="D80" i="9"/>
  <c r="H79" i="9"/>
  <c r="G79" i="9"/>
  <c r="F79" i="9"/>
  <c r="E79" i="9"/>
  <c r="D79" i="9"/>
  <c r="H78" i="9"/>
  <c r="G78" i="9"/>
  <c r="F78" i="9"/>
  <c r="E78" i="9"/>
  <c r="D78" i="9"/>
  <c r="H77" i="9"/>
  <c r="G77" i="9"/>
  <c r="F77" i="9"/>
  <c r="E77" i="9"/>
  <c r="D77" i="9"/>
  <c r="H76" i="9"/>
  <c r="G76" i="9"/>
  <c r="F76" i="9"/>
  <c r="E76" i="9"/>
  <c r="D76" i="9"/>
  <c r="H75" i="9"/>
  <c r="G75" i="9"/>
  <c r="F75" i="9"/>
  <c r="E75" i="9"/>
  <c r="D75" i="9"/>
  <c r="H74" i="9"/>
  <c r="G74" i="9"/>
  <c r="F74" i="9"/>
  <c r="E74" i="9"/>
  <c r="D74" i="9"/>
  <c r="H73" i="9"/>
  <c r="G73" i="9"/>
  <c r="F73" i="9"/>
  <c r="E73" i="9"/>
  <c r="D73" i="9"/>
  <c r="H72" i="9"/>
  <c r="G72" i="9"/>
  <c r="F72" i="9"/>
  <c r="E72" i="9"/>
  <c r="D72" i="9"/>
  <c r="H71" i="9"/>
  <c r="G71" i="9"/>
  <c r="F71" i="9"/>
  <c r="E71" i="9"/>
  <c r="D71" i="9"/>
  <c r="H70" i="9"/>
  <c r="G70" i="9"/>
  <c r="F70" i="9"/>
  <c r="E70" i="9"/>
  <c r="D70" i="9"/>
  <c r="H69" i="9"/>
  <c r="G69" i="9"/>
  <c r="F69" i="9"/>
  <c r="E69" i="9"/>
  <c r="D69" i="9"/>
  <c r="H68" i="9"/>
  <c r="G68" i="9"/>
  <c r="F68" i="9"/>
  <c r="E68" i="9"/>
  <c r="D68" i="9"/>
  <c r="H67" i="9"/>
  <c r="G67" i="9"/>
  <c r="F67" i="9"/>
  <c r="E67" i="9"/>
  <c r="D67" i="9"/>
  <c r="H66" i="9"/>
  <c r="G66" i="9"/>
  <c r="F66" i="9"/>
  <c r="E66" i="9"/>
  <c r="D66" i="9"/>
  <c r="H65" i="9"/>
  <c r="G65" i="9"/>
  <c r="F65" i="9"/>
  <c r="E65" i="9"/>
  <c r="D65" i="9"/>
  <c r="H64" i="9"/>
  <c r="G64" i="9"/>
  <c r="F64" i="9"/>
  <c r="E64" i="9"/>
  <c r="D64" i="9"/>
  <c r="H63" i="9"/>
  <c r="G63" i="9"/>
  <c r="F63" i="9"/>
  <c r="E63" i="9"/>
  <c r="D63" i="9"/>
  <c r="H62" i="9"/>
  <c r="G62" i="9"/>
  <c r="F62" i="9"/>
  <c r="E62" i="9"/>
  <c r="D62" i="9"/>
  <c r="H61" i="9"/>
  <c r="G61" i="9"/>
  <c r="F61" i="9"/>
  <c r="E61" i="9"/>
  <c r="D61" i="9"/>
  <c r="H60" i="9"/>
  <c r="G60" i="9"/>
  <c r="F60" i="9"/>
  <c r="E60" i="9"/>
  <c r="D60" i="9"/>
  <c r="H59" i="9"/>
  <c r="G59" i="9"/>
  <c r="F59" i="9"/>
  <c r="E59" i="9"/>
  <c r="D59" i="9"/>
  <c r="H58" i="9"/>
  <c r="G58" i="9"/>
  <c r="F58" i="9"/>
  <c r="E58" i="9"/>
  <c r="D58" i="9"/>
  <c r="H57" i="9"/>
  <c r="G57" i="9"/>
  <c r="F57" i="9"/>
  <c r="E57" i="9"/>
  <c r="D57" i="9"/>
  <c r="H56" i="9"/>
  <c r="G56" i="9"/>
  <c r="F56" i="9"/>
  <c r="E56" i="9"/>
  <c r="D56" i="9"/>
  <c r="H55" i="9"/>
  <c r="G55" i="9"/>
  <c r="F55" i="9"/>
  <c r="E55" i="9"/>
  <c r="D55" i="9"/>
  <c r="H54" i="9"/>
  <c r="G54" i="9"/>
  <c r="F54" i="9"/>
  <c r="E54" i="9"/>
  <c r="D54" i="9"/>
  <c r="H53" i="9"/>
  <c r="G53" i="9"/>
  <c r="F53" i="9"/>
  <c r="E53" i="9"/>
  <c r="D53" i="9"/>
  <c r="H52" i="9"/>
  <c r="G52" i="9"/>
  <c r="F52" i="9"/>
  <c r="E52" i="9"/>
  <c r="D52" i="9"/>
  <c r="H51" i="9"/>
  <c r="G51" i="9"/>
  <c r="F51" i="9"/>
  <c r="E51" i="9"/>
  <c r="D51" i="9"/>
  <c r="H50" i="9"/>
  <c r="G50" i="9"/>
  <c r="F50" i="9"/>
  <c r="E50" i="9"/>
  <c r="D50" i="9"/>
  <c r="H49" i="9"/>
  <c r="G49" i="9"/>
  <c r="F49" i="9"/>
  <c r="E49" i="9"/>
  <c r="D49" i="9"/>
  <c r="H48" i="9"/>
  <c r="G48" i="9"/>
  <c r="F48" i="9"/>
  <c r="E48" i="9"/>
  <c r="D48" i="9"/>
  <c r="H47" i="9"/>
  <c r="G47" i="9"/>
  <c r="F47" i="9"/>
  <c r="E47" i="9"/>
  <c r="D47" i="9"/>
  <c r="H46" i="9"/>
  <c r="G46" i="9"/>
  <c r="F46" i="9"/>
  <c r="E46" i="9"/>
  <c r="D46" i="9"/>
  <c r="H45" i="9"/>
  <c r="G45" i="9"/>
  <c r="F45" i="9"/>
  <c r="E45" i="9"/>
  <c r="D45" i="9"/>
  <c r="H44" i="9"/>
  <c r="G44" i="9"/>
  <c r="F44" i="9"/>
  <c r="E44" i="9"/>
  <c r="D44" i="9"/>
  <c r="H43" i="9"/>
  <c r="G43" i="9"/>
  <c r="F43" i="9"/>
  <c r="E43" i="9"/>
  <c r="D43" i="9"/>
  <c r="H42" i="9"/>
  <c r="G42" i="9"/>
  <c r="F42" i="9"/>
  <c r="E42" i="9"/>
  <c r="D42" i="9"/>
  <c r="H41" i="9"/>
  <c r="G41" i="9"/>
  <c r="F41" i="9"/>
  <c r="E41" i="9"/>
  <c r="D41" i="9"/>
  <c r="H40" i="9"/>
  <c r="G40" i="9"/>
  <c r="F40" i="9"/>
  <c r="E40" i="9"/>
  <c r="D40" i="9"/>
  <c r="H39" i="9"/>
  <c r="G39" i="9"/>
  <c r="F39" i="9"/>
  <c r="E39" i="9"/>
  <c r="D39" i="9"/>
  <c r="H38" i="9"/>
  <c r="G38" i="9"/>
  <c r="F38" i="9"/>
  <c r="E38" i="9"/>
  <c r="D38" i="9"/>
  <c r="H37" i="9"/>
  <c r="G37" i="9"/>
  <c r="F37" i="9"/>
  <c r="E37" i="9"/>
  <c r="D37" i="9"/>
  <c r="H36" i="9"/>
  <c r="G36" i="9"/>
  <c r="F36" i="9"/>
  <c r="E36" i="9"/>
  <c r="D36" i="9"/>
  <c r="H35" i="9"/>
  <c r="G35" i="9"/>
  <c r="F35" i="9"/>
  <c r="E35" i="9"/>
  <c r="D35" i="9"/>
  <c r="H34" i="9"/>
  <c r="G34" i="9"/>
  <c r="F34" i="9"/>
  <c r="E34" i="9"/>
  <c r="D34" i="9"/>
  <c r="H33" i="9"/>
  <c r="G33" i="9"/>
  <c r="F33" i="9"/>
  <c r="E33" i="9"/>
  <c r="D33" i="9"/>
  <c r="H32" i="9"/>
  <c r="G32" i="9"/>
  <c r="F32" i="9"/>
  <c r="E32" i="9"/>
  <c r="D32" i="9"/>
  <c r="H31" i="9"/>
  <c r="G31" i="9"/>
  <c r="F31" i="9"/>
  <c r="E31" i="9"/>
  <c r="D31" i="9"/>
  <c r="H30" i="9"/>
  <c r="G30" i="9"/>
  <c r="F30" i="9"/>
  <c r="E30" i="9"/>
  <c r="D30" i="9"/>
  <c r="H29" i="9"/>
  <c r="G29" i="9"/>
  <c r="F29" i="9"/>
  <c r="E29" i="9"/>
  <c r="D29" i="9"/>
  <c r="H28" i="9"/>
  <c r="G28" i="9"/>
  <c r="F28" i="9"/>
  <c r="E28" i="9"/>
  <c r="D28" i="9"/>
  <c r="H27" i="9"/>
  <c r="G27" i="9"/>
  <c r="F27" i="9"/>
  <c r="E27" i="9"/>
  <c r="D27" i="9"/>
  <c r="H26" i="9"/>
  <c r="G26" i="9"/>
  <c r="F26" i="9"/>
  <c r="E26" i="9"/>
  <c r="D26" i="9"/>
  <c r="H25" i="9"/>
  <c r="G25" i="9"/>
  <c r="F25" i="9"/>
  <c r="E25" i="9"/>
  <c r="D25" i="9"/>
  <c r="H24" i="9"/>
  <c r="G24" i="9"/>
  <c r="F24" i="9"/>
  <c r="E24" i="9"/>
  <c r="D24" i="9"/>
  <c r="H23" i="9"/>
  <c r="G23" i="9"/>
  <c r="F23" i="9"/>
  <c r="E23" i="9"/>
  <c r="D23" i="9"/>
  <c r="H22" i="9"/>
  <c r="G22" i="9"/>
  <c r="F22" i="9"/>
  <c r="E22" i="9"/>
  <c r="D22" i="9"/>
  <c r="H21" i="9"/>
  <c r="G21" i="9"/>
  <c r="F21" i="9"/>
  <c r="E21" i="9"/>
  <c r="D21" i="9"/>
  <c r="H20" i="9"/>
  <c r="G20" i="9"/>
  <c r="F20" i="9"/>
  <c r="E20" i="9"/>
  <c r="D20" i="9"/>
  <c r="H19" i="9"/>
  <c r="G19" i="9"/>
  <c r="F19" i="9"/>
  <c r="E19" i="9"/>
  <c r="D19" i="9"/>
  <c r="H18" i="9"/>
  <c r="G18" i="9"/>
  <c r="F18" i="9"/>
  <c r="E18" i="9"/>
  <c r="D18" i="9"/>
  <c r="H17" i="9"/>
  <c r="G17" i="9"/>
  <c r="F17" i="9"/>
  <c r="E17" i="9"/>
  <c r="D17" i="9"/>
  <c r="H16" i="9"/>
  <c r="G16" i="9"/>
  <c r="F16" i="9"/>
  <c r="E16" i="9"/>
  <c r="D16" i="9"/>
  <c r="H15" i="9"/>
  <c r="G15" i="9"/>
  <c r="F15" i="9"/>
  <c r="E15" i="9"/>
  <c r="D15" i="9"/>
  <c r="H14" i="9"/>
  <c r="G14" i="9"/>
  <c r="F14" i="9"/>
  <c r="E14" i="9"/>
  <c r="D14" i="9"/>
  <c r="H13" i="9"/>
  <c r="G13" i="9"/>
  <c r="F13" i="9"/>
  <c r="E13" i="9"/>
  <c r="D13" i="9"/>
  <c r="H12" i="9"/>
  <c r="G12" i="9"/>
  <c r="F12" i="9"/>
  <c r="E12" i="9"/>
  <c r="D12" i="9"/>
  <c r="H11" i="9"/>
  <c r="G11" i="9"/>
  <c r="F11" i="9"/>
  <c r="E11" i="9"/>
  <c r="D11" i="9"/>
  <c r="H10" i="9"/>
  <c r="G10" i="9"/>
  <c r="F10" i="9"/>
  <c r="E10" i="9"/>
  <c r="D10" i="9"/>
  <c r="H8" i="9"/>
  <c r="G8" i="9"/>
  <c r="F8" i="9"/>
  <c r="E8" i="9"/>
  <c r="D8" i="9"/>
  <c r="A4" i="9"/>
  <c r="A3" i="9"/>
  <c r="A1" i="9"/>
  <c r="E178" i="8"/>
  <c r="E166" i="8"/>
  <c r="E164" i="8"/>
  <c r="E151" i="8"/>
  <c r="E150" i="8"/>
  <c r="E149" i="8"/>
  <c r="E148" i="8"/>
  <c r="E134" i="8"/>
  <c r="E133" i="8"/>
  <c r="E132" i="8"/>
  <c r="E119" i="8"/>
  <c r="E118" i="8"/>
  <c r="E117" i="8"/>
  <c r="E116" i="8"/>
  <c r="E103" i="8"/>
  <c r="E102" i="8"/>
  <c r="E101" i="8"/>
  <c r="E100" i="8"/>
  <c r="E85" i="8"/>
  <c r="E84" i="8"/>
  <c r="E70" i="8"/>
  <c r="E69" i="8"/>
  <c r="E68" i="8"/>
  <c r="E55" i="8"/>
  <c r="E54" i="8"/>
  <c r="E53" i="8"/>
  <c r="E52" i="8"/>
  <c r="E39" i="8"/>
  <c r="E38" i="8"/>
  <c r="E37" i="8"/>
  <c r="E36" i="8"/>
  <c r="E22" i="8"/>
  <c r="E21" i="8"/>
  <c r="E20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K189" i="9" l="1"/>
  <c r="K194" i="9"/>
  <c r="K204" i="9"/>
  <c r="K221" i="9"/>
  <c r="K214" i="9"/>
  <c r="K216" i="9"/>
  <c r="K201" i="9"/>
  <c r="K196" i="9"/>
  <c r="K193" i="9"/>
  <c r="K210" i="9"/>
  <c r="K220" i="9"/>
  <c r="K212" i="9"/>
  <c r="K206" i="9"/>
  <c r="K205" i="9"/>
  <c r="K192" i="9"/>
  <c r="K215" i="9"/>
  <c r="K199" i="9"/>
  <c r="K217" i="9"/>
  <c r="K198" i="9"/>
  <c r="K202" i="9"/>
  <c r="K188" i="9"/>
  <c r="K190" i="9"/>
  <c r="K197" i="9"/>
  <c r="K211" i="9"/>
  <c r="K200" i="9"/>
  <c r="K218" i="9"/>
  <c r="K213" i="9"/>
  <c r="K207" i="9"/>
  <c r="K208" i="9"/>
  <c r="K195" i="9"/>
  <c r="K219" i="9"/>
  <c r="K203" i="9"/>
  <c r="K186" i="9"/>
  <c r="K187" i="9"/>
  <c r="K191" i="9"/>
  <c r="K209" i="9"/>
  <c r="L198" i="9"/>
  <c r="L205" i="9"/>
  <c r="L202" i="9"/>
  <c r="L209" i="9"/>
  <c r="L189" i="9"/>
  <c r="L194" i="9"/>
  <c r="L221" i="9"/>
  <c r="L214" i="9"/>
  <c r="L201" i="9"/>
  <c r="L220" i="9"/>
  <c r="L190" i="9"/>
  <c r="L218" i="9"/>
  <c r="L207" i="9"/>
  <c r="L215" i="9"/>
  <c r="L217" i="9"/>
  <c r="L204" i="9"/>
  <c r="L212" i="9"/>
  <c r="L197" i="9"/>
  <c r="L191" i="9"/>
  <c r="L188" i="9"/>
  <c r="L211" i="9"/>
  <c r="L208" i="9"/>
  <c r="L216" i="9"/>
  <c r="L199" i="9"/>
  <c r="L193" i="9"/>
  <c r="L210" i="9"/>
  <c r="L203" i="9"/>
  <c r="L186" i="9"/>
  <c r="L187" i="9"/>
  <c r="L195" i="9"/>
  <c r="L200" i="9"/>
  <c r="L219" i="9"/>
  <c r="L196" i="9"/>
  <c r="L192" i="9"/>
  <c r="L206" i="9"/>
  <c r="L213" i="9"/>
  <c r="M191" i="9"/>
  <c r="M203" i="9"/>
  <c r="M195" i="9"/>
  <c r="M207" i="9"/>
  <c r="M189" i="9"/>
  <c r="M202" i="9"/>
  <c r="M187" i="9"/>
  <c r="M221" i="9"/>
  <c r="M219" i="9"/>
  <c r="M209" i="9"/>
  <c r="M214" i="9"/>
  <c r="M199" i="9"/>
  <c r="M211" i="9"/>
  <c r="M196" i="9"/>
  <c r="M210" i="9"/>
  <c r="M216" i="9"/>
  <c r="M193" i="9"/>
  <c r="M186" i="9"/>
  <c r="M200" i="9"/>
  <c r="M215" i="9"/>
  <c r="M192" i="9"/>
  <c r="M213" i="9"/>
  <c r="M194" i="9"/>
  <c r="M190" i="9"/>
  <c r="M206" i="9"/>
  <c r="M205" i="9"/>
  <c r="M204" i="9"/>
  <c r="M197" i="9"/>
  <c r="M220" i="9"/>
  <c r="M188" i="9"/>
  <c r="M208" i="9"/>
  <c r="M217" i="9"/>
  <c r="M218" i="9"/>
  <c r="M212" i="9"/>
  <c r="M201" i="9"/>
  <c r="M198" i="9"/>
  <c r="I213" i="9"/>
  <c r="I216" i="9"/>
  <c r="I201" i="9"/>
  <c r="I206" i="9"/>
  <c r="I196" i="9"/>
  <c r="I194" i="9"/>
  <c r="I205" i="9"/>
  <c r="I192" i="9"/>
  <c r="I208" i="9"/>
  <c r="I202" i="9"/>
  <c r="I214" i="9"/>
  <c r="I211" i="9"/>
  <c r="I197" i="9"/>
  <c r="I219" i="9"/>
  <c r="I190" i="9"/>
  <c r="I218" i="9"/>
  <c r="I198" i="9"/>
  <c r="I204" i="9"/>
  <c r="I187" i="9"/>
  <c r="I200" i="9"/>
  <c r="I209" i="9"/>
  <c r="I195" i="9"/>
  <c r="I191" i="9"/>
  <c r="I189" i="9"/>
  <c r="I186" i="9"/>
  <c r="I188" i="9"/>
  <c r="I217" i="9"/>
  <c r="I221" i="9"/>
  <c r="I207" i="9"/>
  <c r="I210" i="9"/>
  <c r="I220" i="9"/>
  <c r="I193" i="9"/>
  <c r="I212" i="9"/>
  <c r="I199" i="9"/>
  <c r="I203" i="9"/>
  <c r="I215" i="9"/>
  <c r="J200" i="9"/>
  <c r="J210" i="9"/>
  <c r="J217" i="9"/>
  <c r="J189" i="9"/>
  <c r="J204" i="9"/>
  <c r="J214" i="9"/>
  <c r="J221" i="9"/>
  <c r="J194" i="9"/>
  <c r="J213" i="9"/>
  <c r="J216" i="9"/>
  <c r="J201" i="9"/>
  <c r="J206" i="9"/>
  <c r="J196" i="9"/>
  <c r="J190" i="9"/>
  <c r="J197" i="9"/>
  <c r="J219" i="9"/>
  <c r="J209" i="9"/>
  <c r="J188" i="9"/>
  <c r="J203" i="9"/>
  <c r="J191" i="9"/>
  <c r="J208" i="9"/>
  <c r="J187" i="9"/>
  <c r="J195" i="9"/>
  <c r="J186" i="9"/>
  <c r="J211" i="9"/>
  <c r="J212" i="9"/>
  <c r="J215" i="9"/>
  <c r="J193" i="9"/>
  <c r="J199" i="9"/>
  <c r="J207" i="9"/>
  <c r="J205" i="9"/>
  <c r="J220" i="9"/>
  <c r="J192" i="9"/>
  <c r="J202" i="9"/>
  <c r="J218" i="9"/>
  <c r="J198" i="9"/>
  <c r="D261" i="2"/>
  <c r="F6" i="3" s="1"/>
  <c r="D260" i="2"/>
  <c r="C6" i="3" s="1"/>
  <c r="K48" i="9"/>
  <c r="L126" i="9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K260" i="9" l="1"/>
  <c r="D268" i="9" s="1"/>
  <c r="E268" i="9" s="1"/>
  <c r="O8" i="10" s="1"/>
  <c r="J260" i="9"/>
  <c r="D267" i="9" s="1"/>
  <c r="E267" i="9" s="1"/>
  <c r="N7" i="10" s="1"/>
  <c r="I260" i="9"/>
  <c r="D266" i="9" s="1"/>
  <c r="E266" i="9" s="1"/>
  <c r="O6" i="10" s="1"/>
  <c r="M260" i="9"/>
  <c r="D270" i="9" s="1"/>
  <c r="E270" i="9" s="1"/>
  <c r="O10" i="10" s="1"/>
  <c r="L260" i="9"/>
  <c r="D269" i="9" s="1"/>
  <c r="E269" i="9" s="1"/>
  <c r="N9" i="10" s="1"/>
  <c r="E261" i="2"/>
  <c r="G6" i="3" s="1"/>
  <c r="H6" i="3" s="1"/>
  <c r="E260" i="2"/>
  <c r="D6" i="3" s="1"/>
  <c r="E6" i="3" s="1"/>
  <c r="B6" i="10" l="1"/>
  <c r="F6" i="10"/>
  <c r="I6" i="3"/>
  <c r="B6" i="4" s="1"/>
  <c r="J6" i="10"/>
  <c r="N6" i="10"/>
  <c r="F266" i="9"/>
  <c r="E6" i="10"/>
  <c r="I6" i="10"/>
  <c r="M6" i="10"/>
  <c r="F270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269" i="9"/>
  <c r="D9" i="10"/>
  <c r="H9" i="10"/>
  <c r="L9" i="10"/>
  <c r="P9" i="10"/>
  <c r="C9" i="10"/>
  <c r="G9" i="10"/>
  <c r="K9" i="10"/>
  <c r="O9" i="10"/>
  <c r="B9" i="10"/>
  <c r="F9" i="10"/>
  <c r="J9" i="10"/>
  <c r="F268" i="9"/>
  <c r="P8" i="10"/>
  <c r="H8" i="10"/>
  <c r="I8" i="10"/>
  <c r="C7" i="10"/>
  <c r="G7" i="10"/>
  <c r="K7" i="10"/>
  <c r="O7" i="10"/>
  <c r="D7" i="10"/>
  <c r="H7" i="10"/>
  <c r="L7" i="10"/>
  <c r="P7" i="10"/>
  <c r="F267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267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L11" i="10"/>
  <c r="G11" i="10"/>
  <c r="C11" i="10"/>
  <c r="D11" i="10"/>
  <c r="F6" i="11" l="1"/>
  <c r="F7" i="11" s="1"/>
  <c r="C6" i="11"/>
  <c r="C7" i="11" s="1"/>
  <c r="L6" i="11"/>
  <c r="L7" i="11" s="1"/>
  <c r="J6" i="1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<sst xmlns="http://schemas.openxmlformats.org/spreadsheetml/2006/main" count="212" uniqueCount="102">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</sst>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8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7" fillId="5" borderId="32" xfId="0" applyNumberFormat="1" applyFont="1" applyFill="1" applyBorder="1" applyAlignment="1">
      <alignment horizontal="center" vertical="center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2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3" xfId="0" applyFont="1" applyBorder="1"/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  <xf numFmtId="49" fontId="2" fillId="0" borderId="13" xfId="10" applyNumberFormat="1" applyBorder="1" applyAlignment="1">
      <alignment wrapText="1"/>
    </xf>
    <xf numFmtId="0" fontId="2" fillId="0" borderId="13" xfId="10" applyBorder="1" applyAlignment="1">
      <alignment wrapText="1"/>
    </xf>
    <xf numFmtId="0" fontId="2" fillId="0" borderId="12" xfId="43" applyBorder="1" applyAlignment="1">
      <alignment wrapText="1"/>
    </xf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N17" sqref="N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7" t="s">
        <v>101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">
        <v>94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92" t="s">
        <v>25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9"/>
      <c r="N13" s="92"/>
      <c r="O13" s="88"/>
      <c r="P13" s="89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72"/>
  <sheetViews>
    <sheetView topLeftCell="A207" workbookViewId="0">
      <selection activeCell="F220" sqref="F220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9"/>
    </row>
    <row r="2" spans="1:26" ht="19.5" customHeight="1" x14ac:dyDescent="0.25">
      <c r="A2" s="87" t="s">
        <v>26</v>
      </c>
      <c r="B2" s="88"/>
      <c r="C2" s="88"/>
      <c r="D2" s="88"/>
      <c r="E2" s="88"/>
      <c r="F2" s="88"/>
      <c r="G2" s="88"/>
      <c r="H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9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3" t="s">
        <v>27</v>
      </c>
      <c r="B5" s="83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07" t="s">
        <v>33</v>
      </c>
      <c r="H5" s="8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5"/>
      <c r="B6" s="85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09" t="s">
        <v>35</v>
      </c>
      <c r="B7" s="110"/>
      <c r="C7" s="111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2"/>
      <c r="C8" s="77"/>
      <c r="D8" s="81"/>
      <c r="E8" s="81"/>
      <c r="F8" s="81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>
        <v>2</v>
      </c>
      <c r="B9" s="76"/>
      <c r="C9" s="77"/>
      <c r="D9" s="81"/>
      <c r="E9" s="81"/>
      <c r="F9" s="81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6"/>
      <c r="C10" s="77"/>
      <c r="D10" s="81"/>
      <c r="E10" s="81"/>
      <c r="F10" s="81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6"/>
      <c r="C11" s="77"/>
      <c r="D11" s="81"/>
      <c r="E11" s="81"/>
      <c r="F11" s="81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6"/>
      <c r="C12" s="77"/>
      <c r="D12" s="81"/>
      <c r="E12" s="81"/>
      <c r="F12" s="81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6"/>
      <c r="C13" s="77"/>
      <c r="D13" s="81"/>
      <c r="E13" s="81"/>
      <c r="F13" s="81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6"/>
      <c r="C14" s="77"/>
      <c r="D14" s="81"/>
      <c r="E14" s="81"/>
      <c r="F14" s="81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9"/>
      <c r="C15" s="78"/>
      <c r="D15" s="81"/>
      <c r="E15" s="81"/>
      <c r="F15" s="81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6"/>
      <c r="C16" s="77"/>
      <c r="D16" s="81"/>
      <c r="E16" s="81"/>
      <c r="F16" s="81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6"/>
      <c r="C17" s="77"/>
      <c r="D17" s="81"/>
      <c r="E17" s="81"/>
      <c r="F17" s="81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6"/>
      <c r="C18" s="77"/>
      <c r="D18" s="81"/>
      <c r="E18" s="81"/>
      <c r="F18" s="81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6"/>
      <c r="C19" s="77"/>
      <c r="D19" s="81"/>
      <c r="E19" s="81"/>
      <c r="F19" s="81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6"/>
      <c r="C20" s="77"/>
      <c r="D20" s="81"/>
      <c r="E20" s="81"/>
      <c r="F20" s="81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6"/>
      <c r="C21" s="77"/>
      <c r="D21" s="81"/>
      <c r="E21" s="81"/>
      <c r="F21" s="81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6"/>
      <c r="C22" s="77"/>
      <c r="D22" s="81"/>
      <c r="E22" s="81"/>
      <c r="F22" s="81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6"/>
      <c r="C23" s="77"/>
      <c r="D23" s="81"/>
      <c r="E23" s="81"/>
      <c r="F23" s="81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6"/>
      <c r="C24" s="77"/>
      <c r="D24" s="81"/>
      <c r="E24" s="81"/>
      <c r="F24" s="81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6"/>
      <c r="C25" s="77"/>
      <c r="D25" s="81"/>
      <c r="E25" s="81"/>
      <c r="F25" s="81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6"/>
      <c r="C26" s="77"/>
      <c r="D26" s="81"/>
      <c r="E26" s="81"/>
      <c r="F26" s="81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6"/>
      <c r="C27" s="77"/>
      <c r="D27" s="81"/>
      <c r="E27" s="81"/>
      <c r="F27" s="81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6"/>
      <c r="C28" s="77"/>
      <c r="D28" s="81"/>
      <c r="E28" s="81"/>
      <c r="F28" s="81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6"/>
      <c r="C29" s="77"/>
      <c r="D29" s="81"/>
      <c r="E29" s="81"/>
      <c r="F29" s="81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6"/>
      <c r="C30" s="77"/>
      <c r="D30" s="81"/>
      <c r="E30" s="81"/>
      <c r="F30" s="81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6"/>
      <c r="C31" s="77"/>
      <c r="D31" s="81"/>
      <c r="E31" s="81"/>
      <c r="F31" s="81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6"/>
      <c r="C32" s="77"/>
      <c r="D32" s="81"/>
      <c r="E32" s="81"/>
      <c r="F32" s="81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6"/>
      <c r="C33" s="77"/>
      <c r="D33" s="81"/>
      <c r="E33" s="81"/>
      <c r="F33" s="81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6"/>
      <c r="C34" s="77"/>
      <c r="D34" s="81"/>
      <c r="E34" s="81"/>
      <c r="F34" s="81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6"/>
      <c r="C35" s="77"/>
      <c r="D35" s="81"/>
      <c r="E35" s="81"/>
      <c r="F35" s="81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6"/>
      <c r="C36" s="77"/>
      <c r="D36" s="81"/>
      <c r="E36" s="81"/>
      <c r="F36" s="81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6"/>
      <c r="C37" s="77"/>
      <c r="D37" s="81"/>
      <c r="E37" s="81"/>
      <c r="F37" s="81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76"/>
      <c r="C38" s="77"/>
      <c r="D38" s="81"/>
      <c r="E38" s="81"/>
      <c r="F38" s="81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>
        <v>32</v>
      </c>
      <c r="B39" s="76"/>
      <c r="C39" s="77"/>
      <c r="D39" s="81"/>
      <c r="E39" s="81"/>
      <c r="F39" s="81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>
        <v>33</v>
      </c>
      <c r="B40" s="76"/>
      <c r="C40" s="77"/>
      <c r="D40" s="81"/>
      <c r="E40" s="81"/>
      <c r="F40" s="81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>
        <v>34</v>
      </c>
      <c r="B41" s="76"/>
      <c r="C41" s="77"/>
      <c r="D41" s="81"/>
      <c r="E41" s="81"/>
      <c r="F41" s="81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>
        <v>35</v>
      </c>
      <c r="B42" s="76"/>
      <c r="C42" s="77"/>
      <c r="D42" s="81"/>
      <c r="E42" s="81"/>
      <c r="F42" s="81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>
        <v>36</v>
      </c>
      <c r="B43" s="76"/>
      <c r="C43" s="77"/>
      <c r="D43" s="81"/>
      <c r="E43" s="81"/>
      <c r="F43" s="81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>
        <v>37</v>
      </c>
      <c r="B44" s="76"/>
      <c r="C44" s="77"/>
      <c r="D44" s="81"/>
      <c r="E44" s="81"/>
      <c r="F44" s="81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>
        <v>38</v>
      </c>
      <c r="B45" s="76"/>
      <c r="C45" s="77"/>
      <c r="D45" s="81"/>
      <c r="E45" s="81"/>
      <c r="F45" s="81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>
        <v>39</v>
      </c>
      <c r="B46" s="76"/>
      <c r="C46" s="77"/>
      <c r="D46" s="81"/>
      <c r="E46" s="81"/>
      <c r="F46" s="81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>
        <v>40</v>
      </c>
      <c r="B47" s="76"/>
      <c r="C47" s="77"/>
      <c r="D47" s="81"/>
      <c r="E47" s="81"/>
      <c r="F47" s="81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>
        <v>41</v>
      </c>
      <c r="B48" s="76"/>
      <c r="C48" s="77"/>
      <c r="D48" s="81"/>
      <c r="E48" s="81"/>
      <c r="F48" s="81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>
        <v>42</v>
      </c>
      <c r="B49" s="76"/>
      <c r="C49" s="77"/>
      <c r="D49" s="81"/>
      <c r="E49" s="81"/>
      <c r="F49" s="81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>
        <v>43</v>
      </c>
      <c r="B50" s="76"/>
      <c r="C50" s="77"/>
      <c r="D50" s="81"/>
      <c r="E50" s="81"/>
      <c r="F50" s="81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>
        <v>44</v>
      </c>
      <c r="B51" s="76"/>
      <c r="C51" s="77"/>
      <c r="D51" s="81"/>
      <c r="E51" s="81"/>
      <c r="F51" s="81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>
        <v>45</v>
      </c>
      <c r="B52" s="76"/>
      <c r="C52" s="77"/>
      <c r="D52" s="81"/>
      <c r="E52" s="81"/>
      <c r="F52" s="81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>
        <v>46</v>
      </c>
      <c r="B53" s="76"/>
      <c r="C53" s="77"/>
      <c r="D53" s="81"/>
      <c r="E53" s="81"/>
      <c r="F53" s="81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>
        <v>47</v>
      </c>
      <c r="B54" s="76"/>
      <c r="C54" s="77"/>
      <c r="D54" s="81"/>
      <c r="E54" s="81"/>
      <c r="F54" s="81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>
        <v>48</v>
      </c>
      <c r="B55" s="76"/>
      <c r="C55" s="77"/>
      <c r="D55" s="81"/>
      <c r="E55" s="81"/>
      <c r="F55" s="81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>
        <v>49</v>
      </c>
      <c r="B56" s="76"/>
      <c r="C56" s="77"/>
      <c r="D56" s="81"/>
      <c r="E56" s="81"/>
      <c r="F56" s="81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>
        <v>50</v>
      </c>
      <c r="B57" s="76"/>
      <c r="C57" s="77"/>
      <c r="D57" s="81"/>
      <c r="E57" s="81"/>
      <c r="F57" s="81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>
        <v>51</v>
      </c>
      <c r="B58" s="76"/>
      <c r="C58" s="77"/>
      <c r="D58" s="81"/>
      <c r="E58" s="81"/>
      <c r="F58" s="81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>
        <v>52</v>
      </c>
      <c r="B59" s="76"/>
      <c r="C59" s="77"/>
      <c r="D59" s="81"/>
      <c r="E59" s="81"/>
      <c r="F59" s="81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>
        <v>53</v>
      </c>
      <c r="B60" s="76"/>
      <c r="C60" s="77"/>
      <c r="D60" s="81"/>
      <c r="E60" s="81"/>
      <c r="F60" s="81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>
        <v>54</v>
      </c>
      <c r="B61" s="79"/>
      <c r="C61" s="78"/>
      <c r="D61" s="81"/>
      <c r="E61" s="81"/>
      <c r="F61" s="81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>
        <v>55</v>
      </c>
      <c r="B62" s="76"/>
      <c r="C62" s="77"/>
      <c r="D62" s="81"/>
      <c r="E62" s="81"/>
      <c r="F62" s="81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>
        <v>56</v>
      </c>
      <c r="B63" s="76"/>
      <c r="C63" s="77"/>
      <c r="D63" s="81"/>
      <c r="E63" s="81"/>
      <c r="F63" s="81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>
        <v>57</v>
      </c>
      <c r="B64" s="76"/>
      <c r="C64" s="77"/>
      <c r="D64" s="81"/>
      <c r="E64" s="81"/>
      <c r="F64" s="81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>
        <v>58</v>
      </c>
      <c r="B65" s="76"/>
      <c r="C65" s="77"/>
      <c r="D65" s="81"/>
      <c r="E65" s="81"/>
      <c r="F65" s="81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>
        <v>59</v>
      </c>
      <c r="B66" s="76"/>
      <c r="C66" s="77"/>
      <c r="D66" s="81"/>
      <c r="E66" s="81"/>
      <c r="F66" s="81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>
        <v>60</v>
      </c>
      <c r="B67" s="76"/>
      <c r="C67" s="77"/>
      <c r="D67" s="81"/>
      <c r="E67" s="81"/>
      <c r="F67" s="81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>
        <v>61</v>
      </c>
      <c r="B68" s="76"/>
      <c r="C68" s="77"/>
      <c r="D68" s="81"/>
      <c r="E68" s="81"/>
      <c r="F68" s="81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>
        <v>62</v>
      </c>
      <c r="B69" s="76"/>
      <c r="C69" s="77"/>
      <c r="D69" s="81"/>
      <c r="E69" s="81"/>
      <c r="F69" s="81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>
        <v>63</v>
      </c>
      <c r="B70" s="76"/>
      <c r="C70" s="77"/>
      <c r="D70" s="81"/>
      <c r="E70" s="81"/>
      <c r="F70" s="81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>
        <v>64</v>
      </c>
      <c r="B71" s="76"/>
      <c r="C71" s="77"/>
      <c r="D71" s="81"/>
      <c r="E71" s="81"/>
      <c r="F71" s="81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>
        <v>65</v>
      </c>
      <c r="B72" s="76"/>
      <c r="C72" s="77"/>
      <c r="D72" s="81"/>
      <c r="E72" s="81"/>
      <c r="F72" s="81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>
        <v>66</v>
      </c>
      <c r="B73" s="76"/>
      <c r="C73" s="77"/>
      <c r="D73" s="81"/>
      <c r="E73" s="81"/>
      <c r="F73" s="81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>
        <v>67</v>
      </c>
      <c r="B74" s="76"/>
      <c r="C74" s="77"/>
      <c r="D74" s="81"/>
      <c r="E74" s="81"/>
      <c r="F74" s="81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>
        <v>68</v>
      </c>
      <c r="B75" s="76"/>
      <c r="C75" s="77"/>
      <c r="D75" s="81"/>
      <c r="E75" s="81"/>
      <c r="F75" s="81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>
        <v>69</v>
      </c>
      <c r="B76" s="76"/>
      <c r="C76" s="77"/>
      <c r="D76" s="81"/>
      <c r="E76" s="81"/>
      <c r="F76" s="81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>
        <v>70</v>
      </c>
      <c r="B77" s="76"/>
      <c r="C77" s="77"/>
      <c r="D77" s="81"/>
      <c r="E77" s="81"/>
      <c r="F77" s="81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>
        <v>71</v>
      </c>
      <c r="B78" s="76"/>
      <c r="C78" s="77"/>
      <c r="D78" s="81"/>
      <c r="E78" s="81"/>
      <c r="F78" s="81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>
        <v>72</v>
      </c>
      <c r="B79" s="76"/>
      <c r="C79" s="77"/>
      <c r="D79" s="81"/>
      <c r="E79" s="81"/>
      <c r="F79" s="81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>
        <v>73</v>
      </c>
      <c r="B80" s="76"/>
      <c r="C80" s="77"/>
      <c r="D80" s="81"/>
      <c r="E80" s="81"/>
      <c r="F80" s="81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>
        <v>74</v>
      </c>
      <c r="B81" s="76"/>
      <c r="C81" s="77"/>
      <c r="D81" s="81"/>
      <c r="E81" s="81"/>
      <c r="F81" s="81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>
        <v>75</v>
      </c>
      <c r="B82" s="76"/>
      <c r="C82" s="77"/>
      <c r="D82" s="81"/>
      <c r="E82" s="81"/>
      <c r="F82" s="81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>
        <v>76</v>
      </c>
      <c r="B83" s="76"/>
      <c r="C83" s="77"/>
      <c r="D83" s="81"/>
      <c r="E83" s="81"/>
      <c r="F83" s="81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>
        <v>77</v>
      </c>
      <c r="B84" s="76"/>
      <c r="C84" s="77"/>
      <c r="D84" s="81"/>
      <c r="E84" s="81"/>
      <c r="F84" s="81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>
        <v>78</v>
      </c>
      <c r="B85" s="76"/>
      <c r="C85" s="77"/>
      <c r="D85" s="81"/>
      <c r="E85" s="81"/>
      <c r="F85" s="81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>
        <v>79</v>
      </c>
      <c r="B86" s="79"/>
      <c r="C86" s="78"/>
      <c r="D86" s="81"/>
      <c r="E86" s="81"/>
      <c r="F86" s="81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>
        <v>80</v>
      </c>
      <c r="B87" s="76"/>
      <c r="C87" s="77"/>
      <c r="D87" s="81"/>
      <c r="E87" s="81"/>
      <c r="F87" s="81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>
        <v>81</v>
      </c>
      <c r="B88" s="76"/>
      <c r="C88" s="77"/>
      <c r="D88" s="81"/>
      <c r="E88" s="81"/>
      <c r="F88" s="81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>
        <v>82</v>
      </c>
      <c r="B89" s="76"/>
      <c r="C89" s="77"/>
      <c r="D89" s="81"/>
      <c r="E89" s="81"/>
      <c r="F89" s="81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>
        <v>83</v>
      </c>
      <c r="B90" s="76"/>
      <c r="C90" s="77"/>
      <c r="D90" s="81"/>
      <c r="E90" s="81"/>
      <c r="F90" s="81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>
        <v>84</v>
      </c>
      <c r="B91" s="76"/>
      <c r="C91" s="77"/>
      <c r="D91" s="81"/>
      <c r="E91" s="81"/>
      <c r="F91" s="81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>
        <v>85</v>
      </c>
      <c r="B92" s="79"/>
      <c r="C92" s="78"/>
      <c r="D92" s="81"/>
      <c r="E92" s="81"/>
      <c r="F92" s="81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>
        <v>86</v>
      </c>
      <c r="B93" s="76"/>
      <c r="C93" s="77"/>
      <c r="D93" s="81"/>
      <c r="E93" s="81"/>
      <c r="F93" s="81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>
        <v>87</v>
      </c>
      <c r="B94" s="76"/>
      <c r="C94" s="77"/>
      <c r="D94" s="81"/>
      <c r="E94" s="81"/>
      <c r="F94" s="81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>
        <v>88</v>
      </c>
      <c r="B95" s="76"/>
      <c r="C95" s="77"/>
      <c r="D95" s="81"/>
      <c r="E95" s="81"/>
      <c r="F95" s="81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>
        <v>89</v>
      </c>
      <c r="B96" s="76"/>
      <c r="C96" s="77"/>
      <c r="D96" s="81"/>
      <c r="E96" s="81"/>
      <c r="F96" s="81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>
        <v>90</v>
      </c>
      <c r="B97" s="76"/>
      <c r="C97" s="77"/>
      <c r="D97" s="81"/>
      <c r="E97" s="81"/>
      <c r="F97" s="81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>
        <v>91</v>
      </c>
      <c r="B98" s="76"/>
      <c r="C98" s="77"/>
      <c r="D98" s="81"/>
      <c r="E98" s="81"/>
      <c r="F98" s="81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>
        <v>92</v>
      </c>
      <c r="B99" s="76"/>
      <c r="C99" s="77"/>
      <c r="D99" s="81"/>
      <c r="E99" s="81"/>
      <c r="F99" s="81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>
        <v>93</v>
      </c>
      <c r="B100" s="76"/>
      <c r="C100" s="77"/>
      <c r="D100" s="81"/>
      <c r="E100" s="81"/>
      <c r="F100" s="81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>
        <v>94</v>
      </c>
      <c r="B101" s="76"/>
      <c r="C101" s="77"/>
      <c r="D101" s="81"/>
      <c r="E101" s="81"/>
      <c r="F101" s="81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>
        <v>95</v>
      </c>
      <c r="B102" s="76"/>
      <c r="C102" s="77"/>
      <c r="D102" s="81"/>
      <c r="E102" s="81"/>
      <c r="F102" s="81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>
        <v>96</v>
      </c>
      <c r="B103" s="76"/>
      <c r="C103" s="77"/>
      <c r="D103" s="81"/>
      <c r="E103" s="81"/>
      <c r="F103" s="81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>
        <v>97</v>
      </c>
      <c r="B104" s="76"/>
      <c r="C104" s="77"/>
      <c r="D104" s="81"/>
      <c r="E104" s="81"/>
      <c r="F104" s="81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>
        <v>98</v>
      </c>
      <c r="B105" s="76"/>
      <c r="C105" s="77"/>
      <c r="D105" s="81"/>
      <c r="E105" s="81"/>
      <c r="F105" s="81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>
        <v>99</v>
      </c>
      <c r="B106" s="76"/>
      <c r="C106" s="77"/>
      <c r="D106" s="81"/>
      <c r="E106" s="81"/>
      <c r="F106" s="81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>
        <v>100</v>
      </c>
      <c r="B107" s="76"/>
      <c r="C107" s="77"/>
      <c r="D107" s="81"/>
      <c r="E107" s="81"/>
      <c r="F107" s="81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>
        <v>101</v>
      </c>
      <c r="B108" s="76"/>
      <c r="C108" s="77"/>
      <c r="D108" s="81"/>
      <c r="E108" s="81"/>
      <c r="F108" s="81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>
        <v>102</v>
      </c>
      <c r="B109" s="76"/>
      <c r="C109" s="77"/>
      <c r="D109" s="81"/>
      <c r="E109" s="81"/>
      <c r="F109" s="81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>
        <v>103</v>
      </c>
      <c r="B110" s="76"/>
      <c r="C110" s="77"/>
      <c r="D110" s="81"/>
      <c r="E110" s="81"/>
      <c r="F110" s="81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>
        <v>104</v>
      </c>
      <c r="B111" s="76"/>
      <c r="C111" s="77"/>
      <c r="D111" s="81"/>
      <c r="E111" s="81"/>
      <c r="F111" s="81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>
        <v>105</v>
      </c>
      <c r="B112" s="76"/>
      <c r="C112" s="77"/>
      <c r="D112" s="81"/>
      <c r="E112" s="81"/>
      <c r="F112" s="81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>
        <v>106</v>
      </c>
      <c r="B113" s="76"/>
      <c r="C113" s="77"/>
      <c r="D113" s="81"/>
      <c r="E113" s="81"/>
      <c r="F113" s="81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>
        <v>107</v>
      </c>
      <c r="B114" s="76"/>
      <c r="C114" s="77"/>
      <c r="D114" s="81"/>
      <c r="E114" s="81"/>
      <c r="F114" s="81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>
        <v>108</v>
      </c>
      <c r="B115" s="76"/>
      <c r="C115" s="77"/>
      <c r="D115" s="81"/>
      <c r="E115" s="81"/>
      <c r="F115" s="81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>
        <v>109</v>
      </c>
      <c r="B116" s="76"/>
      <c r="C116" s="77"/>
      <c r="D116" s="81"/>
      <c r="E116" s="81"/>
      <c r="F116" s="81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>
        <v>110</v>
      </c>
      <c r="B117" s="76"/>
      <c r="C117" s="77"/>
      <c r="D117" s="81"/>
      <c r="E117" s="81"/>
      <c r="F117" s="81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>
        <v>111</v>
      </c>
      <c r="B118" s="76"/>
      <c r="C118" s="77"/>
      <c r="D118" s="81"/>
      <c r="E118" s="81"/>
      <c r="F118" s="81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>
        <v>112</v>
      </c>
      <c r="B119" s="76"/>
      <c r="C119" s="77"/>
      <c r="D119" s="81"/>
      <c r="E119" s="81"/>
      <c r="F119" s="81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>
        <v>113</v>
      </c>
      <c r="B120" s="76"/>
      <c r="C120" s="77"/>
      <c r="D120" s="81"/>
      <c r="E120" s="81"/>
      <c r="F120" s="81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>
        <v>114</v>
      </c>
      <c r="B121" s="79"/>
      <c r="C121" s="78"/>
      <c r="D121" s="81"/>
      <c r="E121" s="81"/>
      <c r="F121" s="81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>
        <v>115</v>
      </c>
      <c r="B122" s="76"/>
      <c r="C122" s="77"/>
      <c r="D122" s="81"/>
      <c r="E122" s="81"/>
      <c r="F122" s="81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>
        <v>116</v>
      </c>
      <c r="B123" s="76"/>
      <c r="C123" s="77"/>
      <c r="D123" s="81"/>
      <c r="E123" s="81"/>
      <c r="F123" s="81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>
        <v>117</v>
      </c>
      <c r="B124" s="76"/>
      <c r="C124" s="77"/>
      <c r="D124" s="81"/>
      <c r="E124" s="81"/>
      <c r="F124" s="81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>
        <v>118</v>
      </c>
      <c r="B125" s="79"/>
      <c r="C125" s="78"/>
      <c r="D125" s="81"/>
      <c r="E125" s="81"/>
      <c r="F125" s="81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>
        <v>119</v>
      </c>
      <c r="B126" s="76"/>
      <c r="C126" s="77"/>
      <c r="D126" s="81"/>
      <c r="E126" s="81"/>
      <c r="F126" s="81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>
        <v>120</v>
      </c>
      <c r="B127" s="76"/>
      <c r="C127" s="77"/>
      <c r="D127" s="81"/>
      <c r="E127" s="81"/>
      <c r="F127" s="81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>
        <v>121</v>
      </c>
      <c r="B128" s="76"/>
      <c r="C128" s="77"/>
      <c r="D128" s="81"/>
      <c r="E128" s="81"/>
      <c r="F128" s="81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>
        <v>122</v>
      </c>
      <c r="B129" s="76"/>
      <c r="C129" s="77"/>
      <c r="D129" s="81"/>
      <c r="E129" s="81"/>
      <c r="F129" s="81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>
        <v>123</v>
      </c>
      <c r="B130" s="76"/>
      <c r="C130" s="77"/>
      <c r="D130" s="81"/>
      <c r="E130" s="81"/>
      <c r="F130" s="81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>
        <v>124</v>
      </c>
      <c r="B131" s="76"/>
      <c r="C131" s="77"/>
      <c r="D131" s="81"/>
      <c r="E131" s="81"/>
      <c r="F131" s="81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>
        <v>125</v>
      </c>
      <c r="B132" s="76"/>
      <c r="C132" s="77"/>
      <c r="D132" s="81"/>
      <c r="E132" s="81"/>
      <c r="F132" s="81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>
        <v>126</v>
      </c>
      <c r="B133" s="76"/>
      <c r="C133" s="77"/>
      <c r="D133" s="81"/>
      <c r="E133" s="81"/>
      <c r="F133" s="81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>
        <v>127</v>
      </c>
      <c r="B134" s="76"/>
      <c r="C134" s="77"/>
      <c r="D134" s="81"/>
      <c r="E134" s="81"/>
      <c r="F134" s="81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>
        <v>128</v>
      </c>
      <c r="B135" s="76"/>
      <c r="C135" s="77"/>
      <c r="D135" s="81"/>
      <c r="E135" s="81"/>
      <c r="F135" s="81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>
        <v>129</v>
      </c>
      <c r="B136" s="76"/>
      <c r="C136" s="77"/>
      <c r="D136" s="81"/>
      <c r="E136" s="81"/>
      <c r="F136" s="81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>
        <v>130</v>
      </c>
      <c r="B137" s="76"/>
      <c r="C137" s="77"/>
      <c r="D137" s="81"/>
      <c r="E137" s="81"/>
      <c r="F137" s="81">
        <f t="shared" ref="F137:F200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>
        <v>131</v>
      </c>
      <c r="B138" s="76"/>
      <c r="C138" s="77"/>
      <c r="D138" s="81"/>
      <c r="E138" s="81"/>
      <c r="F138" s="81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>
        <v>132</v>
      </c>
      <c r="B139" s="76"/>
      <c r="C139" s="77"/>
      <c r="D139" s="81"/>
      <c r="E139" s="81"/>
      <c r="F139" s="81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>
        <v>133</v>
      </c>
      <c r="B140" s="76"/>
      <c r="C140" s="77"/>
      <c r="D140" s="81"/>
      <c r="E140" s="81"/>
      <c r="F140" s="81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>
        <v>134</v>
      </c>
      <c r="B141" s="76"/>
      <c r="C141" s="77"/>
      <c r="D141" s="81"/>
      <c r="E141" s="81"/>
      <c r="F141" s="81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>
        <v>135</v>
      </c>
      <c r="B142" s="76"/>
      <c r="C142" s="77"/>
      <c r="D142" s="81"/>
      <c r="E142" s="81"/>
      <c r="F142" s="81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>
        <v>136</v>
      </c>
      <c r="B143" s="76"/>
      <c r="C143" s="77"/>
      <c r="D143" s="81"/>
      <c r="E143" s="81"/>
      <c r="F143" s="81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>
        <v>137</v>
      </c>
      <c r="B144" s="76"/>
      <c r="C144" s="77"/>
      <c r="D144" s="81"/>
      <c r="E144" s="81"/>
      <c r="F144" s="81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>
        <v>138</v>
      </c>
      <c r="B145" s="76"/>
      <c r="C145" s="77"/>
      <c r="D145" s="81"/>
      <c r="E145" s="81"/>
      <c r="F145" s="81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>
        <v>139</v>
      </c>
      <c r="B146" s="76"/>
      <c r="C146" s="77"/>
      <c r="D146" s="81"/>
      <c r="E146" s="81"/>
      <c r="F146" s="81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>
        <v>140</v>
      </c>
      <c r="B147" s="76"/>
      <c r="C147" s="77"/>
      <c r="D147" s="81"/>
      <c r="E147" s="81"/>
      <c r="F147" s="81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>
        <v>141</v>
      </c>
      <c r="B148" s="76"/>
      <c r="C148" s="77"/>
      <c r="D148" s="81"/>
      <c r="E148" s="81"/>
      <c r="F148" s="81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>
        <v>142</v>
      </c>
      <c r="B149" s="76"/>
      <c r="C149" s="77"/>
      <c r="D149" s="81"/>
      <c r="E149" s="81"/>
      <c r="F149" s="81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>
        <v>143</v>
      </c>
      <c r="B150" s="76"/>
      <c r="C150" s="77"/>
      <c r="D150" s="81"/>
      <c r="E150" s="81"/>
      <c r="F150" s="81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>
        <v>144</v>
      </c>
      <c r="B151" s="76"/>
      <c r="C151" s="77"/>
      <c r="D151" s="81"/>
      <c r="E151" s="81"/>
      <c r="F151" s="81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>
        <v>145</v>
      </c>
      <c r="B152" s="76"/>
      <c r="C152" s="77"/>
      <c r="D152" s="81"/>
      <c r="E152" s="81"/>
      <c r="F152" s="81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>
        <v>146</v>
      </c>
      <c r="B153" s="76"/>
      <c r="C153" s="77"/>
      <c r="D153" s="81"/>
      <c r="E153" s="81"/>
      <c r="F153" s="81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>
        <v>147</v>
      </c>
      <c r="B154" s="76"/>
      <c r="C154" s="77"/>
      <c r="D154" s="81"/>
      <c r="E154" s="81"/>
      <c r="F154" s="81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>
        <v>148</v>
      </c>
      <c r="B155" s="76"/>
      <c r="C155" s="77"/>
      <c r="D155" s="81"/>
      <c r="E155" s="81"/>
      <c r="F155" s="81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>
        <v>149</v>
      </c>
      <c r="B156" s="76"/>
      <c r="C156" s="77"/>
      <c r="D156" s="81"/>
      <c r="E156" s="81"/>
      <c r="F156" s="81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>
        <v>150</v>
      </c>
      <c r="B157" s="76"/>
      <c r="C157" s="77"/>
      <c r="D157" s="81"/>
      <c r="E157" s="81"/>
      <c r="F157" s="81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>
        <v>151</v>
      </c>
      <c r="B158" s="76"/>
      <c r="C158" s="77"/>
      <c r="D158" s="81"/>
      <c r="E158" s="81"/>
      <c r="F158" s="81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>
        <v>152</v>
      </c>
      <c r="B159" s="76"/>
      <c r="C159" s="77"/>
      <c r="D159" s="81"/>
      <c r="E159" s="81"/>
      <c r="F159" s="81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>
        <v>153</v>
      </c>
      <c r="B160" s="76"/>
      <c r="C160" s="77"/>
      <c r="D160" s="81"/>
      <c r="E160" s="81"/>
      <c r="F160" s="81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>
        <v>154</v>
      </c>
      <c r="B161" s="76"/>
      <c r="C161" s="77"/>
      <c r="D161" s="81"/>
      <c r="E161" s="81"/>
      <c r="F161" s="81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>
        <v>155</v>
      </c>
      <c r="B162" s="76"/>
      <c r="C162" s="77"/>
      <c r="D162" s="81"/>
      <c r="E162" s="81"/>
      <c r="F162" s="81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>
        <v>156</v>
      </c>
      <c r="B163" s="76"/>
      <c r="C163" s="77"/>
      <c r="D163" s="81"/>
      <c r="E163" s="81"/>
      <c r="F163" s="81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>
        <v>157</v>
      </c>
      <c r="B164" s="76"/>
      <c r="C164" s="77"/>
      <c r="D164" s="81"/>
      <c r="E164" s="81"/>
      <c r="F164" s="81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>
        <v>158</v>
      </c>
      <c r="B165" s="76"/>
      <c r="C165" s="77"/>
      <c r="D165" s="81"/>
      <c r="E165" s="81"/>
      <c r="F165" s="81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>
        <v>159</v>
      </c>
      <c r="B166" s="76"/>
      <c r="C166" s="77"/>
      <c r="D166" s="81"/>
      <c r="E166" s="81"/>
      <c r="F166" s="81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>
        <v>160</v>
      </c>
      <c r="B167" s="76"/>
      <c r="C167" s="77"/>
      <c r="D167" s="81"/>
      <c r="E167" s="81"/>
      <c r="F167" s="81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>
        <v>161</v>
      </c>
      <c r="B168" s="76"/>
      <c r="C168" s="77"/>
      <c r="D168" s="81"/>
      <c r="E168" s="81"/>
      <c r="F168" s="81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>
        <v>162</v>
      </c>
      <c r="B169" s="76"/>
      <c r="C169" s="77"/>
      <c r="D169" s="81"/>
      <c r="E169" s="81"/>
      <c r="F169" s="81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>
        <v>163</v>
      </c>
      <c r="B170" s="76"/>
      <c r="C170" s="77"/>
      <c r="D170" s="81"/>
      <c r="E170" s="81"/>
      <c r="F170" s="81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>
        <v>164</v>
      </c>
      <c r="B171" s="79"/>
      <c r="C171" s="78"/>
      <c r="D171" s="81"/>
      <c r="E171" s="81"/>
      <c r="F171" s="81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>
        <v>165</v>
      </c>
      <c r="B172" s="76"/>
      <c r="C172" s="77"/>
      <c r="D172" s="81"/>
      <c r="E172" s="81"/>
      <c r="F172" s="81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>
        <v>166</v>
      </c>
      <c r="B173" s="76"/>
      <c r="C173" s="77"/>
      <c r="D173" s="81"/>
      <c r="E173" s="81"/>
      <c r="F173" s="81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>
        <v>167</v>
      </c>
      <c r="B174" s="76"/>
      <c r="C174" s="77"/>
      <c r="D174" s="81"/>
      <c r="E174" s="81"/>
      <c r="F174" s="81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>
        <v>168</v>
      </c>
      <c r="B175" s="76"/>
      <c r="C175" s="77"/>
      <c r="D175" s="81"/>
      <c r="E175" s="81"/>
      <c r="F175" s="81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>
        <v>169</v>
      </c>
      <c r="B176" s="76"/>
      <c r="C176" s="77"/>
      <c r="D176" s="81"/>
      <c r="E176" s="81"/>
      <c r="F176" s="81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>
        <v>170</v>
      </c>
      <c r="B177" s="76"/>
      <c r="C177" s="77"/>
      <c r="D177" s="81"/>
      <c r="E177" s="81"/>
      <c r="F177" s="81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>
        <v>171</v>
      </c>
      <c r="B178" s="76"/>
      <c r="C178" s="77"/>
      <c r="D178" s="81"/>
      <c r="E178" s="81"/>
      <c r="F178" s="81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>
        <v>172</v>
      </c>
      <c r="B179" s="76"/>
      <c r="C179" s="77"/>
      <c r="D179" s="81"/>
      <c r="E179" s="81"/>
      <c r="F179" s="81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>
        <v>173</v>
      </c>
      <c r="B180" s="76"/>
      <c r="C180" s="77"/>
      <c r="D180" s="81"/>
      <c r="E180" s="81"/>
      <c r="F180" s="81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>
        <v>174</v>
      </c>
      <c r="B181" s="76"/>
      <c r="C181" s="77"/>
      <c r="D181" s="81"/>
      <c r="E181" s="81"/>
      <c r="F181" s="81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>
        <v>175</v>
      </c>
      <c r="B182" s="76"/>
      <c r="C182" s="77"/>
      <c r="D182" s="81"/>
      <c r="E182" s="81"/>
      <c r="F182" s="81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>
        <v>176</v>
      </c>
      <c r="B183" s="76"/>
      <c r="C183" s="77"/>
      <c r="D183" s="81"/>
      <c r="E183" s="81"/>
      <c r="F183" s="81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>
        <v>177</v>
      </c>
      <c r="B184" s="76"/>
      <c r="C184" s="77"/>
      <c r="D184" s="81"/>
      <c r="E184" s="81"/>
      <c r="F184" s="81">
        <f t="shared" si="4"/>
        <v>0</v>
      </c>
      <c r="G184" s="22">
        <f t="shared" ref="G184:G219" si="5">IF((D184/$D$6)&gt;=$D$7,1,0)</f>
        <v>0</v>
      </c>
      <c r="H184" s="23">
        <f t="shared" ref="H184:H219" si="6">IF((E184/$E$6)&gt;=$E$7,1,0)</f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5" customHeight="1" x14ac:dyDescent="0.25">
      <c r="A185" s="20">
        <v>178</v>
      </c>
      <c r="B185" s="76"/>
      <c r="C185" s="77"/>
      <c r="D185" s="81"/>
      <c r="E185" s="81"/>
      <c r="F185" s="81">
        <f t="shared" si="4"/>
        <v>0</v>
      </c>
      <c r="G185" s="22">
        <f t="shared" si="5"/>
        <v>0</v>
      </c>
      <c r="H185" s="23">
        <f t="shared" si="6"/>
        <v>0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5" customHeight="1" x14ac:dyDescent="0.25">
      <c r="A186" s="20">
        <v>179</v>
      </c>
      <c r="B186" s="76"/>
      <c r="C186" s="77"/>
      <c r="D186" s="81"/>
      <c r="E186" s="81"/>
      <c r="F186" s="81">
        <f t="shared" si="4"/>
        <v>0</v>
      </c>
      <c r="G186" s="22">
        <f t="shared" si="5"/>
        <v>0</v>
      </c>
      <c r="H186" s="23">
        <f t="shared" si="6"/>
        <v>0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5" customHeight="1" x14ac:dyDescent="0.25">
      <c r="A187" s="20">
        <v>180</v>
      </c>
      <c r="B187" s="76"/>
      <c r="C187" s="77"/>
      <c r="D187" s="81"/>
      <c r="E187" s="81"/>
      <c r="F187" s="81">
        <f t="shared" si="4"/>
        <v>0</v>
      </c>
      <c r="G187" s="22">
        <f t="shared" si="5"/>
        <v>0</v>
      </c>
      <c r="H187" s="23">
        <f t="shared" si="6"/>
        <v>0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9.5" customHeight="1" x14ac:dyDescent="0.25">
      <c r="A188" s="20">
        <v>181</v>
      </c>
      <c r="B188" s="79"/>
      <c r="C188" s="78"/>
      <c r="D188" s="81"/>
      <c r="E188" s="81"/>
      <c r="F188" s="81">
        <f t="shared" si="4"/>
        <v>0</v>
      </c>
      <c r="G188" s="22">
        <f t="shared" si="5"/>
        <v>0</v>
      </c>
      <c r="H188" s="23">
        <f t="shared" si="6"/>
        <v>0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9.5" customHeight="1" x14ac:dyDescent="0.25">
      <c r="A189" s="20">
        <v>182</v>
      </c>
      <c r="B189" s="76"/>
      <c r="C189" s="77"/>
      <c r="D189" s="81"/>
      <c r="E189" s="81"/>
      <c r="F189" s="81">
        <f t="shared" si="4"/>
        <v>0</v>
      </c>
      <c r="G189" s="22">
        <f t="shared" si="5"/>
        <v>0</v>
      </c>
      <c r="H189" s="23">
        <f t="shared" si="6"/>
        <v>0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9.5" customHeight="1" x14ac:dyDescent="0.25">
      <c r="A190" s="20">
        <v>183</v>
      </c>
      <c r="B190" s="76"/>
      <c r="C190" s="77"/>
      <c r="D190" s="81"/>
      <c r="E190" s="81"/>
      <c r="F190" s="81">
        <f t="shared" si="4"/>
        <v>0</v>
      </c>
      <c r="G190" s="22">
        <f t="shared" si="5"/>
        <v>0</v>
      </c>
      <c r="H190" s="23">
        <f t="shared" si="6"/>
        <v>0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9.5" customHeight="1" x14ac:dyDescent="0.25">
      <c r="A191" s="20">
        <v>184</v>
      </c>
      <c r="B191" s="76"/>
      <c r="C191" s="77"/>
      <c r="D191" s="81"/>
      <c r="E191" s="81"/>
      <c r="F191" s="81">
        <f t="shared" si="4"/>
        <v>0</v>
      </c>
      <c r="G191" s="22">
        <f t="shared" si="5"/>
        <v>0</v>
      </c>
      <c r="H191" s="23">
        <f t="shared" si="6"/>
        <v>0</v>
      </c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9.5" customHeight="1" x14ac:dyDescent="0.25">
      <c r="A192" s="20">
        <v>185</v>
      </c>
      <c r="B192" s="79"/>
      <c r="C192" s="78"/>
      <c r="D192" s="81"/>
      <c r="E192" s="81"/>
      <c r="F192" s="81">
        <f t="shared" si="4"/>
        <v>0</v>
      </c>
      <c r="G192" s="22">
        <f t="shared" si="5"/>
        <v>0</v>
      </c>
      <c r="H192" s="23">
        <f t="shared" si="6"/>
        <v>0</v>
      </c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9.5" customHeight="1" x14ac:dyDescent="0.25">
      <c r="A193" s="20">
        <v>186</v>
      </c>
      <c r="B193" s="76"/>
      <c r="C193" s="77"/>
      <c r="D193" s="81"/>
      <c r="E193" s="81"/>
      <c r="F193" s="81">
        <f t="shared" si="4"/>
        <v>0</v>
      </c>
      <c r="G193" s="22">
        <f t="shared" si="5"/>
        <v>0</v>
      </c>
      <c r="H193" s="23">
        <f t="shared" si="6"/>
        <v>0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9.5" customHeight="1" x14ac:dyDescent="0.25">
      <c r="A194" s="20">
        <v>187</v>
      </c>
      <c r="B194" s="76"/>
      <c r="C194" s="77"/>
      <c r="D194" s="81"/>
      <c r="E194" s="81"/>
      <c r="F194" s="81">
        <f t="shared" si="4"/>
        <v>0</v>
      </c>
      <c r="G194" s="22">
        <f t="shared" si="5"/>
        <v>0</v>
      </c>
      <c r="H194" s="23">
        <f t="shared" si="6"/>
        <v>0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9.5" customHeight="1" x14ac:dyDescent="0.25">
      <c r="A195" s="20">
        <v>188</v>
      </c>
      <c r="B195" s="76"/>
      <c r="C195" s="77"/>
      <c r="D195" s="81"/>
      <c r="E195" s="81"/>
      <c r="F195" s="81">
        <f t="shared" si="4"/>
        <v>0</v>
      </c>
      <c r="G195" s="22">
        <f t="shared" si="5"/>
        <v>0</v>
      </c>
      <c r="H195" s="23">
        <f t="shared" si="6"/>
        <v>0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9.5" customHeight="1" x14ac:dyDescent="0.25">
      <c r="A196" s="20">
        <v>189</v>
      </c>
      <c r="B196" s="76"/>
      <c r="C196" s="77"/>
      <c r="D196" s="81"/>
      <c r="E196" s="81"/>
      <c r="F196" s="81">
        <f t="shared" si="4"/>
        <v>0</v>
      </c>
      <c r="G196" s="22">
        <f t="shared" si="5"/>
        <v>0</v>
      </c>
      <c r="H196" s="23">
        <f t="shared" si="6"/>
        <v>0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9.5" customHeight="1" x14ac:dyDescent="0.25">
      <c r="A197" s="20">
        <v>190</v>
      </c>
      <c r="B197" s="76"/>
      <c r="C197" s="77"/>
      <c r="D197" s="81"/>
      <c r="E197" s="81"/>
      <c r="F197" s="81">
        <f t="shared" si="4"/>
        <v>0</v>
      </c>
      <c r="G197" s="22">
        <f t="shared" si="5"/>
        <v>0</v>
      </c>
      <c r="H197" s="23">
        <f t="shared" si="6"/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9.5" customHeight="1" x14ac:dyDescent="0.25">
      <c r="A198" s="20">
        <v>191</v>
      </c>
      <c r="B198" s="76"/>
      <c r="C198" s="77"/>
      <c r="D198" s="81"/>
      <c r="E198" s="81"/>
      <c r="F198" s="81">
        <f t="shared" si="4"/>
        <v>0</v>
      </c>
      <c r="G198" s="22">
        <f t="shared" si="5"/>
        <v>0</v>
      </c>
      <c r="H198" s="23">
        <f t="shared" si="6"/>
        <v>0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9.5" customHeight="1" x14ac:dyDescent="0.25">
      <c r="A199" s="20">
        <v>192</v>
      </c>
      <c r="B199" s="76"/>
      <c r="C199" s="77"/>
      <c r="D199" s="81"/>
      <c r="E199" s="81"/>
      <c r="F199" s="81">
        <f t="shared" si="4"/>
        <v>0</v>
      </c>
      <c r="G199" s="22">
        <f t="shared" si="5"/>
        <v>0</v>
      </c>
      <c r="H199" s="23">
        <f t="shared" si="6"/>
        <v>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9.5" customHeight="1" x14ac:dyDescent="0.25">
      <c r="A200" s="20">
        <v>193</v>
      </c>
      <c r="B200" s="76"/>
      <c r="C200" s="77"/>
      <c r="D200" s="81"/>
      <c r="E200" s="81"/>
      <c r="F200" s="81">
        <f t="shared" si="4"/>
        <v>0</v>
      </c>
      <c r="G200" s="22">
        <f t="shared" si="5"/>
        <v>0</v>
      </c>
      <c r="H200" s="23">
        <f t="shared" si="6"/>
        <v>0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9.5" customHeight="1" x14ac:dyDescent="0.25">
      <c r="A201" s="20">
        <v>194</v>
      </c>
      <c r="B201" s="76"/>
      <c r="C201" s="77"/>
      <c r="D201" s="81"/>
      <c r="E201" s="81"/>
      <c r="F201" s="81">
        <f t="shared" ref="F201:F219" si="7">D201+E201</f>
        <v>0</v>
      </c>
      <c r="G201" s="22">
        <f t="shared" si="5"/>
        <v>0</v>
      </c>
      <c r="H201" s="23">
        <f t="shared" si="6"/>
        <v>0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9.5" customHeight="1" x14ac:dyDescent="0.25">
      <c r="A202" s="20">
        <v>195</v>
      </c>
      <c r="B202" s="76"/>
      <c r="C202" s="77"/>
      <c r="D202" s="81"/>
      <c r="E202" s="81"/>
      <c r="F202" s="81">
        <f t="shared" si="7"/>
        <v>0</v>
      </c>
      <c r="G202" s="22">
        <f t="shared" si="5"/>
        <v>0</v>
      </c>
      <c r="H202" s="23">
        <f t="shared" si="6"/>
        <v>0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9.5" customHeight="1" x14ac:dyDescent="0.25">
      <c r="A203" s="20">
        <v>196</v>
      </c>
      <c r="B203" s="76"/>
      <c r="C203" s="77"/>
      <c r="D203" s="81"/>
      <c r="E203" s="81"/>
      <c r="F203" s="81">
        <f t="shared" si="7"/>
        <v>0</v>
      </c>
      <c r="G203" s="22">
        <f t="shared" si="5"/>
        <v>0</v>
      </c>
      <c r="H203" s="23">
        <f t="shared" si="6"/>
        <v>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9.5" customHeight="1" x14ac:dyDescent="0.25">
      <c r="A204" s="20">
        <v>197</v>
      </c>
      <c r="B204" s="76"/>
      <c r="C204" s="77"/>
      <c r="D204" s="81"/>
      <c r="E204" s="81"/>
      <c r="F204" s="81">
        <f t="shared" si="7"/>
        <v>0</v>
      </c>
      <c r="G204" s="22">
        <f t="shared" si="5"/>
        <v>0</v>
      </c>
      <c r="H204" s="23">
        <f t="shared" si="6"/>
        <v>0</v>
      </c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9.5" customHeight="1" x14ac:dyDescent="0.25">
      <c r="A205" s="20">
        <v>198</v>
      </c>
      <c r="B205" s="76"/>
      <c r="C205" s="77"/>
      <c r="D205" s="81"/>
      <c r="E205" s="81"/>
      <c r="F205" s="81">
        <f t="shared" si="7"/>
        <v>0</v>
      </c>
      <c r="G205" s="22">
        <f t="shared" si="5"/>
        <v>0</v>
      </c>
      <c r="H205" s="23">
        <f t="shared" si="6"/>
        <v>0</v>
      </c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9.5" customHeight="1" x14ac:dyDescent="0.25">
      <c r="A206" s="20">
        <v>199</v>
      </c>
      <c r="B206" s="76"/>
      <c r="C206" s="77"/>
      <c r="D206" s="81"/>
      <c r="E206" s="81"/>
      <c r="F206" s="81">
        <f t="shared" si="7"/>
        <v>0</v>
      </c>
      <c r="G206" s="22">
        <f t="shared" si="5"/>
        <v>0</v>
      </c>
      <c r="H206" s="23">
        <f t="shared" si="6"/>
        <v>0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9.5" customHeight="1" x14ac:dyDescent="0.25">
      <c r="A207" s="20">
        <v>200</v>
      </c>
      <c r="B207" s="76"/>
      <c r="C207" s="77"/>
      <c r="D207" s="81"/>
      <c r="E207" s="81"/>
      <c r="F207" s="81">
        <f t="shared" si="7"/>
        <v>0</v>
      </c>
      <c r="G207" s="22">
        <f t="shared" si="5"/>
        <v>0</v>
      </c>
      <c r="H207" s="23">
        <f t="shared" si="6"/>
        <v>0</v>
      </c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9.5" customHeight="1" x14ac:dyDescent="0.25">
      <c r="A208" s="20">
        <v>201</v>
      </c>
      <c r="B208" s="76"/>
      <c r="C208" s="77"/>
      <c r="D208" s="81"/>
      <c r="E208" s="81"/>
      <c r="F208" s="81">
        <f t="shared" si="7"/>
        <v>0</v>
      </c>
      <c r="G208" s="22">
        <f t="shared" si="5"/>
        <v>0</v>
      </c>
      <c r="H208" s="23">
        <f t="shared" si="6"/>
        <v>0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9.5" customHeight="1" x14ac:dyDescent="0.25">
      <c r="A209" s="20">
        <v>202</v>
      </c>
      <c r="B209" s="76"/>
      <c r="C209" s="77"/>
      <c r="D209" s="81"/>
      <c r="E209" s="81"/>
      <c r="F209" s="81">
        <f t="shared" si="7"/>
        <v>0</v>
      </c>
      <c r="G209" s="22">
        <f t="shared" si="5"/>
        <v>0</v>
      </c>
      <c r="H209" s="23">
        <f t="shared" si="6"/>
        <v>0</v>
      </c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9.5" customHeight="1" x14ac:dyDescent="0.25">
      <c r="A210" s="20">
        <v>203</v>
      </c>
      <c r="B210" s="79"/>
      <c r="C210" s="78"/>
      <c r="D210" s="81"/>
      <c r="E210" s="81"/>
      <c r="F210" s="81">
        <f t="shared" si="7"/>
        <v>0</v>
      </c>
      <c r="G210" s="22">
        <f t="shared" si="5"/>
        <v>0</v>
      </c>
      <c r="H210" s="23">
        <f t="shared" si="6"/>
        <v>0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9.5" customHeight="1" x14ac:dyDescent="0.25">
      <c r="A211" s="20">
        <v>204</v>
      </c>
      <c r="B211" s="76"/>
      <c r="C211" s="77"/>
      <c r="D211" s="81"/>
      <c r="E211" s="81"/>
      <c r="F211" s="81">
        <f t="shared" si="7"/>
        <v>0</v>
      </c>
      <c r="G211" s="22">
        <f t="shared" si="5"/>
        <v>0</v>
      </c>
      <c r="H211" s="23">
        <f t="shared" si="6"/>
        <v>0</v>
      </c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9.5" customHeight="1" x14ac:dyDescent="0.25">
      <c r="A212" s="20">
        <v>205</v>
      </c>
      <c r="B212" s="76"/>
      <c r="C212" s="77"/>
      <c r="D212" s="81"/>
      <c r="E212" s="81"/>
      <c r="F212" s="81">
        <f t="shared" si="7"/>
        <v>0</v>
      </c>
      <c r="G212" s="22">
        <f t="shared" si="5"/>
        <v>0</v>
      </c>
      <c r="H212" s="23">
        <f t="shared" si="6"/>
        <v>0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9.5" customHeight="1" x14ac:dyDescent="0.25">
      <c r="A213" s="20">
        <v>206</v>
      </c>
      <c r="B213" s="76"/>
      <c r="C213" s="77"/>
      <c r="D213" s="81"/>
      <c r="E213" s="81"/>
      <c r="F213" s="81">
        <f t="shared" si="7"/>
        <v>0</v>
      </c>
      <c r="G213" s="22">
        <f t="shared" si="5"/>
        <v>0</v>
      </c>
      <c r="H213" s="23">
        <f t="shared" si="6"/>
        <v>0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9.5" customHeight="1" x14ac:dyDescent="0.25">
      <c r="A214" s="20">
        <v>207</v>
      </c>
      <c r="B214" s="76"/>
      <c r="C214" s="77"/>
      <c r="D214" s="81"/>
      <c r="E214" s="81"/>
      <c r="F214" s="81">
        <f t="shared" si="7"/>
        <v>0</v>
      </c>
      <c r="G214" s="22">
        <f t="shared" si="5"/>
        <v>0</v>
      </c>
      <c r="H214" s="23">
        <f t="shared" si="6"/>
        <v>0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9.5" customHeight="1" x14ac:dyDescent="0.25">
      <c r="A215" s="20">
        <v>208</v>
      </c>
      <c r="B215" s="76"/>
      <c r="C215" s="77"/>
      <c r="D215" s="81"/>
      <c r="E215" s="81"/>
      <c r="F215" s="81">
        <f t="shared" si="7"/>
        <v>0</v>
      </c>
      <c r="G215" s="22">
        <f t="shared" si="5"/>
        <v>0</v>
      </c>
      <c r="H215" s="23">
        <f t="shared" si="6"/>
        <v>0</v>
      </c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9.5" customHeight="1" x14ac:dyDescent="0.25">
      <c r="A216" s="20">
        <v>209</v>
      </c>
      <c r="B216" s="76"/>
      <c r="C216" s="77"/>
      <c r="D216" s="81"/>
      <c r="E216" s="81"/>
      <c r="F216" s="81">
        <f t="shared" si="7"/>
        <v>0</v>
      </c>
      <c r="G216" s="22">
        <f t="shared" si="5"/>
        <v>0</v>
      </c>
      <c r="H216" s="23">
        <f t="shared" si="6"/>
        <v>0</v>
      </c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9.5" customHeight="1" x14ac:dyDescent="0.25">
      <c r="A217" s="20">
        <v>210</v>
      </c>
      <c r="B217" s="76"/>
      <c r="C217" s="77"/>
      <c r="D217" s="81"/>
      <c r="E217" s="81"/>
      <c r="F217" s="81">
        <f t="shared" si="7"/>
        <v>0</v>
      </c>
      <c r="G217" s="22">
        <f t="shared" si="5"/>
        <v>0</v>
      </c>
      <c r="H217" s="23">
        <f t="shared" si="6"/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9.5" customHeight="1" x14ac:dyDescent="0.25">
      <c r="A218" s="20">
        <v>211</v>
      </c>
      <c r="B218" s="79"/>
      <c r="C218" s="78"/>
      <c r="D218" s="81"/>
      <c r="E218" s="81"/>
      <c r="F218" s="81">
        <f t="shared" si="7"/>
        <v>0</v>
      </c>
      <c r="G218" s="22">
        <f t="shared" si="5"/>
        <v>0</v>
      </c>
      <c r="H218" s="23">
        <f t="shared" si="6"/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9.5" customHeight="1" x14ac:dyDescent="0.25">
      <c r="A219" s="20">
        <v>212</v>
      </c>
      <c r="B219" s="76"/>
      <c r="C219" s="77"/>
      <c r="D219" s="81"/>
      <c r="E219" s="81"/>
      <c r="F219" s="81">
        <f t="shared" si="7"/>
        <v>0</v>
      </c>
      <c r="G219" s="22">
        <f t="shared" si="5"/>
        <v>0</v>
      </c>
      <c r="H219" s="23">
        <f t="shared" si="6"/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9.5" customHeight="1" x14ac:dyDescent="0.25">
      <c r="A220" s="20">
        <v>213</v>
      </c>
      <c r="B220" s="125"/>
      <c r="C220" s="126"/>
      <c r="D220" s="127"/>
      <c r="E220" s="127"/>
      <c r="F220" s="81">
        <f t="shared" ref="F220:F257" si="8">D220+E220</f>
        <v>0</v>
      </c>
      <c r="G220" s="22">
        <f t="shared" ref="G220:G257" si="9">IF((D220/$D$6)&gt;=$D$7,1,0)</f>
        <v>0</v>
      </c>
      <c r="H220" s="23">
        <f t="shared" ref="H220:H257" si="10">IF((E220/$E$6)&gt;=$E$7,1,0)</f>
        <v>0</v>
      </c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9.5" customHeight="1" x14ac:dyDescent="0.25">
      <c r="A221" s="20">
        <v>214</v>
      </c>
      <c r="B221" s="125"/>
      <c r="C221" s="126"/>
      <c r="D221" s="127"/>
      <c r="E221" s="127"/>
      <c r="F221" s="81">
        <f t="shared" si="8"/>
        <v>0</v>
      </c>
      <c r="G221" s="22">
        <f t="shared" si="9"/>
        <v>0</v>
      </c>
      <c r="H221" s="23">
        <f t="shared" si="10"/>
        <v>0</v>
      </c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9.5" customHeight="1" x14ac:dyDescent="0.25">
      <c r="A222" s="20">
        <v>215</v>
      </c>
      <c r="B222" s="125"/>
      <c r="C222" s="126"/>
      <c r="D222" s="127"/>
      <c r="E222" s="127"/>
      <c r="F222" s="81">
        <f t="shared" si="8"/>
        <v>0</v>
      </c>
      <c r="G222" s="22">
        <f t="shared" si="9"/>
        <v>0</v>
      </c>
      <c r="H222" s="23">
        <f t="shared" si="10"/>
        <v>0</v>
      </c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9.5" customHeight="1" x14ac:dyDescent="0.25">
      <c r="A223" s="20">
        <v>216</v>
      </c>
      <c r="B223" s="125"/>
      <c r="C223" s="126"/>
      <c r="D223" s="127"/>
      <c r="E223" s="127"/>
      <c r="F223" s="81">
        <f t="shared" si="8"/>
        <v>0</v>
      </c>
      <c r="G223" s="22">
        <f t="shared" si="9"/>
        <v>0</v>
      </c>
      <c r="H223" s="23">
        <f t="shared" si="10"/>
        <v>0</v>
      </c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9.5" customHeight="1" x14ac:dyDescent="0.25">
      <c r="A224" s="20">
        <v>217</v>
      </c>
      <c r="B224" s="125"/>
      <c r="C224" s="126"/>
      <c r="D224" s="127"/>
      <c r="E224" s="127"/>
      <c r="F224" s="81">
        <f t="shared" si="8"/>
        <v>0</v>
      </c>
      <c r="G224" s="22">
        <f t="shared" si="9"/>
        <v>0</v>
      </c>
      <c r="H224" s="23">
        <f t="shared" si="10"/>
        <v>0</v>
      </c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9.5" customHeight="1" x14ac:dyDescent="0.25">
      <c r="A225" s="20">
        <v>218</v>
      </c>
      <c r="B225" s="125"/>
      <c r="C225" s="126"/>
      <c r="D225" s="127"/>
      <c r="E225" s="127"/>
      <c r="F225" s="81">
        <f t="shared" si="8"/>
        <v>0</v>
      </c>
      <c r="G225" s="22">
        <f t="shared" si="9"/>
        <v>0</v>
      </c>
      <c r="H225" s="23">
        <f t="shared" si="10"/>
        <v>0</v>
      </c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9.5" customHeight="1" x14ac:dyDescent="0.25">
      <c r="A226" s="20">
        <v>219</v>
      </c>
      <c r="B226" s="125"/>
      <c r="C226" s="126"/>
      <c r="D226" s="127"/>
      <c r="E226" s="127"/>
      <c r="F226" s="81">
        <f t="shared" si="8"/>
        <v>0</v>
      </c>
      <c r="G226" s="22">
        <f t="shared" si="9"/>
        <v>0</v>
      </c>
      <c r="H226" s="23">
        <f t="shared" si="10"/>
        <v>0</v>
      </c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9.5" customHeight="1" x14ac:dyDescent="0.25">
      <c r="A227" s="20">
        <v>220</v>
      </c>
      <c r="B227" s="125"/>
      <c r="C227" s="126"/>
      <c r="D227" s="127"/>
      <c r="E227" s="127"/>
      <c r="F227" s="81">
        <f t="shared" si="8"/>
        <v>0</v>
      </c>
      <c r="G227" s="22">
        <f t="shared" si="9"/>
        <v>0</v>
      </c>
      <c r="H227" s="23">
        <f t="shared" si="10"/>
        <v>0</v>
      </c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9.5" customHeight="1" x14ac:dyDescent="0.25">
      <c r="A228" s="20">
        <v>221</v>
      </c>
      <c r="B228" s="125"/>
      <c r="C228" s="126"/>
      <c r="D228" s="127"/>
      <c r="E228" s="127"/>
      <c r="F228" s="81">
        <f t="shared" si="8"/>
        <v>0</v>
      </c>
      <c r="G228" s="22">
        <f t="shared" si="9"/>
        <v>0</v>
      </c>
      <c r="H228" s="23">
        <f t="shared" si="10"/>
        <v>0</v>
      </c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9.5" customHeight="1" x14ac:dyDescent="0.25">
      <c r="A229" s="20">
        <v>222</v>
      </c>
      <c r="B229" s="125"/>
      <c r="C229" s="126"/>
      <c r="D229" s="127"/>
      <c r="E229" s="127"/>
      <c r="F229" s="81">
        <f t="shared" si="8"/>
        <v>0</v>
      </c>
      <c r="G229" s="22">
        <f t="shared" si="9"/>
        <v>0</v>
      </c>
      <c r="H229" s="23">
        <f t="shared" si="10"/>
        <v>0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9.5" customHeight="1" x14ac:dyDescent="0.25">
      <c r="A230" s="20">
        <v>223</v>
      </c>
      <c r="B230" s="125"/>
      <c r="C230" s="126"/>
      <c r="D230" s="127"/>
      <c r="E230" s="127"/>
      <c r="F230" s="81">
        <f t="shared" si="8"/>
        <v>0</v>
      </c>
      <c r="G230" s="22">
        <f t="shared" si="9"/>
        <v>0</v>
      </c>
      <c r="H230" s="23">
        <f t="shared" si="10"/>
        <v>0</v>
      </c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9.5" customHeight="1" x14ac:dyDescent="0.25">
      <c r="A231" s="20">
        <v>224</v>
      </c>
      <c r="B231" s="125"/>
      <c r="C231" s="126"/>
      <c r="D231" s="127"/>
      <c r="E231" s="127"/>
      <c r="F231" s="81">
        <f t="shared" si="8"/>
        <v>0</v>
      </c>
      <c r="G231" s="22">
        <f t="shared" si="9"/>
        <v>0</v>
      </c>
      <c r="H231" s="23">
        <f t="shared" si="10"/>
        <v>0</v>
      </c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9.5" customHeight="1" x14ac:dyDescent="0.25">
      <c r="A232" s="20">
        <v>225</v>
      </c>
      <c r="B232" s="125"/>
      <c r="C232" s="126"/>
      <c r="D232" s="127"/>
      <c r="E232" s="127"/>
      <c r="F232" s="81">
        <f t="shared" si="8"/>
        <v>0</v>
      </c>
      <c r="G232" s="22">
        <f t="shared" si="9"/>
        <v>0</v>
      </c>
      <c r="H232" s="23">
        <f t="shared" si="10"/>
        <v>0</v>
      </c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9.5" customHeight="1" x14ac:dyDescent="0.25">
      <c r="A233" s="20">
        <v>226</v>
      </c>
      <c r="B233" s="125"/>
      <c r="C233" s="126"/>
      <c r="D233" s="127"/>
      <c r="E233" s="127"/>
      <c r="F233" s="81">
        <f t="shared" si="8"/>
        <v>0</v>
      </c>
      <c r="G233" s="22">
        <f t="shared" si="9"/>
        <v>0</v>
      </c>
      <c r="H233" s="23">
        <f t="shared" si="10"/>
        <v>0</v>
      </c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9.5" customHeight="1" x14ac:dyDescent="0.25">
      <c r="A234" s="20">
        <v>227</v>
      </c>
      <c r="B234" s="125"/>
      <c r="C234" s="126"/>
      <c r="D234" s="127"/>
      <c r="E234" s="127"/>
      <c r="F234" s="81">
        <f t="shared" si="8"/>
        <v>0</v>
      </c>
      <c r="G234" s="22">
        <f t="shared" si="9"/>
        <v>0</v>
      </c>
      <c r="H234" s="23">
        <f t="shared" si="10"/>
        <v>0</v>
      </c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9.5" customHeight="1" x14ac:dyDescent="0.25">
      <c r="A235" s="20">
        <v>228</v>
      </c>
      <c r="B235" s="125"/>
      <c r="C235" s="126"/>
      <c r="D235" s="127"/>
      <c r="E235" s="127"/>
      <c r="F235" s="81">
        <f t="shared" si="8"/>
        <v>0</v>
      </c>
      <c r="G235" s="22">
        <f t="shared" si="9"/>
        <v>0</v>
      </c>
      <c r="H235" s="23">
        <f t="shared" si="10"/>
        <v>0</v>
      </c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9.5" customHeight="1" x14ac:dyDescent="0.25">
      <c r="A236" s="20">
        <v>229</v>
      </c>
      <c r="B236" s="125"/>
      <c r="C236" s="126"/>
      <c r="D236" s="127"/>
      <c r="E236" s="127"/>
      <c r="F236" s="81">
        <f t="shared" si="8"/>
        <v>0</v>
      </c>
      <c r="G236" s="22">
        <f t="shared" si="9"/>
        <v>0</v>
      </c>
      <c r="H236" s="23">
        <f t="shared" si="10"/>
        <v>0</v>
      </c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9.5" customHeight="1" x14ac:dyDescent="0.25">
      <c r="A237" s="20">
        <v>230</v>
      </c>
      <c r="B237" s="125"/>
      <c r="C237" s="126"/>
      <c r="D237" s="127"/>
      <c r="E237" s="127"/>
      <c r="F237" s="81">
        <f t="shared" si="8"/>
        <v>0</v>
      </c>
      <c r="G237" s="22">
        <f t="shared" si="9"/>
        <v>0</v>
      </c>
      <c r="H237" s="23">
        <f t="shared" si="10"/>
        <v>0</v>
      </c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9.5" customHeight="1" x14ac:dyDescent="0.25">
      <c r="A238" s="20">
        <v>231</v>
      </c>
      <c r="B238" s="125"/>
      <c r="C238" s="126"/>
      <c r="D238" s="127"/>
      <c r="E238" s="127"/>
      <c r="F238" s="81">
        <f t="shared" si="8"/>
        <v>0</v>
      </c>
      <c r="G238" s="22">
        <f t="shared" si="9"/>
        <v>0</v>
      </c>
      <c r="H238" s="23">
        <f t="shared" si="10"/>
        <v>0</v>
      </c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9.5" customHeight="1" x14ac:dyDescent="0.25">
      <c r="A239" s="20">
        <v>232</v>
      </c>
      <c r="B239" s="125"/>
      <c r="C239" s="126"/>
      <c r="D239" s="127"/>
      <c r="E239" s="127"/>
      <c r="F239" s="81">
        <f t="shared" si="8"/>
        <v>0</v>
      </c>
      <c r="G239" s="22">
        <f t="shared" si="9"/>
        <v>0</v>
      </c>
      <c r="H239" s="23">
        <f t="shared" si="10"/>
        <v>0</v>
      </c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9.5" customHeight="1" x14ac:dyDescent="0.25">
      <c r="A240" s="20">
        <v>233</v>
      </c>
      <c r="B240" s="125"/>
      <c r="C240" s="126"/>
      <c r="D240" s="127"/>
      <c r="E240" s="127"/>
      <c r="F240" s="81">
        <f t="shared" si="8"/>
        <v>0</v>
      </c>
      <c r="G240" s="22">
        <f t="shared" si="9"/>
        <v>0</v>
      </c>
      <c r="H240" s="23">
        <f t="shared" si="10"/>
        <v>0</v>
      </c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9.5" customHeight="1" x14ac:dyDescent="0.25">
      <c r="A241" s="20">
        <v>234</v>
      </c>
      <c r="B241" s="125"/>
      <c r="C241" s="126"/>
      <c r="D241" s="127"/>
      <c r="E241" s="127"/>
      <c r="F241" s="81">
        <f t="shared" si="8"/>
        <v>0</v>
      </c>
      <c r="G241" s="22">
        <f t="shared" si="9"/>
        <v>0</v>
      </c>
      <c r="H241" s="23">
        <f t="shared" si="10"/>
        <v>0</v>
      </c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9.5" customHeight="1" x14ac:dyDescent="0.25">
      <c r="A242" s="20">
        <v>235</v>
      </c>
      <c r="B242" s="125"/>
      <c r="C242" s="126"/>
      <c r="D242" s="127"/>
      <c r="E242" s="127"/>
      <c r="F242" s="81">
        <f t="shared" si="8"/>
        <v>0</v>
      </c>
      <c r="G242" s="22">
        <f t="shared" si="9"/>
        <v>0</v>
      </c>
      <c r="H242" s="23">
        <f t="shared" si="10"/>
        <v>0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9.5" customHeight="1" x14ac:dyDescent="0.25">
      <c r="A243" s="20">
        <v>236</v>
      </c>
      <c r="B243" s="125"/>
      <c r="C243" s="126"/>
      <c r="D243" s="127"/>
      <c r="E243" s="127"/>
      <c r="F243" s="81">
        <f t="shared" si="8"/>
        <v>0</v>
      </c>
      <c r="G243" s="22">
        <f t="shared" si="9"/>
        <v>0</v>
      </c>
      <c r="H243" s="23">
        <f t="shared" si="10"/>
        <v>0</v>
      </c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9.5" customHeight="1" x14ac:dyDescent="0.25">
      <c r="A244" s="20">
        <v>237</v>
      </c>
      <c r="B244" s="125"/>
      <c r="C244" s="126"/>
      <c r="D244" s="127"/>
      <c r="E244" s="127"/>
      <c r="F244" s="81">
        <f t="shared" si="8"/>
        <v>0</v>
      </c>
      <c r="G244" s="22">
        <f t="shared" si="9"/>
        <v>0</v>
      </c>
      <c r="H244" s="23">
        <f t="shared" si="10"/>
        <v>0</v>
      </c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9.5" customHeight="1" x14ac:dyDescent="0.25">
      <c r="A245" s="20">
        <v>238</v>
      </c>
      <c r="B245" s="125"/>
      <c r="C245" s="126"/>
      <c r="D245" s="127"/>
      <c r="E245" s="127"/>
      <c r="F245" s="81">
        <f t="shared" si="8"/>
        <v>0</v>
      </c>
      <c r="G245" s="22">
        <f t="shared" si="9"/>
        <v>0</v>
      </c>
      <c r="H245" s="23">
        <f t="shared" si="10"/>
        <v>0</v>
      </c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9.5" customHeight="1" x14ac:dyDescent="0.25">
      <c r="A246" s="20">
        <v>239</v>
      </c>
      <c r="B246" s="125"/>
      <c r="C246" s="126"/>
      <c r="D246" s="127"/>
      <c r="E246" s="127"/>
      <c r="F246" s="81">
        <f t="shared" si="8"/>
        <v>0</v>
      </c>
      <c r="G246" s="22">
        <f t="shared" si="9"/>
        <v>0</v>
      </c>
      <c r="H246" s="23">
        <f t="shared" si="10"/>
        <v>0</v>
      </c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9.5" customHeight="1" x14ac:dyDescent="0.25">
      <c r="A247" s="20">
        <v>240</v>
      </c>
      <c r="B247" s="125"/>
      <c r="C247" s="126"/>
      <c r="D247" s="127"/>
      <c r="E247" s="127"/>
      <c r="F247" s="81">
        <f t="shared" si="8"/>
        <v>0</v>
      </c>
      <c r="G247" s="22">
        <f t="shared" si="9"/>
        <v>0</v>
      </c>
      <c r="H247" s="23">
        <f t="shared" si="10"/>
        <v>0</v>
      </c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9.5" customHeight="1" x14ac:dyDescent="0.25">
      <c r="A248" s="20">
        <v>241</v>
      </c>
      <c r="B248" s="125"/>
      <c r="C248" s="126"/>
      <c r="D248" s="127"/>
      <c r="E248" s="127"/>
      <c r="F248" s="81">
        <f t="shared" si="8"/>
        <v>0</v>
      </c>
      <c r="G248" s="22">
        <f t="shared" si="9"/>
        <v>0</v>
      </c>
      <c r="H248" s="23">
        <f t="shared" si="10"/>
        <v>0</v>
      </c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9.5" customHeight="1" x14ac:dyDescent="0.25">
      <c r="A249" s="20">
        <v>242</v>
      </c>
      <c r="B249" s="125"/>
      <c r="C249" s="126"/>
      <c r="D249" s="127"/>
      <c r="E249" s="127"/>
      <c r="F249" s="81">
        <f t="shared" si="8"/>
        <v>0</v>
      </c>
      <c r="G249" s="22">
        <f t="shared" si="9"/>
        <v>0</v>
      </c>
      <c r="H249" s="23">
        <f t="shared" si="10"/>
        <v>0</v>
      </c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9.5" customHeight="1" x14ac:dyDescent="0.25">
      <c r="A250" s="20">
        <v>243</v>
      </c>
      <c r="B250" s="125"/>
      <c r="C250" s="126"/>
      <c r="D250" s="127"/>
      <c r="E250" s="127"/>
      <c r="F250" s="81">
        <f t="shared" si="8"/>
        <v>0</v>
      </c>
      <c r="G250" s="22">
        <f t="shared" si="9"/>
        <v>0</v>
      </c>
      <c r="H250" s="23">
        <f t="shared" si="10"/>
        <v>0</v>
      </c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9.5" customHeight="1" x14ac:dyDescent="0.25">
      <c r="A251" s="20">
        <v>244</v>
      </c>
      <c r="B251" s="125"/>
      <c r="C251" s="126"/>
      <c r="D251" s="127"/>
      <c r="E251" s="127"/>
      <c r="F251" s="81">
        <f t="shared" si="8"/>
        <v>0</v>
      </c>
      <c r="G251" s="22">
        <f t="shared" si="9"/>
        <v>0</v>
      </c>
      <c r="H251" s="23">
        <f t="shared" si="10"/>
        <v>0</v>
      </c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9.5" customHeight="1" x14ac:dyDescent="0.25">
      <c r="A252" s="20">
        <v>245</v>
      </c>
      <c r="B252" s="125"/>
      <c r="C252" s="126"/>
      <c r="D252" s="127"/>
      <c r="E252" s="127"/>
      <c r="F252" s="81">
        <f t="shared" si="8"/>
        <v>0</v>
      </c>
      <c r="G252" s="22">
        <f t="shared" si="9"/>
        <v>0</v>
      </c>
      <c r="H252" s="23">
        <f t="shared" si="10"/>
        <v>0</v>
      </c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9.5" customHeight="1" x14ac:dyDescent="0.25">
      <c r="A253" s="20">
        <v>246</v>
      </c>
      <c r="B253" s="125"/>
      <c r="C253" s="126"/>
      <c r="D253" s="127"/>
      <c r="E253" s="127"/>
      <c r="F253" s="81">
        <f t="shared" si="8"/>
        <v>0</v>
      </c>
      <c r="G253" s="22">
        <f t="shared" si="9"/>
        <v>0</v>
      </c>
      <c r="H253" s="23">
        <f t="shared" si="10"/>
        <v>0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9.5" customHeight="1" x14ac:dyDescent="0.25">
      <c r="A254" s="20">
        <v>247</v>
      </c>
      <c r="B254" s="125"/>
      <c r="C254" s="126"/>
      <c r="D254" s="127"/>
      <c r="E254" s="127"/>
      <c r="F254" s="81">
        <f t="shared" si="8"/>
        <v>0</v>
      </c>
      <c r="G254" s="22">
        <f t="shared" si="9"/>
        <v>0</v>
      </c>
      <c r="H254" s="23">
        <f t="shared" si="10"/>
        <v>0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9.5" customHeight="1" x14ac:dyDescent="0.25">
      <c r="A255" s="20">
        <v>248</v>
      </c>
      <c r="B255" s="125"/>
      <c r="C255" s="126"/>
      <c r="D255" s="127"/>
      <c r="E255" s="127"/>
      <c r="F255" s="81">
        <f t="shared" si="8"/>
        <v>0</v>
      </c>
      <c r="G255" s="22">
        <f t="shared" si="9"/>
        <v>0</v>
      </c>
      <c r="H255" s="23">
        <f t="shared" si="10"/>
        <v>0</v>
      </c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9.5" customHeight="1" x14ac:dyDescent="0.25">
      <c r="A256" s="20">
        <v>249</v>
      </c>
      <c r="B256" s="125"/>
      <c r="C256" s="126"/>
      <c r="D256" s="127"/>
      <c r="E256" s="127"/>
      <c r="F256" s="81">
        <f t="shared" si="8"/>
        <v>0</v>
      </c>
      <c r="G256" s="22">
        <f t="shared" si="9"/>
        <v>0</v>
      </c>
      <c r="H256" s="23">
        <f t="shared" si="10"/>
        <v>0</v>
      </c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9.5" customHeight="1" x14ac:dyDescent="0.25">
      <c r="A257" s="20">
        <v>250</v>
      </c>
      <c r="B257" s="125"/>
      <c r="C257" s="126"/>
      <c r="D257" s="127"/>
      <c r="E257" s="127"/>
      <c r="F257" s="81">
        <f t="shared" si="8"/>
        <v>0</v>
      </c>
      <c r="G257" s="22">
        <f t="shared" si="9"/>
        <v>0</v>
      </c>
      <c r="H257" s="23">
        <f t="shared" si="10"/>
        <v>0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9.5" customHeight="1" x14ac:dyDescent="0.25">
      <c r="A258" s="20"/>
      <c r="B258" s="26"/>
      <c r="C258" s="27"/>
      <c r="D258" s="28">
        <v>250</v>
      </c>
      <c r="E258" s="28">
        <v>250</v>
      </c>
      <c r="F258" s="25"/>
      <c r="G258" s="15">
        <f>COUNTIF(G8:G257,1)</f>
        <v>0</v>
      </c>
      <c r="H258" s="15">
        <f>COUNTIF(H8:H257,1)</f>
        <v>0</v>
      </c>
    </row>
    <row r="259" spans="1:26" ht="15.75" customHeight="1" x14ac:dyDescent="0.25">
      <c r="A259" s="29" t="s">
        <v>36</v>
      </c>
      <c r="B259" s="30"/>
      <c r="C259" s="31"/>
      <c r="D259" s="32" t="s">
        <v>37</v>
      </c>
      <c r="E259" s="32" t="s">
        <v>38</v>
      </c>
      <c r="F259" s="108" t="s">
        <v>39</v>
      </c>
      <c r="G259" s="88"/>
      <c r="H259" s="89"/>
    </row>
    <row r="260" spans="1:26" ht="19.5" customHeight="1" x14ac:dyDescent="0.25">
      <c r="A260" s="29" t="s">
        <v>40</v>
      </c>
      <c r="B260" s="30"/>
      <c r="C260" s="31"/>
      <c r="D260" s="33">
        <f>ROUND((G258/D258*100),0)</f>
        <v>0</v>
      </c>
      <c r="E260" s="32">
        <f t="shared" ref="E260:E261" si="11">IF(D260&gt;100,"ERROR",IF(D260&gt;=61,3,IF(D260&gt;=46,2,IF(D260&gt;=16,1,IF(D260&gt;15,0,0)))))</f>
        <v>0</v>
      </c>
      <c r="F260" s="34"/>
      <c r="G260" s="35"/>
      <c r="H260" s="36"/>
    </row>
    <row r="261" spans="1:26" ht="19.5" customHeight="1" x14ac:dyDescent="0.25">
      <c r="A261" s="29" t="s">
        <v>41</v>
      </c>
      <c r="B261" s="30"/>
      <c r="C261" s="31"/>
      <c r="D261" s="33">
        <f>ROUND((H258/E258*100),0)</f>
        <v>0</v>
      </c>
      <c r="E261" s="33">
        <f t="shared" si="11"/>
        <v>0</v>
      </c>
      <c r="F261" s="37"/>
      <c r="G261" s="38"/>
      <c r="H261" s="39"/>
    </row>
    <row r="262" spans="1:26" ht="15.75" customHeight="1" x14ac:dyDescent="0.3">
      <c r="D262" s="40"/>
      <c r="E262" s="40"/>
    </row>
    <row r="263" spans="1:26" ht="15.75" customHeight="1" x14ac:dyDescent="0.3">
      <c r="D263" s="40"/>
      <c r="E263" s="40"/>
    </row>
    <row r="264" spans="1:26" ht="15.75" customHeight="1" x14ac:dyDescent="0.3">
      <c r="D264" s="40"/>
      <c r="E264" s="40"/>
    </row>
    <row r="265" spans="1:26" ht="15.75" customHeight="1" x14ac:dyDescent="0.3">
      <c r="D265" s="40"/>
      <c r="E265" s="40"/>
    </row>
    <row r="266" spans="1:26" ht="15.75" customHeight="1" x14ac:dyDescent="0.3">
      <c r="D266" s="40"/>
      <c r="E266" s="40"/>
    </row>
    <row r="267" spans="1:26" ht="15.75" customHeight="1" x14ac:dyDescent="0.3">
      <c r="D267" s="40"/>
      <c r="E267" s="40"/>
    </row>
    <row r="268" spans="1:26" ht="15.75" customHeight="1" x14ac:dyDescent="0.3">
      <c r="D268" s="40"/>
      <c r="E268" s="40"/>
    </row>
    <row r="269" spans="1:26" ht="15.75" customHeight="1" x14ac:dyDescent="0.3">
      <c r="D269" s="40"/>
      <c r="E269" s="40"/>
    </row>
    <row r="270" spans="1:26" ht="15.75" customHeight="1" x14ac:dyDescent="0.3">
      <c r="D270" s="40"/>
      <c r="E270" s="40"/>
    </row>
    <row r="271" spans="1:26" ht="15.75" customHeight="1" x14ac:dyDescent="0.3">
      <c r="D271" s="40"/>
      <c r="E271" s="40"/>
    </row>
    <row r="272" spans="1:26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3">
      <c r="D388" s="40"/>
      <c r="E388" s="40"/>
    </row>
    <row r="389" spans="4:5" ht="15.75" customHeight="1" x14ac:dyDescent="0.3">
      <c r="D389" s="40"/>
      <c r="E389" s="40"/>
    </row>
    <row r="390" spans="4:5" ht="15.75" customHeight="1" x14ac:dyDescent="0.3">
      <c r="D390" s="40"/>
      <c r="E390" s="40"/>
    </row>
    <row r="391" spans="4:5" ht="15.75" customHeight="1" x14ac:dyDescent="0.3">
      <c r="D391" s="40"/>
      <c r="E391" s="40"/>
    </row>
    <row r="392" spans="4:5" ht="15.75" customHeight="1" x14ac:dyDescent="0.3">
      <c r="D392" s="40"/>
      <c r="E392" s="40"/>
    </row>
    <row r="393" spans="4:5" ht="15.75" customHeight="1" x14ac:dyDescent="0.3">
      <c r="D393" s="40"/>
      <c r="E393" s="40"/>
    </row>
    <row r="394" spans="4:5" ht="15.75" customHeight="1" x14ac:dyDescent="0.3">
      <c r="D394" s="40"/>
      <c r="E394" s="40"/>
    </row>
    <row r="395" spans="4:5" ht="15.75" customHeight="1" x14ac:dyDescent="0.3">
      <c r="D395" s="40"/>
      <c r="E395" s="40"/>
    </row>
    <row r="396" spans="4:5" ht="15.75" customHeight="1" x14ac:dyDescent="0.3">
      <c r="D396" s="40"/>
      <c r="E396" s="40"/>
    </row>
    <row r="397" spans="4:5" ht="15.75" customHeight="1" x14ac:dyDescent="0.3">
      <c r="D397" s="40"/>
      <c r="E397" s="40"/>
    </row>
    <row r="398" spans="4:5" ht="15.75" customHeight="1" x14ac:dyDescent="0.3">
      <c r="D398" s="40"/>
      <c r="E398" s="40"/>
    </row>
    <row r="399" spans="4:5" ht="15.75" customHeight="1" x14ac:dyDescent="0.3">
      <c r="D399" s="40"/>
      <c r="E399" s="40"/>
    </row>
    <row r="400" spans="4:5" ht="15.75" customHeight="1" x14ac:dyDescent="0.3">
      <c r="D400" s="40"/>
      <c r="E400" s="40"/>
    </row>
    <row r="401" spans="4:5" ht="15.75" customHeight="1" x14ac:dyDescent="0.3">
      <c r="D401" s="40"/>
      <c r="E401" s="40"/>
    </row>
    <row r="402" spans="4:5" ht="15.75" customHeight="1" x14ac:dyDescent="0.3">
      <c r="D402" s="40"/>
      <c r="E402" s="40"/>
    </row>
    <row r="403" spans="4:5" ht="15.75" customHeight="1" x14ac:dyDescent="0.3">
      <c r="D403" s="40"/>
      <c r="E403" s="40"/>
    </row>
    <row r="404" spans="4:5" ht="15.75" customHeight="1" x14ac:dyDescent="0.3">
      <c r="D404" s="40"/>
      <c r="E404" s="40"/>
    </row>
    <row r="405" spans="4:5" ht="15.75" customHeight="1" x14ac:dyDescent="0.3">
      <c r="D405" s="40"/>
      <c r="E405" s="40"/>
    </row>
    <row r="406" spans="4:5" ht="15.75" customHeight="1" x14ac:dyDescent="0.3">
      <c r="D406" s="40"/>
      <c r="E406" s="40"/>
    </row>
    <row r="407" spans="4:5" ht="15.75" customHeight="1" x14ac:dyDescent="0.3">
      <c r="D407" s="40"/>
      <c r="E407" s="40"/>
    </row>
    <row r="408" spans="4:5" ht="15.75" customHeight="1" x14ac:dyDescent="0.3">
      <c r="D408" s="40"/>
      <c r="E408" s="40"/>
    </row>
    <row r="409" spans="4:5" ht="15.75" customHeight="1" x14ac:dyDescent="0.3">
      <c r="D409" s="40"/>
      <c r="E409" s="40"/>
    </row>
    <row r="410" spans="4:5" ht="15.75" customHeight="1" x14ac:dyDescent="0.3">
      <c r="D410" s="40"/>
      <c r="E410" s="40"/>
    </row>
    <row r="411" spans="4:5" ht="15.75" customHeight="1" x14ac:dyDescent="0.3">
      <c r="D411" s="40"/>
      <c r="E411" s="40"/>
    </row>
    <row r="412" spans="4:5" ht="15.75" customHeight="1" x14ac:dyDescent="0.3">
      <c r="D412" s="40"/>
      <c r="E412" s="40"/>
    </row>
    <row r="413" spans="4:5" ht="15.75" customHeight="1" x14ac:dyDescent="0.3">
      <c r="D413" s="40"/>
      <c r="E413" s="40"/>
    </row>
    <row r="414" spans="4:5" ht="15.75" customHeight="1" x14ac:dyDescent="0.3">
      <c r="D414" s="40"/>
      <c r="E414" s="40"/>
    </row>
    <row r="415" spans="4:5" ht="15.75" customHeight="1" x14ac:dyDescent="0.3">
      <c r="D415" s="40"/>
      <c r="E415" s="40"/>
    </row>
    <row r="416" spans="4:5" ht="15.75" customHeight="1" x14ac:dyDescent="0.3">
      <c r="D416" s="40"/>
      <c r="E416" s="40"/>
    </row>
    <row r="417" spans="4:5" ht="15.75" customHeight="1" x14ac:dyDescent="0.3">
      <c r="D417" s="40"/>
      <c r="E417" s="40"/>
    </row>
    <row r="418" spans="4:5" ht="15.75" customHeight="1" x14ac:dyDescent="0.3">
      <c r="D418" s="40"/>
      <c r="E418" s="40"/>
    </row>
    <row r="419" spans="4:5" ht="15.75" customHeight="1" x14ac:dyDescent="0.3">
      <c r="D419" s="40"/>
      <c r="E419" s="40"/>
    </row>
    <row r="420" spans="4:5" ht="15.75" customHeight="1" x14ac:dyDescent="0.3">
      <c r="D420" s="40"/>
      <c r="E420" s="40"/>
    </row>
    <row r="421" spans="4:5" ht="15.75" customHeight="1" x14ac:dyDescent="0.3">
      <c r="D421" s="40"/>
      <c r="E421" s="40"/>
    </row>
    <row r="422" spans="4:5" ht="15.75" customHeight="1" x14ac:dyDescent="0.3">
      <c r="D422" s="40"/>
      <c r="E422" s="40"/>
    </row>
    <row r="423" spans="4:5" ht="15.75" customHeight="1" x14ac:dyDescent="0.3">
      <c r="D423" s="40"/>
      <c r="E423" s="40"/>
    </row>
    <row r="424" spans="4:5" ht="15.75" customHeight="1" x14ac:dyDescent="0.3">
      <c r="D424" s="40"/>
      <c r="E424" s="40"/>
    </row>
    <row r="425" spans="4:5" ht="15.75" customHeight="1" x14ac:dyDescent="0.3">
      <c r="D425" s="40"/>
      <c r="E425" s="40"/>
    </row>
    <row r="426" spans="4:5" ht="15.75" customHeight="1" x14ac:dyDescent="0.3">
      <c r="D426" s="40"/>
      <c r="E426" s="40"/>
    </row>
    <row r="427" spans="4:5" ht="15.75" customHeight="1" x14ac:dyDescent="0.3">
      <c r="D427" s="40"/>
      <c r="E427" s="40"/>
    </row>
    <row r="428" spans="4:5" ht="15.75" customHeight="1" x14ac:dyDescent="0.3">
      <c r="D428" s="40"/>
      <c r="E428" s="40"/>
    </row>
    <row r="429" spans="4:5" ht="15.75" customHeight="1" x14ac:dyDescent="0.3">
      <c r="D429" s="40"/>
      <c r="E429" s="40"/>
    </row>
    <row r="430" spans="4:5" ht="15.75" customHeight="1" x14ac:dyDescent="0.3">
      <c r="D430" s="40"/>
      <c r="E430" s="40"/>
    </row>
    <row r="431" spans="4:5" ht="15.75" customHeight="1" x14ac:dyDescent="0.3">
      <c r="D431" s="40"/>
      <c r="E431" s="40"/>
    </row>
    <row r="432" spans="4:5" ht="15.75" customHeight="1" x14ac:dyDescent="0.3">
      <c r="D432" s="40"/>
      <c r="E432" s="40"/>
    </row>
    <row r="433" spans="4:5" ht="15.75" customHeight="1" x14ac:dyDescent="0.3">
      <c r="D433" s="40"/>
      <c r="E433" s="40"/>
    </row>
    <row r="434" spans="4:5" ht="15.75" customHeight="1" x14ac:dyDescent="0.3">
      <c r="D434" s="40"/>
      <c r="E434" s="40"/>
    </row>
    <row r="435" spans="4:5" ht="15.75" customHeight="1" x14ac:dyDescent="0.3">
      <c r="D435" s="40"/>
      <c r="E435" s="40"/>
    </row>
    <row r="436" spans="4:5" ht="15.75" customHeight="1" x14ac:dyDescent="0.3">
      <c r="D436" s="40"/>
      <c r="E436" s="40"/>
    </row>
    <row r="437" spans="4:5" ht="15.75" customHeight="1" x14ac:dyDescent="0.3">
      <c r="D437" s="40"/>
      <c r="E437" s="40"/>
    </row>
    <row r="438" spans="4:5" ht="15.75" customHeight="1" x14ac:dyDescent="0.3">
      <c r="D438" s="40"/>
      <c r="E438" s="40"/>
    </row>
    <row r="439" spans="4:5" ht="15.75" customHeight="1" x14ac:dyDescent="0.3">
      <c r="D439" s="40"/>
      <c r="E439" s="40"/>
    </row>
    <row r="440" spans="4:5" ht="15.75" customHeight="1" x14ac:dyDescent="0.3">
      <c r="D440" s="40"/>
      <c r="E440" s="40"/>
    </row>
    <row r="441" spans="4:5" ht="15.75" customHeight="1" x14ac:dyDescent="0.3">
      <c r="D441" s="40"/>
      <c r="E441" s="40"/>
    </row>
    <row r="442" spans="4:5" ht="15.75" customHeight="1" x14ac:dyDescent="0.3">
      <c r="D442" s="40"/>
      <c r="E442" s="40"/>
    </row>
    <row r="443" spans="4:5" ht="15.75" customHeight="1" x14ac:dyDescent="0.3">
      <c r="D443" s="40"/>
      <c r="E443" s="40"/>
    </row>
    <row r="444" spans="4:5" ht="15.75" customHeight="1" x14ac:dyDescent="0.3">
      <c r="D444" s="40"/>
      <c r="E444" s="40"/>
    </row>
    <row r="445" spans="4:5" ht="15.75" customHeight="1" x14ac:dyDescent="0.3">
      <c r="D445" s="40"/>
      <c r="E445" s="40"/>
    </row>
    <row r="446" spans="4:5" ht="15.75" customHeight="1" x14ac:dyDescent="0.3">
      <c r="D446" s="40"/>
      <c r="E446" s="40"/>
    </row>
    <row r="447" spans="4:5" ht="15.75" customHeight="1" x14ac:dyDescent="0.3">
      <c r="D447" s="40"/>
      <c r="E447" s="40"/>
    </row>
    <row r="448" spans="4:5" ht="15.75" customHeight="1" x14ac:dyDescent="0.3">
      <c r="D448" s="40"/>
      <c r="E448" s="40"/>
    </row>
    <row r="449" spans="4:5" ht="15.75" customHeight="1" x14ac:dyDescent="0.3">
      <c r="D449" s="40"/>
      <c r="E449" s="40"/>
    </row>
    <row r="450" spans="4:5" ht="15.75" customHeight="1" x14ac:dyDescent="0.3">
      <c r="D450" s="40"/>
      <c r="E450" s="40"/>
    </row>
    <row r="451" spans="4:5" ht="15.75" customHeight="1" x14ac:dyDescent="0.3">
      <c r="D451" s="40"/>
      <c r="E451" s="40"/>
    </row>
    <row r="452" spans="4:5" ht="15.75" customHeight="1" x14ac:dyDescent="0.3">
      <c r="D452" s="40"/>
      <c r="E452" s="40"/>
    </row>
    <row r="453" spans="4:5" ht="15.75" customHeight="1" x14ac:dyDescent="0.3">
      <c r="D453" s="40"/>
      <c r="E453" s="40"/>
    </row>
    <row r="454" spans="4:5" ht="15.75" customHeight="1" x14ac:dyDescent="0.3">
      <c r="D454" s="40"/>
      <c r="E454" s="40"/>
    </row>
    <row r="455" spans="4:5" ht="15.75" customHeight="1" x14ac:dyDescent="0.3">
      <c r="D455" s="40"/>
      <c r="E455" s="40"/>
    </row>
    <row r="456" spans="4:5" ht="15.75" customHeight="1" x14ac:dyDescent="0.3">
      <c r="D456" s="40"/>
      <c r="E456" s="40"/>
    </row>
    <row r="457" spans="4:5" ht="15.75" customHeight="1" x14ac:dyDescent="0.3">
      <c r="D457" s="40"/>
      <c r="E457" s="40"/>
    </row>
    <row r="458" spans="4:5" ht="15.75" customHeight="1" x14ac:dyDescent="0.3">
      <c r="D458" s="40"/>
      <c r="E458" s="40"/>
    </row>
    <row r="459" spans="4:5" ht="15.75" customHeight="1" x14ac:dyDescent="0.3">
      <c r="D459" s="40"/>
      <c r="E459" s="40"/>
    </row>
    <row r="460" spans="4:5" ht="15.75" customHeight="1" x14ac:dyDescent="0.3">
      <c r="D460" s="40"/>
      <c r="E460" s="40"/>
    </row>
    <row r="461" spans="4:5" ht="15.75" customHeight="1" x14ac:dyDescent="0.3">
      <c r="D461" s="40"/>
      <c r="E461" s="40"/>
    </row>
    <row r="462" spans="4:5" ht="15.75" customHeight="1" x14ac:dyDescent="0.25"/>
    <row r="463" spans="4:5" ht="15.75" customHeight="1" x14ac:dyDescent="0.25"/>
    <row r="464" spans="4:5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</sheetData>
  <mergeCells count="9">
    <mergeCell ref="G5:H5"/>
    <mergeCell ref="F259:H259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257">
    <cfRule type="containsText" dxfId="10" priority="3" operator="containsText" text="AB">
      <formula>NOT(ISERROR(SEARCH(("AB"),(F8))))</formula>
    </cfRule>
  </conditionalFormatting>
  <conditionalFormatting sqref="G8:H257">
    <cfRule type="cellIs" dxfId="9" priority="8" operator="equal">
      <formula>0</formula>
    </cfRule>
  </conditionalFormatting>
  <conditionalFormatting sqref="E8:E257">
    <cfRule type="cellIs" dxfId="8" priority="17" operator="equal">
      <formula>"F"</formula>
    </cfRule>
    <cfRule type="colorScale" priority="18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9"/>
    </row>
    <row r="2" spans="1:9" ht="19.5" customHeight="1" x14ac:dyDescent="0.25">
      <c r="A2" s="87" t="s">
        <v>42</v>
      </c>
      <c r="B2" s="88"/>
      <c r="C2" s="88"/>
      <c r="D2" s="88"/>
      <c r="E2" s="88"/>
      <c r="F2" s="88"/>
      <c r="G2" s="88"/>
      <c r="H2" s="88"/>
      <c r="I2" s="89"/>
    </row>
    <row r="3" spans="1:9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9"/>
    </row>
    <row r="4" spans="1:9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9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Assessment'!D260</f>
        <v>0</v>
      </c>
      <c r="D6" s="41">
        <f>'Sessional + End Term Assessment'!E260</f>
        <v>0</v>
      </c>
      <c r="E6" s="41">
        <f>D6*'Sessional + End Term Assessment'!D6/'Sessional + End Term Assessment'!F6</f>
        <v>0</v>
      </c>
      <c r="F6" s="41">
        <f>'Sessional + End Term Assessment'!D261</f>
        <v>0</v>
      </c>
      <c r="G6" s="41">
        <f>'Sessional + End Term Assessment'!E261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12" t="s">
        <v>52</v>
      </c>
      <c r="B7" s="94"/>
      <c r="C7" s="94"/>
      <c r="D7" s="94"/>
      <c r="E7" s="94"/>
      <c r="F7" s="95"/>
      <c r="G7" s="108" t="s">
        <v>39</v>
      </c>
      <c r="H7" s="88"/>
      <c r="I7" s="89"/>
    </row>
    <row r="8" spans="1:9" ht="13.8" x14ac:dyDescent="0.25">
      <c r="A8" s="96"/>
      <c r="B8" s="97"/>
      <c r="C8" s="97"/>
      <c r="D8" s="97"/>
      <c r="E8" s="97"/>
      <c r="F8" s="98"/>
      <c r="G8" s="112"/>
      <c r="H8" s="94"/>
      <c r="I8" s="95"/>
    </row>
    <row r="9" spans="1:9" ht="13.8" x14ac:dyDescent="0.25">
      <c r="A9" s="99"/>
      <c r="B9" s="100"/>
      <c r="C9" s="100"/>
      <c r="D9" s="100"/>
      <c r="E9" s="100"/>
      <c r="F9" s="101"/>
      <c r="G9" s="99"/>
      <c r="H9" s="100"/>
      <c r="I9" s="10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53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Mapping'!A4:P4</f>
        <v>SUBJECT: Advanced Engineering Mathematics                                                                                                   Faculty: Dr. Kalpana Fatawat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92" t="s">
        <v>39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9"/>
      <c r="N7" s="92"/>
      <c r="O7" s="88"/>
      <c r="P7" s="8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40"/>
  <sheetViews>
    <sheetView topLeftCell="A218" workbookViewId="0">
      <selection activeCell="A231" sqref="A231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6" t="str">
        <f>'CO-PO Mapping'!A1:R1</f>
        <v>DEPARTMENT OF COMPUTER SCIENCE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8"/>
      <c r="S1" s="44"/>
      <c r="T1" s="44"/>
      <c r="U1" s="44"/>
      <c r="V1" s="44"/>
      <c r="W1" s="44"/>
      <c r="X1" s="44"/>
    </row>
    <row r="2" spans="1:29" ht="19.5" customHeight="1" x14ac:dyDescent="0.25">
      <c r="A2" s="116" t="s">
        <v>55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/>
      <c r="S2" s="44"/>
      <c r="T2" s="44"/>
      <c r="U2" s="44"/>
      <c r="V2" s="44"/>
      <c r="W2" s="44"/>
      <c r="X2" s="44"/>
    </row>
    <row r="3" spans="1:29" ht="19.5" customHeight="1" x14ac:dyDescent="0.25">
      <c r="A3" s="116" t="str">
        <f>'CO-PO Mapping'!A3:R3</f>
        <v>II Year III Semester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44"/>
      <c r="T3" s="44"/>
      <c r="U3" s="44"/>
      <c r="V3" s="44"/>
      <c r="W3" s="44"/>
      <c r="X3" s="44"/>
    </row>
    <row r="4" spans="1:29" ht="19.5" customHeight="1" x14ac:dyDescent="0.25">
      <c r="A4" s="119" t="s">
        <v>27</v>
      </c>
      <c r="B4" s="113" t="s">
        <v>97</v>
      </c>
      <c r="C4" s="65" t="s">
        <v>29</v>
      </c>
      <c r="D4" s="116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8"/>
      <c r="R4" s="119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20"/>
      <c r="B5" s="120"/>
      <c r="C5" s="65" t="s">
        <v>57</v>
      </c>
      <c r="D5" s="65" t="s">
        <v>58</v>
      </c>
      <c r="E5" s="113" t="s">
        <v>59</v>
      </c>
      <c r="F5" s="113" t="s">
        <v>60</v>
      </c>
      <c r="G5" s="113" t="s">
        <v>61</v>
      </c>
      <c r="H5" s="65" t="s">
        <v>62</v>
      </c>
      <c r="I5" s="113" t="s">
        <v>59</v>
      </c>
      <c r="J5" s="113" t="s">
        <v>60</v>
      </c>
      <c r="K5" s="113" t="s">
        <v>61</v>
      </c>
      <c r="L5" s="65" t="s">
        <v>63</v>
      </c>
      <c r="M5" s="113" t="s">
        <v>64</v>
      </c>
      <c r="N5" s="113" t="s">
        <v>65</v>
      </c>
      <c r="O5" s="113" t="s">
        <v>66</v>
      </c>
      <c r="P5" s="65" t="s">
        <v>67</v>
      </c>
      <c r="Q5" s="65" t="s">
        <v>68</v>
      </c>
      <c r="R5" s="114"/>
      <c r="S5" s="44"/>
      <c r="T5" s="44"/>
      <c r="U5" s="44"/>
      <c r="V5" s="44"/>
      <c r="W5" s="44"/>
      <c r="X5" s="44"/>
    </row>
    <row r="6" spans="1:29" ht="54.75" customHeight="1" x14ac:dyDescent="0.3">
      <c r="A6" s="114"/>
      <c r="B6" s="114"/>
      <c r="C6" s="65" t="s">
        <v>34</v>
      </c>
      <c r="D6" s="66">
        <v>28</v>
      </c>
      <c r="E6" s="114"/>
      <c r="F6" s="114"/>
      <c r="G6" s="114"/>
      <c r="H6" s="66">
        <v>28</v>
      </c>
      <c r="I6" s="114"/>
      <c r="J6" s="114"/>
      <c r="K6" s="114"/>
      <c r="L6" s="66">
        <v>14</v>
      </c>
      <c r="M6" s="115"/>
      <c r="N6" s="115"/>
      <c r="O6" s="115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80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80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80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80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80"/>
      <c r="E8" s="70">
        <f t="shared" si="0"/>
        <v>0</v>
      </c>
      <c r="F8" s="70">
        <f t="shared" si="1"/>
        <v>0</v>
      </c>
      <c r="G8" s="70">
        <f t="shared" si="2"/>
        <v>0</v>
      </c>
      <c r="H8" s="80"/>
      <c r="I8" s="70">
        <f t="shared" si="3"/>
        <v>0</v>
      </c>
      <c r="J8" s="70">
        <f t="shared" si="4"/>
        <v>0</v>
      </c>
      <c r="K8" s="70">
        <f t="shared" si="5"/>
        <v>0</v>
      </c>
      <c r="L8" s="80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80"/>
      <c r="E9" s="70">
        <f t="shared" si="0"/>
        <v>0</v>
      </c>
      <c r="F9" s="70">
        <f t="shared" si="1"/>
        <v>0</v>
      </c>
      <c r="G9" s="70">
        <f t="shared" si="2"/>
        <v>0</v>
      </c>
      <c r="H9" s="80"/>
      <c r="I9" s="70">
        <f t="shared" si="3"/>
        <v>0</v>
      </c>
      <c r="J9" s="70">
        <f t="shared" si="4"/>
        <v>0</v>
      </c>
      <c r="K9" s="70">
        <f t="shared" si="5"/>
        <v>0</v>
      </c>
      <c r="L9" s="80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80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80"/>
      <c r="E10" s="70">
        <f t="shared" si="0"/>
        <v>0</v>
      </c>
      <c r="F10" s="70">
        <f t="shared" si="1"/>
        <v>0</v>
      </c>
      <c r="G10" s="70">
        <f t="shared" si="2"/>
        <v>0</v>
      </c>
      <c r="H10" s="80"/>
      <c r="I10" s="70">
        <f t="shared" si="3"/>
        <v>0</v>
      </c>
      <c r="J10" s="70">
        <f t="shared" si="4"/>
        <v>0</v>
      </c>
      <c r="K10" s="70">
        <f t="shared" si="5"/>
        <v>0</v>
      </c>
      <c r="L10" s="80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80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80"/>
      <c r="E11" s="70">
        <f t="shared" si="0"/>
        <v>0</v>
      </c>
      <c r="F11" s="70">
        <f t="shared" si="1"/>
        <v>0</v>
      </c>
      <c r="G11" s="70">
        <f t="shared" si="2"/>
        <v>0</v>
      </c>
      <c r="H11" s="80"/>
      <c r="I11" s="70">
        <f t="shared" si="3"/>
        <v>0</v>
      </c>
      <c r="J11" s="70">
        <f t="shared" si="4"/>
        <v>0</v>
      </c>
      <c r="K11" s="70">
        <f t="shared" si="5"/>
        <v>0</v>
      </c>
      <c r="L11" s="80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80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80"/>
      <c r="E12" s="70">
        <f t="shared" si="0"/>
        <v>0</v>
      </c>
      <c r="F12" s="70">
        <f t="shared" si="1"/>
        <v>0</v>
      </c>
      <c r="G12" s="70">
        <f t="shared" si="2"/>
        <v>0</v>
      </c>
      <c r="H12" s="80"/>
      <c r="I12" s="70">
        <f t="shared" si="3"/>
        <v>0</v>
      </c>
      <c r="J12" s="70">
        <f t="shared" si="4"/>
        <v>0</v>
      </c>
      <c r="K12" s="70">
        <f t="shared" si="5"/>
        <v>0</v>
      </c>
      <c r="L12" s="80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80"/>
      <c r="E13" s="70">
        <f t="shared" si="0"/>
        <v>0</v>
      </c>
      <c r="F13" s="70">
        <f t="shared" si="1"/>
        <v>0</v>
      </c>
      <c r="G13" s="70">
        <f t="shared" si="2"/>
        <v>0</v>
      </c>
      <c r="H13" s="80"/>
      <c r="I13" s="70">
        <f t="shared" si="3"/>
        <v>0</v>
      </c>
      <c r="J13" s="70">
        <f t="shared" si="4"/>
        <v>0</v>
      </c>
      <c r="K13" s="70">
        <f t="shared" si="5"/>
        <v>0</v>
      </c>
      <c r="L13" s="80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80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80"/>
      <c r="E14" s="70">
        <f t="shared" si="0"/>
        <v>0</v>
      </c>
      <c r="F14" s="70">
        <f t="shared" si="1"/>
        <v>0</v>
      </c>
      <c r="G14" s="70">
        <f t="shared" si="2"/>
        <v>0</v>
      </c>
      <c r="H14" s="80"/>
      <c r="I14" s="70">
        <f t="shared" si="3"/>
        <v>0</v>
      </c>
      <c r="J14" s="70">
        <f t="shared" si="4"/>
        <v>0</v>
      </c>
      <c r="K14" s="70">
        <f t="shared" si="5"/>
        <v>0</v>
      </c>
      <c r="L14" s="80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80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80"/>
      <c r="E15" s="70">
        <f t="shared" si="0"/>
        <v>0</v>
      </c>
      <c r="F15" s="70">
        <f t="shared" si="1"/>
        <v>0</v>
      </c>
      <c r="G15" s="70">
        <f t="shared" si="2"/>
        <v>0</v>
      </c>
      <c r="H15" s="80"/>
      <c r="I15" s="70">
        <f t="shared" si="3"/>
        <v>0</v>
      </c>
      <c r="J15" s="70">
        <f t="shared" si="4"/>
        <v>0</v>
      </c>
      <c r="K15" s="70">
        <f t="shared" si="5"/>
        <v>0</v>
      </c>
      <c r="L15" s="80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80"/>
      <c r="E16" s="70">
        <f t="shared" si="0"/>
        <v>0</v>
      </c>
      <c r="F16" s="70">
        <f t="shared" si="1"/>
        <v>0</v>
      </c>
      <c r="G16" s="70">
        <f t="shared" si="2"/>
        <v>0</v>
      </c>
      <c r="H16" s="80"/>
      <c r="I16" s="70">
        <f t="shared" si="3"/>
        <v>0</v>
      </c>
      <c r="J16" s="70">
        <f t="shared" si="4"/>
        <v>0</v>
      </c>
      <c r="K16" s="70">
        <f t="shared" si="5"/>
        <v>0</v>
      </c>
      <c r="L16" s="80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80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80"/>
      <c r="E18" s="70">
        <f t="shared" si="0"/>
        <v>0</v>
      </c>
      <c r="F18" s="70">
        <f t="shared" si="1"/>
        <v>0</v>
      </c>
      <c r="G18" s="70">
        <f t="shared" si="2"/>
        <v>0</v>
      </c>
      <c r="H18" s="80"/>
      <c r="I18" s="70">
        <f t="shared" si="3"/>
        <v>0</v>
      </c>
      <c r="J18" s="70">
        <f t="shared" si="4"/>
        <v>0</v>
      </c>
      <c r="K18" s="70">
        <f t="shared" si="5"/>
        <v>0</v>
      </c>
      <c r="L18" s="80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80"/>
      <c r="E20" s="70">
        <f t="shared" si="0"/>
        <v>0</v>
      </c>
      <c r="F20" s="70">
        <f t="shared" si="1"/>
        <v>0</v>
      </c>
      <c r="G20" s="70">
        <f t="shared" si="2"/>
        <v>0</v>
      </c>
      <c r="H20" s="80"/>
      <c r="I20" s="70">
        <f t="shared" si="3"/>
        <v>0</v>
      </c>
      <c r="J20" s="70">
        <f t="shared" si="4"/>
        <v>0</v>
      </c>
      <c r="K20" s="70">
        <f t="shared" si="5"/>
        <v>0</v>
      </c>
      <c r="L20" s="80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80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80"/>
      <c r="E21" s="70">
        <f t="shared" si="0"/>
        <v>0</v>
      </c>
      <c r="F21" s="70">
        <f t="shared" si="1"/>
        <v>0</v>
      </c>
      <c r="G21" s="70">
        <f t="shared" si="2"/>
        <v>0</v>
      </c>
      <c r="H21" s="80"/>
      <c r="I21" s="70">
        <f t="shared" si="3"/>
        <v>0</v>
      </c>
      <c r="J21" s="70">
        <f t="shared" si="4"/>
        <v>0</v>
      </c>
      <c r="K21" s="70">
        <f t="shared" si="5"/>
        <v>0</v>
      </c>
      <c r="L21" s="80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80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80"/>
      <c r="E22" s="70">
        <f t="shared" si="0"/>
        <v>0</v>
      </c>
      <c r="F22" s="70">
        <f t="shared" si="1"/>
        <v>0</v>
      </c>
      <c r="G22" s="70">
        <f t="shared" si="2"/>
        <v>0</v>
      </c>
      <c r="H22" s="80"/>
      <c r="I22" s="70">
        <f t="shared" si="3"/>
        <v>0</v>
      </c>
      <c r="J22" s="70">
        <f t="shared" si="4"/>
        <v>0</v>
      </c>
      <c r="K22" s="70">
        <f t="shared" si="5"/>
        <v>0</v>
      </c>
      <c r="L22" s="80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80"/>
      <c r="E23" s="70">
        <f t="shared" si="0"/>
        <v>0</v>
      </c>
      <c r="F23" s="70">
        <f t="shared" si="1"/>
        <v>0</v>
      </c>
      <c r="G23" s="70">
        <f t="shared" si="2"/>
        <v>0</v>
      </c>
      <c r="H23" s="80"/>
      <c r="I23" s="70">
        <f t="shared" si="3"/>
        <v>0</v>
      </c>
      <c r="J23" s="70">
        <f t="shared" si="4"/>
        <v>0</v>
      </c>
      <c r="K23" s="70">
        <f t="shared" si="5"/>
        <v>0</v>
      </c>
      <c r="L23" s="80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80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80"/>
      <c r="E24" s="70">
        <f t="shared" si="0"/>
        <v>0</v>
      </c>
      <c r="F24" s="70">
        <f t="shared" si="1"/>
        <v>0</v>
      </c>
      <c r="G24" s="70">
        <f t="shared" si="2"/>
        <v>0</v>
      </c>
      <c r="H24" s="80"/>
      <c r="I24" s="70">
        <f t="shared" si="3"/>
        <v>0</v>
      </c>
      <c r="J24" s="70">
        <f t="shared" si="4"/>
        <v>0</v>
      </c>
      <c r="K24" s="70">
        <f t="shared" si="5"/>
        <v>0</v>
      </c>
      <c r="L24" s="80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80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80"/>
      <c r="E25" s="70">
        <f t="shared" si="0"/>
        <v>0</v>
      </c>
      <c r="F25" s="70">
        <f t="shared" si="1"/>
        <v>0</v>
      </c>
      <c r="G25" s="70">
        <f t="shared" si="2"/>
        <v>0</v>
      </c>
      <c r="H25" s="80"/>
      <c r="I25" s="70">
        <f t="shared" si="3"/>
        <v>0</v>
      </c>
      <c r="J25" s="70">
        <f t="shared" si="4"/>
        <v>0</v>
      </c>
      <c r="K25" s="70">
        <f t="shared" si="5"/>
        <v>0</v>
      </c>
      <c r="L25" s="80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80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80"/>
      <c r="E26" s="70">
        <f t="shared" si="0"/>
        <v>0</v>
      </c>
      <c r="F26" s="70">
        <f t="shared" si="1"/>
        <v>0</v>
      </c>
      <c r="G26" s="70">
        <f t="shared" si="2"/>
        <v>0</v>
      </c>
      <c r="H26" s="80"/>
      <c r="I26" s="70">
        <f t="shared" si="3"/>
        <v>0</v>
      </c>
      <c r="J26" s="70">
        <f t="shared" si="4"/>
        <v>0</v>
      </c>
      <c r="K26" s="70">
        <f t="shared" si="5"/>
        <v>0</v>
      </c>
      <c r="L26" s="80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80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80"/>
      <c r="E27" s="70">
        <f t="shared" si="0"/>
        <v>0</v>
      </c>
      <c r="F27" s="70">
        <f t="shared" si="1"/>
        <v>0</v>
      </c>
      <c r="G27" s="70">
        <f t="shared" si="2"/>
        <v>0</v>
      </c>
      <c r="H27" s="80"/>
      <c r="I27" s="70">
        <f t="shared" si="3"/>
        <v>0</v>
      </c>
      <c r="J27" s="70">
        <f t="shared" si="4"/>
        <v>0</v>
      </c>
      <c r="K27" s="70">
        <f t="shared" si="5"/>
        <v>0</v>
      </c>
      <c r="L27" s="80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80"/>
      <c r="E29" s="70">
        <f t="shared" si="0"/>
        <v>0</v>
      </c>
      <c r="F29" s="70">
        <f t="shared" si="1"/>
        <v>0</v>
      </c>
      <c r="G29" s="70">
        <f t="shared" si="2"/>
        <v>0</v>
      </c>
      <c r="H29" s="80"/>
      <c r="I29" s="70">
        <f t="shared" si="3"/>
        <v>0</v>
      </c>
      <c r="J29" s="70">
        <f t="shared" si="4"/>
        <v>0</v>
      </c>
      <c r="K29" s="70">
        <f t="shared" si="5"/>
        <v>0</v>
      </c>
      <c r="L29" s="80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80"/>
      <c r="E30" s="70">
        <f t="shared" si="0"/>
        <v>0</v>
      </c>
      <c r="F30" s="70">
        <f t="shared" si="1"/>
        <v>0</v>
      </c>
      <c r="G30" s="70">
        <f t="shared" si="2"/>
        <v>0</v>
      </c>
      <c r="H30" s="80"/>
      <c r="I30" s="70">
        <f t="shared" si="3"/>
        <v>0</v>
      </c>
      <c r="J30" s="70">
        <f t="shared" si="4"/>
        <v>0</v>
      </c>
      <c r="K30" s="70">
        <f t="shared" si="5"/>
        <v>0</v>
      </c>
      <c r="L30" s="80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80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80"/>
      <c r="E31" s="70">
        <f t="shared" si="0"/>
        <v>0</v>
      </c>
      <c r="F31" s="70">
        <f t="shared" si="1"/>
        <v>0</v>
      </c>
      <c r="G31" s="70">
        <f t="shared" si="2"/>
        <v>0</v>
      </c>
      <c r="H31" s="80"/>
      <c r="I31" s="70">
        <f t="shared" si="3"/>
        <v>0</v>
      </c>
      <c r="J31" s="70">
        <f t="shared" si="4"/>
        <v>0</v>
      </c>
      <c r="K31" s="70">
        <f t="shared" si="5"/>
        <v>0</v>
      </c>
      <c r="L31" s="80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80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80"/>
      <c r="E33" s="70">
        <f t="shared" si="0"/>
        <v>0</v>
      </c>
      <c r="F33" s="70">
        <f t="shared" si="1"/>
        <v>0</v>
      </c>
      <c r="G33" s="70">
        <f t="shared" si="2"/>
        <v>0</v>
      </c>
      <c r="H33" s="80"/>
      <c r="I33" s="70">
        <f t="shared" si="3"/>
        <v>0</v>
      </c>
      <c r="J33" s="70">
        <f t="shared" si="4"/>
        <v>0</v>
      </c>
      <c r="K33" s="70">
        <f t="shared" si="5"/>
        <v>0</v>
      </c>
      <c r="L33" s="80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80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80"/>
      <c r="E34" s="70">
        <f t="shared" si="0"/>
        <v>0</v>
      </c>
      <c r="F34" s="70">
        <f t="shared" si="1"/>
        <v>0</v>
      </c>
      <c r="G34" s="70">
        <f t="shared" si="2"/>
        <v>0</v>
      </c>
      <c r="H34" s="80"/>
      <c r="I34" s="70">
        <f t="shared" si="3"/>
        <v>0</v>
      </c>
      <c r="J34" s="70">
        <f t="shared" si="4"/>
        <v>0</v>
      </c>
      <c r="K34" s="70">
        <f t="shared" si="5"/>
        <v>0</v>
      </c>
      <c r="L34" s="80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80"/>
      <c r="E35" s="70">
        <f t="shared" si="0"/>
        <v>0</v>
      </c>
      <c r="F35" s="70">
        <f t="shared" si="1"/>
        <v>0</v>
      </c>
      <c r="G35" s="70">
        <f t="shared" si="2"/>
        <v>0</v>
      </c>
      <c r="H35" s="80"/>
      <c r="I35" s="70">
        <f t="shared" si="3"/>
        <v>0</v>
      </c>
      <c r="J35" s="70">
        <f t="shared" si="4"/>
        <v>0</v>
      </c>
      <c r="K35" s="70">
        <f t="shared" si="5"/>
        <v>0</v>
      </c>
      <c r="L35" s="80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80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80"/>
      <c r="E37" s="70">
        <f t="shared" si="0"/>
        <v>0</v>
      </c>
      <c r="F37" s="70">
        <f t="shared" si="1"/>
        <v>0</v>
      </c>
      <c r="G37" s="70">
        <f t="shared" si="2"/>
        <v>0</v>
      </c>
      <c r="H37" s="80"/>
      <c r="I37" s="70">
        <f t="shared" si="3"/>
        <v>0</v>
      </c>
      <c r="J37" s="70">
        <f t="shared" si="4"/>
        <v>0</v>
      </c>
      <c r="K37" s="70">
        <f t="shared" si="5"/>
        <v>0</v>
      </c>
      <c r="L37" s="80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80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80"/>
      <c r="E38" s="70">
        <f t="shared" si="0"/>
        <v>0</v>
      </c>
      <c r="F38" s="70">
        <f t="shared" si="1"/>
        <v>0</v>
      </c>
      <c r="G38" s="70">
        <f t="shared" si="2"/>
        <v>0</v>
      </c>
      <c r="H38" s="80"/>
      <c r="I38" s="70">
        <f t="shared" si="3"/>
        <v>0</v>
      </c>
      <c r="J38" s="70">
        <f t="shared" si="4"/>
        <v>0</v>
      </c>
      <c r="K38" s="70">
        <f t="shared" si="5"/>
        <v>0</v>
      </c>
      <c r="L38" s="80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80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80"/>
      <c r="E39" s="70">
        <f t="shared" si="0"/>
        <v>0</v>
      </c>
      <c r="F39" s="70">
        <f t="shared" si="1"/>
        <v>0</v>
      </c>
      <c r="G39" s="70">
        <f t="shared" si="2"/>
        <v>0</v>
      </c>
      <c r="H39" s="80"/>
      <c r="I39" s="70">
        <f t="shared" si="3"/>
        <v>0</v>
      </c>
      <c r="J39" s="70">
        <f t="shared" si="4"/>
        <v>0</v>
      </c>
      <c r="K39" s="70">
        <f t="shared" si="5"/>
        <v>0</v>
      </c>
      <c r="L39" s="80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80"/>
      <c r="E40" s="70">
        <f t="shared" si="0"/>
        <v>0</v>
      </c>
      <c r="F40" s="70">
        <f t="shared" si="1"/>
        <v>0</v>
      </c>
      <c r="G40" s="70">
        <f t="shared" si="2"/>
        <v>0</v>
      </c>
      <c r="H40" s="80"/>
      <c r="I40" s="70">
        <f t="shared" si="3"/>
        <v>0</v>
      </c>
      <c r="J40" s="70">
        <f t="shared" si="4"/>
        <v>0</v>
      </c>
      <c r="K40" s="70">
        <f t="shared" si="5"/>
        <v>0</v>
      </c>
      <c r="L40" s="80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80"/>
      <c r="E41" s="70">
        <f t="shared" si="0"/>
        <v>0</v>
      </c>
      <c r="F41" s="70">
        <f t="shared" si="1"/>
        <v>0</v>
      </c>
      <c r="G41" s="70">
        <f t="shared" si="2"/>
        <v>0</v>
      </c>
      <c r="H41" s="80"/>
      <c r="I41" s="70">
        <f t="shared" si="3"/>
        <v>0</v>
      </c>
      <c r="J41" s="70">
        <f t="shared" si="4"/>
        <v>0</v>
      </c>
      <c r="K41" s="70">
        <f t="shared" si="5"/>
        <v>0</v>
      </c>
      <c r="L41" s="80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80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80"/>
      <c r="E42" s="70">
        <f t="shared" si="0"/>
        <v>0</v>
      </c>
      <c r="F42" s="70">
        <f t="shared" si="1"/>
        <v>0</v>
      </c>
      <c r="G42" s="70">
        <f t="shared" si="2"/>
        <v>0</v>
      </c>
      <c r="H42" s="80"/>
      <c r="I42" s="70">
        <f t="shared" si="3"/>
        <v>0</v>
      </c>
      <c r="J42" s="70">
        <f t="shared" si="4"/>
        <v>0</v>
      </c>
      <c r="K42" s="70">
        <f t="shared" si="5"/>
        <v>0</v>
      </c>
      <c r="L42" s="80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80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80"/>
      <c r="E43" s="70">
        <f t="shared" si="0"/>
        <v>0</v>
      </c>
      <c r="F43" s="70">
        <f t="shared" si="1"/>
        <v>0</v>
      </c>
      <c r="G43" s="70">
        <f t="shared" si="2"/>
        <v>0</v>
      </c>
      <c r="H43" s="80"/>
      <c r="I43" s="70">
        <f t="shared" si="3"/>
        <v>0</v>
      </c>
      <c r="J43" s="70">
        <f t="shared" si="4"/>
        <v>0</v>
      </c>
      <c r="K43" s="70">
        <f t="shared" si="5"/>
        <v>0</v>
      </c>
      <c r="L43" s="80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80"/>
      <c r="E44" s="70">
        <f t="shared" si="0"/>
        <v>0</v>
      </c>
      <c r="F44" s="70">
        <f t="shared" si="1"/>
        <v>0</v>
      </c>
      <c r="G44" s="70">
        <f t="shared" si="2"/>
        <v>0</v>
      </c>
      <c r="H44" s="80"/>
      <c r="I44" s="70">
        <f t="shared" si="3"/>
        <v>0</v>
      </c>
      <c r="J44" s="70">
        <f t="shared" si="4"/>
        <v>0</v>
      </c>
      <c r="K44" s="70">
        <f t="shared" si="5"/>
        <v>0</v>
      </c>
      <c r="L44" s="80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80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80"/>
      <c r="E45" s="70">
        <f t="shared" si="0"/>
        <v>0</v>
      </c>
      <c r="F45" s="70">
        <f t="shared" si="1"/>
        <v>0</v>
      </c>
      <c r="G45" s="70">
        <f t="shared" si="2"/>
        <v>0</v>
      </c>
      <c r="H45" s="80"/>
      <c r="I45" s="70">
        <f t="shared" si="3"/>
        <v>0</v>
      </c>
      <c r="J45" s="70">
        <f t="shared" si="4"/>
        <v>0</v>
      </c>
      <c r="K45" s="70">
        <f t="shared" si="5"/>
        <v>0</v>
      </c>
      <c r="L45" s="80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80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80"/>
      <c r="E46" s="70">
        <f t="shared" si="0"/>
        <v>0</v>
      </c>
      <c r="F46" s="70">
        <f t="shared" si="1"/>
        <v>0</v>
      </c>
      <c r="G46" s="70">
        <f t="shared" si="2"/>
        <v>0</v>
      </c>
      <c r="H46" s="80"/>
      <c r="I46" s="70">
        <f t="shared" si="3"/>
        <v>0</v>
      </c>
      <c r="J46" s="70">
        <f t="shared" si="4"/>
        <v>0</v>
      </c>
      <c r="K46" s="70">
        <f t="shared" si="5"/>
        <v>0</v>
      </c>
      <c r="L46" s="80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80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80"/>
      <c r="E47" s="70">
        <f t="shared" si="0"/>
        <v>0</v>
      </c>
      <c r="F47" s="70">
        <f t="shared" si="1"/>
        <v>0</v>
      </c>
      <c r="G47" s="70">
        <f t="shared" si="2"/>
        <v>0</v>
      </c>
      <c r="H47" s="80"/>
      <c r="I47" s="70">
        <f t="shared" si="3"/>
        <v>0</v>
      </c>
      <c r="J47" s="70">
        <f t="shared" si="4"/>
        <v>0</v>
      </c>
      <c r="K47" s="70">
        <f t="shared" si="5"/>
        <v>0</v>
      </c>
      <c r="L47" s="80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80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80"/>
      <c r="E48" s="70">
        <f t="shared" si="0"/>
        <v>0</v>
      </c>
      <c r="F48" s="70">
        <f t="shared" si="1"/>
        <v>0</v>
      </c>
      <c r="G48" s="70">
        <f t="shared" si="2"/>
        <v>0</v>
      </c>
      <c r="H48" s="80"/>
      <c r="I48" s="70">
        <f t="shared" si="3"/>
        <v>0</v>
      </c>
      <c r="J48" s="70">
        <f t="shared" si="4"/>
        <v>0</v>
      </c>
      <c r="K48" s="70">
        <f t="shared" si="5"/>
        <v>0</v>
      </c>
      <c r="L48" s="80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80"/>
      <c r="E49" s="70">
        <f t="shared" si="0"/>
        <v>0</v>
      </c>
      <c r="F49" s="70">
        <f t="shared" si="1"/>
        <v>0</v>
      </c>
      <c r="G49" s="70">
        <f t="shared" si="2"/>
        <v>0</v>
      </c>
      <c r="H49" s="80"/>
      <c r="I49" s="70">
        <f t="shared" si="3"/>
        <v>0</v>
      </c>
      <c r="J49" s="70">
        <f t="shared" si="4"/>
        <v>0</v>
      </c>
      <c r="K49" s="70">
        <f t="shared" si="5"/>
        <v>0</v>
      </c>
      <c r="L49" s="80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80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80"/>
      <c r="E50" s="70">
        <f t="shared" si="0"/>
        <v>0</v>
      </c>
      <c r="F50" s="70">
        <f t="shared" si="1"/>
        <v>0</v>
      </c>
      <c r="G50" s="70">
        <f t="shared" si="2"/>
        <v>0</v>
      </c>
      <c r="H50" s="80"/>
      <c r="I50" s="70">
        <f t="shared" si="3"/>
        <v>0</v>
      </c>
      <c r="J50" s="70">
        <f t="shared" si="4"/>
        <v>0</v>
      </c>
      <c r="K50" s="70">
        <f t="shared" si="5"/>
        <v>0</v>
      </c>
      <c r="L50" s="80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80"/>
      <c r="E51" s="70">
        <f t="shared" si="0"/>
        <v>0</v>
      </c>
      <c r="F51" s="70">
        <f t="shared" si="1"/>
        <v>0</v>
      </c>
      <c r="G51" s="70">
        <f t="shared" si="2"/>
        <v>0</v>
      </c>
      <c r="H51" s="80"/>
      <c r="I51" s="70">
        <f t="shared" si="3"/>
        <v>0</v>
      </c>
      <c r="J51" s="70">
        <f t="shared" si="4"/>
        <v>0</v>
      </c>
      <c r="K51" s="70">
        <f t="shared" si="5"/>
        <v>0</v>
      </c>
      <c r="L51" s="80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80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80"/>
      <c r="E52" s="70">
        <f t="shared" si="0"/>
        <v>0</v>
      </c>
      <c r="F52" s="70">
        <f t="shared" si="1"/>
        <v>0</v>
      </c>
      <c r="G52" s="70">
        <f t="shared" si="2"/>
        <v>0</v>
      </c>
      <c r="H52" s="80"/>
      <c r="I52" s="70">
        <f t="shared" si="3"/>
        <v>0</v>
      </c>
      <c r="J52" s="70">
        <f t="shared" si="4"/>
        <v>0</v>
      </c>
      <c r="K52" s="70">
        <f t="shared" si="5"/>
        <v>0</v>
      </c>
      <c r="L52" s="80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80"/>
      <c r="E53" s="70">
        <f t="shared" si="0"/>
        <v>0</v>
      </c>
      <c r="F53" s="70">
        <f t="shared" si="1"/>
        <v>0</v>
      </c>
      <c r="G53" s="70">
        <f t="shared" si="2"/>
        <v>0</v>
      </c>
      <c r="H53" s="80"/>
      <c r="I53" s="70">
        <f t="shared" si="3"/>
        <v>0</v>
      </c>
      <c r="J53" s="70">
        <f t="shared" si="4"/>
        <v>0</v>
      </c>
      <c r="K53" s="70">
        <f t="shared" si="5"/>
        <v>0</v>
      </c>
      <c r="L53" s="80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80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80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80"/>
      <c r="E56" s="70">
        <f t="shared" si="0"/>
        <v>0</v>
      </c>
      <c r="F56" s="70">
        <f t="shared" si="1"/>
        <v>0</v>
      </c>
      <c r="G56" s="70">
        <f t="shared" si="2"/>
        <v>0</v>
      </c>
      <c r="H56" s="80"/>
      <c r="I56" s="70">
        <f t="shared" si="3"/>
        <v>0</v>
      </c>
      <c r="J56" s="70">
        <f t="shared" si="4"/>
        <v>0</v>
      </c>
      <c r="K56" s="70">
        <f t="shared" si="5"/>
        <v>0</v>
      </c>
      <c r="L56" s="80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80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80"/>
      <c r="E57" s="70">
        <f t="shared" si="0"/>
        <v>0</v>
      </c>
      <c r="F57" s="70">
        <f t="shared" si="1"/>
        <v>0</v>
      </c>
      <c r="G57" s="70">
        <f t="shared" si="2"/>
        <v>0</v>
      </c>
      <c r="H57" s="80"/>
      <c r="I57" s="70">
        <f t="shared" si="3"/>
        <v>0</v>
      </c>
      <c r="J57" s="70">
        <f t="shared" si="4"/>
        <v>0</v>
      </c>
      <c r="K57" s="70">
        <f t="shared" si="5"/>
        <v>0</v>
      </c>
      <c r="L57" s="80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80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80"/>
      <c r="E58" s="70">
        <f t="shared" si="0"/>
        <v>0</v>
      </c>
      <c r="F58" s="70">
        <f t="shared" si="1"/>
        <v>0</v>
      </c>
      <c r="G58" s="70">
        <f t="shared" si="2"/>
        <v>0</v>
      </c>
      <c r="H58" s="80"/>
      <c r="I58" s="70">
        <f t="shared" si="3"/>
        <v>0</v>
      </c>
      <c r="J58" s="70">
        <f t="shared" si="4"/>
        <v>0</v>
      </c>
      <c r="K58" s="70">
        <f t="shared" si="5"/>
        <v>0</v>
      </c>
      <c r="L58" s="80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80"/>
      <c r="E59" s="70">
        <f t="shared" si="0"/>
        <v>0</v>
      </c>
      <c r="F59" s="70">
        <f t="shared" si="1"/>
        <v>0</v>
      </c>
      <c r="G59" s="70">
        <f t="shared" si="2"/>
        <v>0</v>
      </c>
      <c r="H59" s="80"/>
      <c r="I59" s="70">
        <f t="shared" si="3"/>
        <v>0</v>
      </c>
      <c r="J59" s="70">
        <f t="shared" si="4"/>
        <v>0</v>
      </c>
      <c r="K59" s="70">
        <f t="shared" si="5"/>
        <v>0</v>
      </c>
      <c r="L59" s="80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80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80"/>
      <c r="E60" s="70">
        <f t="shared" si="0"/>
        <v>0</v>
      </c>
      <c r="F60" s="70">
        <f t="shared" si="1"/>
        <v>0</v>
      </c>
      <c r="G60" s="70">
        <f t="shared" si="2"/>
        <v>0</v>
      </c>
      <c r="H60" s="80"/>
      <c r="I60" s="70">
        <f t="shared" si="3"/>
        <v>0</v>
      </c>
      <c r="J60" s="70">
        <f t="shared" si="4"/>
        <v>0</v>
      </c>
      <c r="K60" s="70">
        <f t="shared" si="5"/>
        <v>0</v>
      </c>
      <c r="L60" s="80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80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80"/>
      <c r="E61" s="70">
        <f t="shared" si="0"/>
        <v>0</v>
      </c>
      <c r="F61" s="70">
        <f t="shared" si="1"/>
        <v>0</v>
      </c>
      <c r="G61" s="70">
        <f t="shared" si="2"/>
        <v>0</v>
      </c>
      <c r="H61" s="80"/>
      <c r="I61" s="70">
        <f t="shared" si="3"/>
        <v>0</v>
      </c>
      <c r="J61" s="70">
        <f t="shared" si="4"/>
        <v>0</v>
      </c>
      <c r="K61" s="70">
        <f t="shared" si="5"/>
        <v>0</v>
      </c>
      <c r="L61" s="80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80"/>
      <c r="E62" s="70">
        <f t="shared" si="0"/>
        <v>0</v>
      </c>
      <c r="F62" s="70">
        <f t="shared" si="1"/>
        <v>0</v>
      </c>
      <c r="G62" s="70">
        <f t="shared" si="2"/>
        <v>0</v>
      </c>
      <c r="H62" s="80"/>
      <c r="I62" s="70">
        <f t="shared" si="3"/>
        <v>0</v>
      </c>
      <c r="J62" s="70">
        <f t="shared" si="4"/>
        <v>0</v>
      </c>
      <c r="K62" s="70">
        <f t="shared" si="5"/>
        <v>0</v>
      </c>
      <c r="L62" s="80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80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80"/>
      <c r="E63" s="70">
        <f t="shared" si="0"/>
        <v>0</v>
      </c>
      <c r="F63" s="70">
        <f t="shared" si="1"/>
        <v>0</v>
      </c>
      <c r="G63" s="70">
        <f t="shared" si="2"/>
        <v>0</v>
      </c>
      <c r="H63" s="80"/>
      <c r="I63" s="70">
        <f t="shared" si="3"/>
        <v>0</v>
      </c>
      <c r="J63" s="70">
        <f t="shared" si="4"/>
        <v>0</v>
      </c>
      <c r="K63" s="70">
        <f t="shared" si="5"/>
        <v>0</v>
      </c>
      <c r="L63" s="80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80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80"/>
      <c r="E64" s="70">
        <f t="shared" si="0"/>
        <v>0</v>
      </c>
      <c r="F64" s="70">
        <f t="shared" si="1"/>
        <v>0</v>
      </c>
      <c r="G64" s="70">
        <f t="shared" si="2"/>
        <v>0</v>
      </c>
      <c r="H64" s="80"/>
      <c r="I64" s="70">
        <f t="shared" si="3"/>
        <v>0</v>
      </c>
      <c r="J64" s="70">
        <f t="shared" si="4"/>
        <v>0</v>
      </c>
      <c r="K64" s="70">
        <f t="shared" si="5"/>
        <v>0</v>
      </c>
      <c r="L64" s="80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80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80"/>
      <c r="E65" s="70">
        <f t="shared" si="0"/>
        <v>0</v>
      </c>
      <c r="F65" s="70">
        <f t="shared" si="1"/>
        <v>0</v>
      </c>
      <c r="G65" s="70">
        <f t="shared" si="2"/>
        <v>0</v>
      </c>
      <c r="H65" s="80"/>
      <c r="I65" s="70">
        <f t="shared" si="3"/>
        <v>0</v>
      </c>
      <c r="J65" s="70">
        <f t="shared" si="4"/>
        <v>0</v>
      </c>
      <c r="K65" s="70">
        <f t="shared" si="5"/>
        <v>0</v>
      </c>
      <c r="L65" s="80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80"/>
      <c r="E67" s="70">
        <f t="shared" si="0"/>
        <v>0</v>
      </c>
      <c r="F67" s="70">
        <f t="shared" si="1"/>
        <v>0</v>
      </c>
      <c r="G67" s="70">
        <f t="shared" si="2"/>
        <v>0</v>
      </c>
      <c r="H67" s="80"/>
      <c r="I67" s="70">
        <f t="shared" si="3"/>
        <v>0</v>
      </c>
      <c r="J67" s="70">
        <f t="shared" si="4"/>
        <v>0</v>
      </c>
      <c r="K67" s="70">
        <f t="shared" si="5"/>
        <v>0</v>
      </c>
      <c r="L67" s="80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80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80"/>
      <c r="E69" s="70">
        <f t="shared" si="0"/>
        <v>0</v>
      </c>
      <c r="F69" s="70">
        <f t="shared" si="1"/>
        <v>0</v>
      </c>
      <c r="G69" s="70">
        <f t="shared" si="2"/>
        <v>0</v>
      </c>
      <c r="H69" s="80"/>
      <c r="I69" s="70">
        <f t="shared" si="3"/>
        <v>0</v>
      </c>
      <c r="J69" s="70">
        <f t="shared" si="4"/>
        <v>0</v>
      </c>
      <c r="K69" s="70">
        <f t="shared" si="5"/>
        <v>0</v>
      </c>
      <c r="L69" s="80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80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80"/>
      <c r="E70" s="70">
        <f t="shared" si="0"/>
        <v>0</v>
      </c>
      <c r="F70" s="70">
        <f t="shared" si="1"/>
        <v>0</v>
      </c>
      <c r="G70" s="70">
        <f t="shared" si="2"/>
        <v>0</v>
      </c>
      <c r="H70" s="80"/>
      <c r="I70" s="70">
        <f t="shared" si="3"/>
        <v>0</v>
      </c>
      <c r="J70" s="70">
        <f t="shared" si="4"/>
        <v>0</v>
      </c>
      <c r="K70" s="70">
        <f t="shared" si="5"/>
        <v>0</v>
      </c>
      <c r="L70" s="80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80"/>
      <c r="E71" s="70">
        <f t="shared" si="0"/>
        <v>0</v>
      </c>
      <c r="F71" s="70">
        <f t="shared" si="1"/>
        <v>0</v>
      </c>
      <c r="G71" s="70">
        <f t="shared" si="2"/>
        <v>0</v>
      </c>
      <c r="H71" s="80"/>
      <c r="I71" s="70">
        <f t="shared" si="3"/>
        <v>0</v>
      </c>
      <c r="J71" s="70">
        <f t="shared" si="4"/>
        <v>0</v>
      </c>
      <c r="K71" s="70">
        <f t="shared" si="5"/>
        <v>0</v>
      </c>
      <c r="L71" s="80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80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80"/>
      <c r="E72" s="70">
        <f t="shared" si="0"/>
        <v>0</v>
      </c>
      <c r="F72" s="70">
        <f t="shared" si="1"/>
        <v>0</v>
      </c>
      <c r="G72" s="70">
        <f t="shared" si="2"/>
        <v>0</v>
      </c>
      <c r="H72" s="80"/>
      <c r="I72" s="70">
        <f t="shared" si="3"/>
        <v>0</v>
      </c>
      <c r="J72" s="70">
        <f t="shared" si="4"/>
        <v>0</v>
      </c>
      <c r="K72" s="70">
        <f t="shared" si="5"/>
        <v>0</v>
      </c>
      <c r="L72" s="80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80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80"/>
      <c r="E73" s="70">
        <f t="shared" si="0"/>
        <v>0</v>
      </c>
      <c r="F73" s="70">
        <f t="shared" si="1"/>
        <v>0</v>
      </c>
      <c r="G73" s="70">
        <f t="shared" si="2"/>
        <v>0</v>
      </c>
      <c r="H73" s="80"/>
      <c r="I73" s="70">
        <f t="shared" si="3"/>
        <v>0</v>
      </c>
      <c r="J73" s="70">
        <f t="shared" si="4"/>
        <v>0</v>
      </c>
      <c r="K73" s="70">
        <f t="shared" si="5"/>
        <v>0</v>
      </c>
      <c r="L73" s="80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80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80"/>
      <c r="E74" s="70">
        <f t="shared" si="0"/>
        <v>0</v>
      </c>
      <c r="F74" s="70">
        <f t="shared" si="1"/>
        <v>0</v>
      </c>
      <c r="G74" s="70">
        <f t="shared" si="2"/>
        <v>0</v>
      </c>
      <c r="H74" s="80"/>
      <c r="I74" s="70">
        <f t="shared" si="3"/>
        <v>0</v>
      </c>
      <c r="J74" s="70">
        <f t="shared" si="4"/>
        <v>0</v>
      </c>
      <c r="K74" s="70">
        <f t="shared" si="5"/>
        <v>0</v>
      </c>
      <c r="L74" s="80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80"/>
      <c r="E75" s="70">
        <f t="shared" si="0"/>
        <v>0</v>
      </c>
      <c r="F75" s="70">
        <f t="shared" si="1"/>
        <v>0</v>
      </c>
      <c r="G75" s="70">
        <f t="shared" si="2"/>
        <v>0</v>
      </c>
      <c r="H75" s="80"/>
      <c r="I75" s="70">
        <f t="shared" si="3"/>
        <v>0</v>
      </c>
      <c r="J75" s="70">
        <f t="shared" si="4"/>
        <v>0</v>
      </c>
      <c r="K75" s="70">
        <f t="shared" si="5"/>
        <v>0</v>
      </c>
      <c r="L75" s="80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80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80"/>
      <c r="E76" s="70">
        <f t="shared" si="0"/>
        <v>0</v>
      </c>
      <c r="F76" s="70">
        <f t="shared" si="1"/>
        <v>0</v>
      </c>
      <c r="G76" s="70">
        <f t="shared" si="2"/>
        <v>0</v>
      </c>
      <c r="H76" s="80"/>
      <c r="I76" s="70">
        <f t="shared" si="3"/>
        <v>0</v>
      </c>
      <c r="J76" s="70">
        <f t="shared" si="4"/>
        <v>0</v>
      </c>
      <c r="K76" s="70">
        <f t="shared" si="5"/>
        <v>0</v>
      </c>
      <c r="L76" s="80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80"/>
      <c r="E77" s="70">
        <f t="shared" si="0"/>
        <v>0</v>
      </c>
      <c r="F77" s="70">
        <f t="shared" si="1"/>
        <v>0</v>
      </c>
      <c r="G77" s="70">
        <f t="shared" si="2"/>
        <v>0</v>
      </c>
      <c r="H77" s="80"/>
      <c r="I77" s="70">
        <f t="shared" si="3"/>
        <v>0</v>
      </c>
      <c r="J77" s="70">
        <f t="shared" si="4"/>
        <v>0</v>
      </c>
      <c r="K77" s="70">
        <f t="shared" si="5"/>
        <v>0</v>
      </c>
      <c r="L77" s="80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80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80"/>
      <c r="E79" s="70">
        <f t="shared" si="0"/>
        <v>0</v>
      </c>
      <c r="F79" s="70">
        <f t="shared" si="1"/>
        <v>0</v>
      </c>
      <c r="G79" s="70">
        <f t="shared" si="2"/>
        <v>0</v>
      </c>
      <c r="H79" s="80"/>
      <c r="I79" s="70">
        <f t="shared" si="3"/>
        <v>0</v>
      </c>
      <c r="J79" s="70">
        <f t="shared" si="4"/>
        <v>0</v>
      </c>
      <c r="K79" s="70">
        <f t="shared" si="5"/>
        <v>0</v>
      </c>
      <c r="L79" s="80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80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80"/>
      <c r="E80" s="70">
        <f t="shared" si="0"/>
        <v>0</v>
      </c>
      <c r="F80" s="70">
        <f t="shared" si="1"/>
        <v>0</v>
      </c>
      <c r="G80" s="70">
        <f t="shared" si="2"/>
        <v>0</v>
      </c>
      <c r="H80" s="80"/>
      <c r="I80" s="70">
        <f t="shared" si="3"/>
        <v>0</v>
      </c>
      <c r="J80" s="70">
        <f t="shared" si="4"/>
        <v>0</v>
      </c>
      <c r="K80" s="70">
        <f t="shared" si="5"/>
        <v>0</v>
      </c>
      <c r="L80" s="80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80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80"/>
      <c r="E82" s="70">
        <f t="shared" si="0"/>
        <v>0</v>
      </c>
      <c r="F82" s="70">
        <f t="shared" si="1"/>
        <v>0</v>
      </c>
      <c r="G82" s="70">
        <f t="shared" si="2"/>
        <v>0</v>
      </c>
      <c r="H82" s="80"/>
      <c r="I82" s="70">
        <f t="shared" si="3"/>
        <v>0</v>
      </c>
      <c r="J82" s="70">
        <f t="shared" si="4"/>
        <v>0</v>
      </c>
      <c r="K82" s="70">
        <f t="shared" si="5"/>
        <v>0</v>
      </c>
      <c r="L82" s="80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80"/>
      <c r="E83" s="70">
        <f t="shared" si="0"/>
        <v>0</v>
      </c>
      <c r="F83" s="70">
        <f t="shared" si="1"/>
        <v>0</v>
      </c>
      <c r="G83" s="70">
        <f t="shared" si="2"/>
        <v>0</v>
      </c>
      <c r="H83" s="80"/>
      <c r="I83" s="70">
        <f t="shared" si="3"/>
        <v>0</v>
      </c>
      <c r="J83" s="70">
        <f t="shared" si="4"/>
        <v>0</v>
      </c>
      <c r="K83" s="70">
        <f t="shared" si="5"/>
        <v>0</v>
      </c>
      <c r="L83" s="80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80"/>
      <c r="E84" s="70">
        <f t="shared" si="0"/>
        <v>0</v>
      </c>
      <c r="F84" s="70">
        <f t="shared" si="1"/>
        <v>0</v>
      </c>
      <c r="G84" s="70">
        <f t="shared" si="2"/>
        <v>0</v>
      </c>
      <c r="H84" s="80"/>
      <c r="I84" s="70">
        <f t="shared" si="3"/>
        <v>0</v>
      </c>
      <c r="J84" s="70">
        <f t="shared" si="4"/>
        <v>0</v>
      </c>
      <c r="K84" s="70">
        <f t="shared" si="5"/>
        <v>0</v>
      </c>
      <c r="L84" s="80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80"/>
      <c r="E85" s="70">
        <f t="shared" si="0"/>
        <v>0</v>
      </c>
      <c r="F85" s="70">
        <f t="shared" si="1"/>
        <v>0</v>
      </c>
      <c r="G85" s="70">
        <f t="shared" si="2"/>
        <v>0</v>
      </c>
      <c r="H85" s="80"/>
      <c r="I85" s="70">
        <f t="shared" si="3"/>
        <v>0</v>
      </c>
      <c r="J85" s="70">
        <f t="shared" si="4"/>
        <v>0</v>
      </c>
      <c r="K85" s="70">
        <f t="shared" si="5"/>
        <v>0</v>
      </c>
      <c r="L85" s="80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80"/>
      <c r="E86" s="70">
        <f t="shared" si="0"/>
        <v>0</v>
      </c>
      <c r="F86" s="70">
        <f t="shared" si="1"/>
        <v>0</v>
      </c>
      <c r="G86" s="70">
        <f t="shared" si="2"/>
        <v>0</v>
      </c>
      <c r="H86" s="80"/>
      <c r="I86" s="70">
        <f t="shared" si="3"/>
        <v>0</v>
      </c>
      <c r="J86" s="70">
        <f t="shared" si="4"/>
        <v>0</v>
      </c>
      <c r="K86" s="70">
        <f t="shared" si="5"/>
        <v>0</v>
      </c>
      <c r="L86" s="80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80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80"/>
      <c r="E87" s="70">
        <f t="shared" si="0"/>
        <v>0</v>
      </c>
      <c r="F87" s="70">
        <f t="shared" si="1"/>
        <v>0</v>
      </c>
      <c r="G87" s="70">
        <f t="shared" si="2"/>
        <v>0</v>
      </c>
      <c r="H87" s="80"/>
      <c r="I87" s="70">
        <f t="shared" si="3"/>
        <v>0</v>
      </c>
      <c r="J87" s="70">
        <f t="shared" si="4"/>
        <v>0</v>
      </c>
      <c r="K87" s="70">
        <f t="shared" si="5"/>
        <v>0</v>
      </c>
      <c r="L87" s="80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80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80"/>
      <c r="E88" s="70">
        <f t="shared" si="0"/>
        <v>0</v>
      </c>
      <c r="F88" s="70">
        <f t="shared" si="1"/>
        <v>0</v>
      </c>
      <c r="G88" s="70">
        <f t="shared" si="2"/>
        <v>0</v>
      </c>
      <c r="H88" s="80"/>
      <c r="I88" s="70">
        <f t="shared" si="3"/>
        <v>0</v>
      </c>
      <c r="J88" s="70">
        <f t="shared" si="4"/>
        <v>0</v>
      </c>
      <c r="K88" s="70">
        <f t="shared" si="5"/>
        <v>0</v>
      </c>
      <c r="L88" s="80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80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80"/>
      <c r="E89" s="70">
        <f t="shared" si="0"/>
        <v>0</v>
      </c>
      <c r="F89" s="70">
        <f t="shared" si="1"/>
        <v>0</v>
      </c>
      <c r="G89" s="70">
        <f t="shared" si="2"/>
        <v>0</v>
      </c>
      <c r="H89" s="80"/>
      <c r="I89" s="70">
        <f t="shared" si="3"/>
        <v>0</v>
      </c>
      <c r="J89" s="70">
        <f t="shared" si="4"/>
        <v>0</v>
      </c>
      <c r="K89" s="70">
        <f t="shared" si="5"/>
        <v>0</v>
      </c>
      <c r="L89" s="80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80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80"/>
      <c r="E90" s="70">
        <f t="shared" si="0"/>
        <v>0</v>
      </c>
      <c r="F90" s="70">
        <f t="shared" si="1"/>
        <v>0</v>
      </c>
      <c r="G90" s="70">
        <f t="shared" si="2"/>
        <v>0</v>
      </c>
      <c r="H90" s="80"/>
      <c r="I90" s="70">
        <f t="shared" si="3"/>
        <v>0</v>
      </c>
      <c r="J90" s="70">
        <f t="shared" si="4"/>
        <v>0</v>
      </c>
      <c r="K90" s="70">
        <f t="shared" si="5"/>
        <v>0</v>
      </c>
      <c r="L90" s="80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80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80"/>
      <c r="E91" s="70">
        <f t="shared" si="0"/>
        <v>0</v>
      </c>
      <c r="F91" s="70">
        <f t="shared" si="1"/>
        <v>0</v>
      </c>
      <c r="G91" s="70">
        <f t="shared" si="2"/>
        <v>0</v>
      </c>
      <c r="H91" s="80"/>
      <c r="I91" s="70">
        <f t="shared" si="3"/>
        <v>0</v>
      </c>
      <c r="J91" s="70">
        <f t="shared" si="4"/>
        <v>0</v>
      </c>
      <c r="K91" s="70">
        <f t="shared" si="5"/>
        <v>0</v>
      </c>
      <c r="L91" s="80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80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80"/>
      <c r="E93" s="70">
        <f t="shared" si="0"/>
        <v>0</v>
      </c>
      <c r="F93" s="70">
        <f t="shared" si="1"/>
        <v>0</v>
      </c>
      <c r="G93" s="70">
        <f t="shared" si="2"/>
        <v>0</v>
      </c>
      <c r="H93" s="80"/>
      <c r="I93" s="70">
        <f t="shared" si="3"/>
        <v>0</v>
      </c>
      <c r="J93" s="70">
        <f t="shared" si="4"/>
        <v>0</v>
      </c>
      <c r="K93" s="70">
        <f t="shared" si="5"/>
        <v>0</v>
      </c>
      <c r="L93" s="80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80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80"/>
      <c r="E94" s="70">
        <f t="shared" si="0"/>
        <v>0</v>
      </c>
      <c r="F94" s="70">
        <f t="shared" si="1"/>
        <v>0</v>
      </c>
      <c r="G94" s="70">
        <f t="shared" si="2"/>
        <v>0</v>
      </c>
      <c r="H94" s="80"/>
      <c r="I94" s="70">
        <f t="shared" si="3"/>
        <v>0</v>
      </c>
      <c r="J94" s="70">
        <f t="shared" si="4"/>
        <v>0</v>
      </c>
      <c r="K94" s="70">
        <f t="shared" si="5"/>
        <v>0</v>
      </c>
      <c r="L94" s="80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80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80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80"/>
      <c r="E96" s="70">
        <f t="shared" si="0"/>
        <v>0</v>
      </c>
      <c r="F96" s="70">
        <f t="shared" si="1"/>
        <v>0</v>
      </c>
      <c r="G96" s="70">
        <f t="shared" si="2"/>
        <v>0</v>
      </c>
      <c r="H96" s="80"/>
      <c r="I96" s="70">
        <f t="shared" si="3"/>
        <v>0</v>
      </c>
      <c r="J96" s="70">
        <f t="shared" si="4"/>
        <v>0</v>
      </c>
      <c r="K96" s="70">
        <f t="shared" si="5"/>
        <v>0</v>
      </c>
      <c r="L96" s="80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80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80"/>
      <c r="E97" s="70">
        <f t="shared" si="0"/>
        <v>0</v>
      </c>
      <c r="F97" s="70">
        <f t="shared" si="1"/>
        <v>0</v>
      </c>
      <c r="G97" s="70">
        <f t="shared" si="2"/>
        <v>0</v>
      </c>
      <c r="H97" s="80"/>
      <c r="I97" s="70">
        <f t="shared" si="3"/>
        <v>0</v>
      </c>
      <c r="J97" s="70">
        <f t="shared" si="4"/>
        <v>0</v>
      </c>
      <c r="K97" s="70">
        <f t="shared" si="5"/>
        <v>0</v>
      </c>
      <c r="L97" s="80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80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80"/>
      <c r="E98" s="70">
        <f t="shared" si="0"/>
        <v>0</v>
      </c>
      <c r="F98" s="70">
        <f t="shared" si="1"/>
        <v>0</v>
      </c>
      <c r="G98" s="70">
        <f t="shared" si="2"/>
        <v>0</v>
      </c>
      <c r="H98" s="80"/>
      <c r="I98" s="70">
        <f t="shared" si="3"/>
        <v>0</v>
      </c>
      <c r="J98" s="70">
        <f t="shared" si="4"/>
        <v>0</v>
      </c>
      <c r="K98" s="70">
        <f t="shared" si="5"/>
        <v>0</v>
      </c>
      <c r="L98" s="80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80"/>
      <c r="E99" s="70">
        <f t="shared" si="0"/>
        <v>0</v>
      </c>
      <c r="F99" s="70">
        <f t="shared" si="1"/>
        <v>0</v>
      </c>
      <c r="G99" s="70">
        <f t="shared" si="2"/>
        <v>0</v>
      </c>
      <c r="H99" s="80"/>
      <c r="I99" s="70">
        <f t="shared" si="3"/>
        <v>0</v>
      </c>
      <c r="J99" s="70">
        <f t="shared" si="4"/>
        <v>0</v>
      </c>
      <c r="K99" s="70">
        <f t="shared" si="5"/>
        <v>0</v>
      </c>
      <c r="L99" s="80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80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80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80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80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80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80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80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80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80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80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80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80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80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80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80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80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80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80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80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80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80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80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80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80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80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80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80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80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80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80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80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80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80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80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80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80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80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80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80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80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80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80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80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80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80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80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80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80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80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80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80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80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80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80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80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80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80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80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80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80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80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80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80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80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80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80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80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80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80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80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80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80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80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80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80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80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80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80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80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80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80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80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80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80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80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80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80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80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80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80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80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80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80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80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80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80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80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80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80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80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80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80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80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80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80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80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80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80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80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80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80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80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80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80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80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80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80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80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80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80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80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80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80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80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80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80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80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80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80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80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80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80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80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80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80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80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80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80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80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80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80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80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80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80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80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80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80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80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80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80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80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80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80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80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80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80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80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80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80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80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80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80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80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80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80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80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80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80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80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80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80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80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80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80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80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80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80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80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80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80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80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80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80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80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80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80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80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80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80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80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80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80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80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80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80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80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80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80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80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80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80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80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80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80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80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80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80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80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80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80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80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80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80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80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80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80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80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80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80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80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80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80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80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80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80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80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80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80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80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80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80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80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80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80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80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80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80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80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80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80"/>
      <c r="S182" s="48"/>
      <c r="T182" s="48"/>
      <c r="U182" s="48"/>
      <c r="V182" s="48"/>
      <c r="W182" s="44"/>
      <c r="X182" s="44"/>
    </row>
    <row r="183" spans="1:24" ht="15.75" customHeight="1" x14ac:dyDescent="0.3">
      <c r="A183" s="69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80"/>
      <c r="E183" s="70">
        <f t="shared" ref="E183:E218" si="12">IF(D183&gt;=($D$6*0.7),1,0)</f>
        <v>0</v>
      </c>
      <c r="F183" s="70">
        <f t="shared" ref="F183:F218" si="13">IF(D183&gt;=($D$6*0.8),1,0)</f>
        <v>0</v>
      </c>
      <c r="G183" s="70">
        <f t="shared" ref="G183:G218" si="14">IF(D183&gt;=($D$6*0.9),1,0)</f>
        <v>0</v>
      </c>
      <c r="H183" s="80"/>
      <c r="I183" s="70">
        <f t="shared" ref="I183:I218" si="15">IF(H183&gt;=($H$6*0.7),1,0)</f>
        <v>0</v>
      </c>
      <c r="J183" s="70">
        <f t="shared" ref="J183:J218" si="16">IF(H183&gt;=($H$6*0.7),1,0)</f>
        <v>0</v>
      </c>
      <c r="K183" s="70">
        <f t="shared" ref="K183:K218" si="17">IF(H183&gt;=($H$6*0.9),1,0)</f>
        <v>0</v>
      </c>
      <c r="L183" s="80"/>
      <c r="M183" s="70">
        <f t="shared" ref="M183:M218" si="18">IF(L183&gt;=($L$6*0.7),1,0)</f>
        <v>0</v>
      </c>
      <c r="N183" s="70">
        <f t="shared" ref="N183:N218" si="19">IF(L183&gt;=($L$6*0.8),1,0)</f>
        <v>0</v>
      </c>
      <c r="O183" s="70">
        <f t="shared" ref="O183:O218" si="20">IF(L183&gt;=($L$6*0.9),1,0)</f>
        <v>0</v>
      </c>
      <c r="P183" s="75"/>
      <c r="Q183" s="75"/>
      <c r="R183" s="80"/>
      <c r="S183" s="48"/>
      <c r="T183" s="48"/>
      <c r="U183" s="48"/>
      <c r="V183" s="48"/>
      <c r="W183" s="44"/>
      <c r="X183" s="44"/>
    </row>
    <row r="184" spans="1:24" ht="15.75" customHeight="1" x14ac:dyDescent="0.3">
      <c r="A184" s="69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80"/>
      <c r="E184" s="70">
        <f t="shared" si="12"/>
        <v>0</v>
      </c>
      <c r="F184" s="70">
        <f t="shared" si="13"/>
        <v>0</v>
      </c>
      <c r="G184" s="70">
        <f t="shared" si="14"/>
        <v>0</v>
      </c>
      <c r="H184" s="80"/>
      <c r="I184" s="70">
        <f t="shared" si="15"/>
        <v>0</v>
      </c>
      <c r="J184" s="70">
        <f t="shared" si="16"/>
        <v>0</v>
      </c>
      <c r="K184" s="70">
        <f t="shared" si="17"/>
        <v>0</v>
      </c>
      <c r="L184" s="80"/>
      <c r="M184" s="70">
        <f t="shared" si="18"/>
        <v>0</v>
      </c>
      <c r="N184" s="70">
        <f t="shared" si="19"/>
        <v>0</v>
      </c>
      <c r="O184" s="70">
        <f t="shared" si="20"/>
        <v>0</v>
      </c>
      <c r="P184" s="75"/>
      <c r="Q184" s="75"/>
      <c r="S184" s="48"/>
      <c r="T184" s="48"/>
      <c r="U184" s="48"/>
      <c r="V184" s="48"/>
      <c r="W184" s="44"/>
      <c r="X184" s="44"/>
    </row>
    <row r="185" spans="1:24" ht="15.75" customHeight="1" x14ac:dyDescent="0.3">
      <c r="A185" s="69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80"/>
      <c r="E185" s="70">
        <f t="shared" si="12"/>
        <v>0</v>
      </c>
      <c r="F185" s="70">
        <f t="shared" si="13"/>
        <v>0</v>
      </c>
      <c r="G185" s="70">
        <f t="shared" si="14"/>
        <v>0</v>
      </c>
      <c r="H185" s="80"/>
      <c r="I185" s="70">
        <f t="shared" si="15"/>
        <v>0</v>
      </c>
      <c r="J185" s="70">
        <f t="shared" si="16"/>
        <v>0</v>
      </c>
      <c r="K185" s="70">
        <f t="shared" si="17"/>
        <v>0</v>
      </c>
      <c r="L185" s="80"/>
      <c r="M185" s="70">
        <f t="shared" si="18"/>
        <v>0</v>
      </c>
      <c r="N185" s="70">
        <f t="shared" si="19"/>
        <v>0</v>
      </c>
      <c r="O185" s="70">
        <f t="shared" si="20"/>
        <v>0</v>
      </c>
      <c r="P185" s="75"/>
      <c r="Q185" s="75"/>
      <c r="R185" s="80"/>
      <c r="S185" s="48"/>
      <c r="T185" s="48"/>
      <c r="U185" s="48"/>
      <c r="V185" s="48"/>
      <c r="W185" s="44"/>
      <c r="X185" s="44"/>
    </row>
    <row r="186" spans="1:24" ht="15.75" customHeight="1" x14ac:dyDescent="0.3">
      <c r="A186" s="69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80"/>
      <c r="E186" s="70">
        <f t="shared" si="12"/>
        <v>0</v>
      </c>
      <c r="F186" s="70">
        <f t="shared" si="13"/>
        <v>0</v>
      </c>
      <c r="G186" s="70">
        <f t="shared" si="14"/>
        <v>0</v>
      </c>
      <c r="H186" s="80"/>
      <c r="I186" s="70">
        <f t="shared" si="15"/>
        <v>0</v>
      </c>
      <c r="J186" s="70">
        <f t="shared" si="16"/>
        <v>0</v>
      </c>
      <c r="K186" s="70">
        <f t="shared" si="17"/>
        <v>0</v>
      </c>
      <c r="L186" s="80"/>
      <c r="M186" s="70">
        <f t="shared" si="18"/>
        <v>0</v>
      </c>
      <c r="N186" s="70">
        <f t="shared" si="19"/>
        <v>0</v>
      </c>
      <c r="O186" s="70">
        <f t="shared" si="20"/>
        <v>0</v>
      </c>
      <c r="P186" s="75"/>
      <c r="Q186" s="75"/>
      <c r="R186" s="80"/>
      <c r="S186" s="48"/>
      <c r="T186" s="48"/>
      <c r="U186" s="48"/>
      <c r="V186" s="48"/>
      <c r="W186" s="44"/>
      <c r="X186" s="44"/>
    </row>
    <row r="187" spans="1:24" ht="15.75" customHeight="1" x14ac:dyDescent="0.3">
      <c r="A187" s="69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80"/>
      <c r="E187" s="70">
        <f t="shared" si="12"/>
        <v>0</v>
      </c>
      <c r="F187" s="70">
        <f t="shared" si="13"/>
        <v>0</v>
      </c>
      <c r="G187" s="70">
        <f t="shared" si="14"/>
        <v>0</v>
      </c>
      <c r="H187" s="80"/>
      <c r="I187" s="70">
        <f t="shared" si="15"/>
        <v>0</v>
      </c>
      <c r="J187" s="70">
        <f t="shared" si="16"/>
        <v>0</v>
      </c>
      <c r="K187" s="70">
        <f t="shared" si="17"/>
        <v>0</v>
      </c>
      <c r="L187" s="80"/>
      <c r="M187" s="70">
        <f t="shared" si="18"/>
        <v>0</v>
      </c>
      <c r="N187" s="70">
        <f t="shared" si="19"/>
        <v>0</v>
      </c>
      <c r="O187" s="70">
        <f t="shared" si="20"/>
        <v>0</v>
      </c>
      <c r="P187" s="75"/>
      <c r="Q187" s="75"/>
      <c r="S187" s="48"/>
      <c r="T187" s="48"/>
      <c r="U187" s="48"/>
      <c r="V187" s="48"/>
      <c r="W187" s="44"/>
      <c r="X187" s="44"/>
    </row>
    <row r="188" spans="1:24" ht="15.75" customHeight="1" x14ac:dyDescent="0.3">
      <c r="A188" s="69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80"/>
      <c r="E188" s="70">
        <f t="shared" si="12"/>
        <v>0</v>
      </c>
      <c r="F188" s="70">
        <f t="shared" si="13"/>
        <v>0</v>
      </c>
      <c r="G188" s="70">
        <f t="shared" si="14"/>
        <v>0</v>
      </c>
      <c r="H188" s="80"/>
      <c r="I188" s="70">
        <f t="shared" si="15"/>
        <v>0</v>
      </c>
      <c r="J188" s="70">
        <f t="shared" si="16"/>
        <v>0</v>
      </c>
      <c r="K188" s="70">
        <f t="shared" si="17"/>
        <v>0</v>
      </c>
      <c r="L188" s="80"/>
      <c r="M188" s="70">
        <f t="shared" si="18"/>
        <v>0</v>
      </c>
      <c r="N188" s="70">
        <f t="shared" si="19"/>
        <v>0</v>
      </c>
      <c r="O188" s="70">
        <f t="shared" si="20"/>
        <v>0</v>
      </c>
      <c r="P188" s="75"/>
      <c r="Q188" s="75"/>
      <c r="R188" s="80"/>
      <c r="S188" s="48"/>
      <c r="T188" s="48"/>
      <c r="U188" s="48"/>
      <c r="V188" s="48"/>
      <c r="W188" s="44"/>
      <c r="X188" s="44"/>
    </row>
    <row r="189" spans="1:24" ht="15.75" customHeight="1" x14ac:dyDescent="0.3">
      <c r="A189" s="69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80"/>
      <c r="E189" s="70">
        <f t="shared" si="12"/>
        <v>0</v>
      </c>
      <c r="F189" s="70">
        <f t="shared" si="13"/>
        <v>0</v>
      </c>
      <c r="G189" s="70">
        <f t="shared" si="14"/>
        <v>0</v>
      </c>
      <c r="H189" s="80"/>
      <c r="I189" s="70">
        <f t="shared" si="15"/>
        <v>0</v>
      </c>
      <c r="J189" s="70">
        <f t="shared" si="16"/>
        <v>0</v>
      </c>
      <c r="K189" s="70">
        <f t="shared" si="17"/>
        <v>0</v>
      </c>
      <c r="L189" s="80"/>
      <c r="M189" s="70">
        <f t="shared" si="18"/>
        <v>0</v>
      </c>
      <c r="N189" s="70">
        <f t="shared" si="19"/>
        <v>0</v>
      </c>
      <c r="O189" s="70">
        <f t="shared" si="20"/>
        <v>0</v>
      </c>
      <c r="P189" s="75"/>
      <c r="Q189" s="75"/>
      <c r="S189" s="48"/>
      <c r="T189" s="48"/>
      <c r="U189" s="48"/>
      <c r="V189" s="48"/>
      <c r="W189" s="44"/>
      <c r="X189" s="44"/>
    </row>
    <row r="190" spans="1:24" ht="15.75" customHeight="1" x14ac:dyDescent="0.3">
      <c r="A190" s="69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80"/>
      <c r="E190" s="70">
        <f t="shared" si="12"/>
        <v>0</v>
      </c>
      <c r="F190" s="70">
        <f t="shared" si="13"/>
        <v>0</v>
      </c>
      <c r="G190" s="70">
        <f t="shared" si="14"/>
        <v>0</v>
      </c>
      <c r="H190" s="80"/>
      <c r="I190" s="70">
        <f t="shared" si="15"/>
        <v>0</v>
      </c>
      <c r="J190" s="70">
        <f t="shared" si="16"/>
        <v>0</v>
      </c>
      <c r="K190" s="70">
        <f t="shared" si="17"/>
        <v>0</v>
      </c>
      <c r="L190" s="80"/>
      <c r="M190" s="70">
        <f t="shared" si="18"/>
        <v>0</v>
      </c>
      <c r="N190" s="70">
        <f t="shared" si="19"/>
        <v>0</v>
      </c>
      <c r="O190" s="70">
        <f t="shared" si="20"/>
        <v>0</v>
      </c>
      <c r="P190" s="75"/>
      <c r="Q190" s="75"/>
      <c r="S190" s="48"/>
      <c r="T190" s="48"/>
      <c r="U190" s="48"/>
      <c r="V190" s="48"/>
      <c r="W190" s="44"/>
      <c r="X190" s="44"/>
    </row>
    <row r="191" spans="1:24" ht="15.75" customHeight="1" x14ac:dyDescent="0.3">
      <c r="A191" s="69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80"/>
      <c r="E191" s="70">
        <f t="shared" si="12"/>
        <v>0</v>
      </c>
      <c r="F191" s="70">
        <f t="shared" si="13"/>
        <v>0</v>
      </c>
      <c r="G191" s="70">
        <f t="shared" si="14"/>
        <v>0</v>
      </c>
      <c r="H191" s="80"/>
      <c r="I191" s="70">
        <f t="shared" si="15"/>
        <v>0</v>
      </c>
      <c r="J191" s="70">
        <f t="shared" si="16"/>
        <v>0</v>
      </c>
      <c r="K191" s="70">
        <f t="shared" si="17"/>
        <v>0</v>
      </c>
      <c r="L191" s="80"/>
      <c r="M191" s="70">
        <f t="shared" si="18"/>
        <v>0</v>
      </c>
      <c r="N191" s="70">
        <f t="shared" si="19"/>
        <v>0</v>
      </c>
      <c r="O191" s="70">
        <f t="shared" si="20"/>
        <v>0</v>
      </c>
      <c r="P191" s="75"/>
      <c r="Q191" s="75"/>
      <c r="S191" s="48"/>
      <c r="T191" s="48"/>
      <c r="U191" s="48"/>
      <c r="V191" s="48"/>
      <c r="W191" s="44"/>
      <c r="X191" s="44"/>
    </row>
    <row r="192" spans="1:24" ht="15.75" customHeight="1" x14ac:dyDescent="0.3">
      <c r="A192" s="69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80"/>
      <c r="E192" s="70">
        <f t="shared" si="12"/>
        <v>0</v>
      </c>
      <c r="F192" s="70">
        <f t="shared" si="13"/>
        <v>0</v>
      </c>
      <c r="G192" s="70">
        <f t="shared" si="14"/>
        <v>0</v>
      </c>
      <c r="H192" s="80"/>
      <c r="I192" s="70">
        <f t="shared" si="15"/>
        <v>0</v>
      </c>
      <c r="J192" s="70">
        <f t="shared" si="16"/>
        <v>0</v>
      </c>
      <c r="K192" s="70">
        <f t="shared" si="17"/>
        <v>0</v>
      </c>
      <c r="L192" s="80"/>
      <c r="M192" s="70">
        <f t="shared" si="18"/>
        <v>0</v>
      </c>
      <c r="N192" s="70">
        <f t="shared" si="19"/>
        <v>0</v>
      </c>
      <c r="O192" s="70">
        <f t="shared" si="20"/>
        <v>0</v>
      </c>
      <c r="P192" s="75"/>
      <c r="Q192" s="75"/>
      <c r="R192" s="80"/>
      <c r="S192" s="48"/>
      <c r="T192" s="48"/>
      <c r="U192" s="48"/>
      <c r="V192" s="48"/>
      <c r="W192" s="44"/>
      <c r="X192" s="44"/>
    </row>
    <row r="193" spans="1:24" ht="15.75" customHeight="1" x14ac:dyDescent="0.3">
      <c r="A193" s="69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80"/>
      <c r="E193" s="70">
        <f t="shared" si="12"/>
        <v>0</v>
      </c>
      <c r="F193" s="70">
        <f t="shared" si="13"/>
        <v>0</v>
      </c>
      <c r="G193" s="70">
        <f t="shared" si="14"/>
        <v>0</v>
      </c>
      <c r="H193" s="80"/>
      <c r="I193" s="70">
        <f t="shared" si="15"/>
        <v>0</v>
      </c>
      <c r="J193" s="70">
        <f t="shared" si="16"/>
        <v>0</v>
      </c>
      <c r="K193" s="70">
        <f t="shared" si="17"/>
        <v>0</v>
      </c>
      <c r="L193" s="80"/>
      <c r="M193" s="70">
        <f t="shared" si="18"/>
        <v>0</v>
      </c>
      <c r="N193" s="70">
        <f t="shared" si="19"/>
        <v>0</v>
      </c>
      <c r="O193" s="70">
        <f t="shared" si="20"/>
        <v>0</v>
      </c>
      <c r="P193" s="75"/>
      <c r="Q193" s="75"/>
      <c r="S193" s="48"/>
      <c r="T193" s="48"/>
      <c r="U193" s="48"/>
      <c r="V193" s="48"/>
      <c r="W193" s="44"/>
      <c r="X193" s="44"/>
    </row>
    <row r="194" spans="1:24" ht="15.75" customHeight="1" x14ac:dyDescent="0.3">
      <c r="A194" s="69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80"/>
      <c r="E194" s="70">
        <f t="shared" si="12"/>
        <v>0</v>
      </c>
      <c r="F194" s="70">
        <f t="shared" si="13"/>
        <v>0</v>
      </c>
      <c r="G194" s="70">
        <f t="shared" si="14"/>
        <v>0</v>
      </c>
      <c r="H194" s="80"/>
      <c r="I194" s="70">
        <f t="shared" si="15"/>
        <v>0</v>
      </c>
      <c r="J194" s="70">
        <f t="shared" si="16"/>
        <v>0</v>
      </c>
      <c r="K194" s="70">
        <f t="shared" si="17"/>
        <v>0</v>
      </c>
      <c r="L194" s="80"/>
      <c r="M194" s="70">
        <f t="shared" si="18"/>
        <v>0</v>
      </c>
      <c r="N194" s="70">
        <f t="shared" si="19"/>
        <v>0</v>
      </c>
      <c r="O194" s="70">
        <f t="shared" si="20"/>
        <v>0</v>
      </c>
      <c r="P194" s="75"/>
      <c r="Q194" s="75"/>
      <c r="R194" s="80"/>
      <c r="S194" s="48"/>
      <c r="T194" s="48"/>
      <c r="U194" s="48"/>
      <c r="V194" s="48"/>
      <c r="W194" s="44"/>
      <c r="X194" s="44"/>
    </row>
    <row r="195" spans="1:24" ht="15.75" customHeight="1" x14ac:dyDescent="0.3">
      <c r="A195" s="69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80"/>
      <c r="E195" s="70">
        <f t="shared" si="12"/>
        <v>0</v>
      </c>
      <c r="F195" s="70">
        <f t="shared" si="13"/>
        <v>0</v>
      </c>
      <c r="G195" s="70">
        <f t="shared" si="14"/>
        <v>0</v>
      </c>
      <c r="H195" s="80"/>
      <c r="I195" s="70">
        <f t="shared" si="15"/>
        <v>0</v>
      </c>
      <c r="J195" s="70">
        <f t="shared" si="16"/>
        <v>0</v>
      </c>
      <c r="K195" s="70">
        <f t="shared" si="17"/>
        <v>0</v>
      </c>
      <c r="L195" s="80"/>
      <c r="M195" s="70">
        <f t="shared" si="18"/>
        <v>0</v>
      </c>
      <c r="N195" s="70">
        <f t="shared" si="19"/>
        <v>0</v>
      </c>
      <c r="O195" s="70">
        <f t="shared" si="20"/>
        <v>0</v>
      </c>
      <c r="P195" s="75"/>
      <c r="Q195" s="75"/>
      <c r="R195" s="80"/>
      <c r="S195" s="48"/>
      <c r="T195" s="48"/>
      <c r="U195" s="48"/>
      <c r="V195" s="48"/>
      <c r="W195" s="44"/>
      <c r="X195" s="44"/>
    </row>
    <row r="196" spans="1:24" ht="15.75" customHeight="1" x14ac:dyDescent="0.3">
      <c r="A196" s="69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80"/>
      <c r="E196" s="70">
        <f t="shared" si="12"/>
        <v>0</v>
      </c>
      <c r="F196" s="70">
        <f t="shared" si="13"/>
        <v>0</v>
      </c>
      <c r="G196" s="70">
        <f t="shared" si="14"/>
        <v>0</v>
      </c>
      <c r="H196" s="80"/>
      <c r="I196" s="70">
        <f t="shared" si="15"/>
        <v>0</v>
      </c>
      <c r="J196" s="70">
        <f t="shared" si="16"/>
        <v>0</v>
      </c>
      <c r="K196" s="70">
        <f t="shared" si="17"/>
        <v>0</v>
      </c>
      <c r="L196" s="80"/>
      <c r="M196" s="70">
        <f t="shared" si="18"/>
        <v>0</v>
      </c>
      <c r="N196" s="70">
        <f t="shared" si="19"/>
        <v>0</v>
      </c>
      <c r="O196" s="70">
        <f t="shared" si="20"/>
        <v>0</v>
      </c>
      <c r="P196" s="75"/>
      <c r="Q196" s="75"/>
      <c r="R196" s="80"/>
      <c r="S196" s="48"/>
      <c r="T196" s="48"/>
      <c r="U196" s="48"/>
      <c r="V196" s="48"/>
      <c r="W196" s="44"/>
      <c r="X196" s="44"/>
    </row>
    <row r="197" spans="1:24" ht="15.75" customHeight="1" x14ac:dyDescent="0.3">
      <c r="A197" s="69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80"/>
      <c r="E197" s="70">
        <f t="shared" si="12"/>
        <v>0</v>
      </c>
      <c r="F197" s="70">
        <f t="shared" si="13"/>
        <v>0</v>
      </c>
      <c r="G197" s="70">
        <f t="shared" si="14"/>
        <v>0</v>
      </c>
      <c r="H197" s="80"/>
      <c r="I197" s="70">
        <f t="shared" si="15"/>
        <v>0</v>
      </c>
      <c r="J197" s="70">
        <f t="shared" si="16"/>
        <v>0</v>
      </c>
      <c r="K197" s="70">
        <f t="shared" si="17"/>
        <v>0</v>
      </c>
      <c r="L197" s="80"/>
      <c r="M197" s="70">
        <f t="shared" si="18"/>
        <v>0</v>
      </c>
      <c r="N197" s="70">
        <f t="shared" si="19"/>
        <v>0</v>
      </c>
      <c r="O197" s="70">
        <f t="shared" si="20"/>
        <v>0</v>
      </c>
      <c r="P197" s="75"/>
      <c r="Q197" s="75"/>
      <c r="R197" s="80"/>
      <c r="S197" s="48"/>
      <c r="T197" s="48"/>
      <c r="U197" s="48"/>
      <c r="V197" s="48"/>
      <c r="W197" s="44"/>
      <c r="X197" s="44"/>
    </row>
    <row r="198" spans="1:24" ht="15.75" customHeight="1" x14ac:dyDescent="0.3">
      <c r="A198" s="69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80"/>
      <c r="E198" s="70">
        <f t="shared" si="12"/>
        <v>0</v>
      </c>
      <c r="F198" s="70">
        <f t="shared" si="13"/>
        <v>0</v>
      </c>
      <c r="G198" s="70">
        <f t="shared" si="14"/>
        <v>0</v>
      </c>
      <c r="H198" s="80"/>
      <c r="I198" s="70">
        <f t="shared" si="15"/>
        <v>0</v>
      </c>
      <c r="J198" s="70">
        <f t="shared" si="16"/>
        <v>0</v>
      </c>
      <c r="K198" s="70">
        <f t="shared" si="17"/>
        <v>0</v>
      </c>
      <c r="L198" s="80"/>
      <c r="M198" s="70">
        <f t="shared" si="18"/>
        <v>0</v>
      </c>
      <c r="N198" s="70">
        <f t="shared" si="19"/>
        <v>0</v>
      </c>
      <c r="O198" s="70">
        <f t="shared" si="20"/>
        <v>0</v>
      </c>
      <c r="P198" s="75"/>
      <c r="Q198" s="75"/>
      <c r="R198" s="80"/>
      <c r="S198" s="48"/>
      <c r="T198" s="48"/>
      <c r="U198" s="48"/>
      <c r="V198" s="48"/>
      <c r="W198" s="44"/>
      <c r="X198" s="44"/>
    </row>
    <row r="199" spans="1:24" ht="15.75" customHeight="1" x14ac:dyDescent="0.3">
      <c r="A199" s="69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80"/>
      <c r="E199" s="70">
        <f t="shared" si="12"/>
        <v>0</v>
      </c>
      <c r="F199" s="70">
        <f t="shared" si="13"/>
        <v>0</v>
      </c>
      <c r="G199" s="70">
        <f t="shared" si="14"/>
        <v>0</v>
      </c>
      <c r="H199" s="80"/>
      <c r="I199" s="70">
        <f t="shared" si="15"/>
        <v>0</v>
      </c>
      <c r="J199" s="70">
        <f t="shared" si="16"/>
        <v>0</v>
      </c>
      <c r="K199" s="70">
        <f t="shared" si="17"/>
        <v>0</v>
      </c>
      <c r="L199" s="80"/>
      <c r="M199" s="70">
        <f t="shared" si="18"/>
        <v>0</v>
      </c>
      <c r="N199" s="70">
        <f t="shared" si="19"/>
        <v>0</v>
      </c>
      <c r="O199" s="70">
        <f t="shared" si="20"/>
        <v>0</v>
      </c>
      <c r="P199" s="75"/>
      <c r="Q199" s="75"/>
      <c r="R199" s="80"/>
      <c r="S199" s="48"/>
      <c r="T199" s="48"/>
      <c r="U199" s="48"/>
      <c r="V199" s="48"/>
      <c r="W199" s="44"/>
      <c r="X199" s="44"/>
    </row>
    <row r="200" spans="1:24" ht="15.75" customHeight="1" x14ac:dyDescent="0.3">
      <c r="A200" s="69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80"/>
      <c r="E200" s="70">
        <f t="shared" si="12"/>
        <v>0</v>
      </c>
      <c r="F200" s="70">
        <f t="shared" si="13"/>
        <v>0</v>
      </c>
      <c r="G200" s="70">
        <f t="shared" si="14"/>
        <v>0</v>
      </c>
      <c r="H200" s="80"/>
      <c r="I200" s="70">
        <f t="shared" si="15"/>
        <v>0</v>
      </c>
      <c r="J200" s="70">
        <f t="shared" si="16"/>
        <v>0</v>
      </c>
      <c r="K200" s="70">
        <f t="shared" si="17"/>
        <v>0</v>
      </c>
      <c r="L200" s="80"/>
      <c r="M200" s="70">
        <f t="shared" si="18"/>
        <v>0</v>
      </c>
      <c r="N200" s="70">
        <f t="shared" si="19"/>
        <v>0</v>
      </c>
      <c r="O200" s="70">
        <f t="shared" si="20"/>
        <v>0</v>
      </c>
      <c r="P200" s="75"/>
      <c r="Q200" s="75"/>
      <c r="R200" s="80"/>
      <c r="S200" s="48"/>
      <c r="T200" s="48"/>
      <c r="U200" s="48"/>
      <c r="V200" s="48"/>
      <c r="W200" s="44"/>
      <c r="X200" s="44"/>
    </row>
    <row r="201" spans="1:24" ht="15.75" customHeight="1" x14ac:dyDescent="0.3">
      <c r="A201" s="69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80"/>
      <c r="E201" s="70">
        <f t="shared" si="12"/>
        <v>0</v>
      </c>
      <c r="F201" s="70">
        <f t="shared" si="13"/>
        <v>0</v>
      </c>
      <c r="G201" s="70">
        <f t="shared" si="14"/>
        <v>0</v>
      </c>
      <c r="H201" s="80"/>
      <c r="I201" s="70">
        <f t="shared" si="15"/>
        <v>0</v>
      </c>
      <c r="J201" s="70">
        <f t="shared" si="16"/>
        <v>0</v>
      </c>
      <c r="K201" s="70">
        <f t="shared" si="17"/>
        <v>0</v>
      </c>
      <c r="L201" s="80"/>
      <c r="M201" s="70">
        <f t="shared" si="18"/>
        <v>0</v>
      </c>
      <c r="N201" s="70">
        <f t="shared" si="19"/>
        <v>0</v>
      </c>
      <c r="O201" s="70">
        <f t="shared" si="20"/>
        <v>0</v>
      </c>
      <c r="P201" s="75"/>
      <c r="Q201" s="75"/>
      <c r="S201" s="48"/>
      <c r="T201" s="48"/>
      <c r="U201" s="48"/>
      <c r="V201" s="48"/>
      <c r="W201" s="44"/>
      <c r="X201" s="44"/>
    </row>
    <row r="202" spans="1:24" ht="15.75" customHeight="1" x14ac:dyDescent="0.3">
      <c r="A202" s="69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80"/>
      <c r="E202" s="70">
        <f t="shared" si="12"/>
        <v>0</v>
      </c>
      <c r="F202" s="70">
        <f t="shared" si="13"/>
        <v>0</v>
      </c>
      <c r="G202" s="70">
        <f t="shared" si="14"/>
        <v>0</v>
      </c>
      <c r="H202" s="80"/>
      <c r="I202" s="70">
        <f t="shared" si="15"/>
        <v>0</v>
      </c>
      <c r="J202" s="70">
        <f t="shared" si="16"/>
        <v>0</v>
      </c>
      <c r="K202" s="70">
        <f t="shared" si="17"/>
        <v>0</v>
      </c>
      <c r="L202" s="80"/>
      <c r="M202" s="70">
        <f t="shared" si="18"/>
        <v>0</v>
      </c>
      <c r="N202" s="70">
        <f t="shared" si="19"/>
        <v>0</v>
      </c>
      <c r="O202" s="70">
        <f t="shared" si="20"/>
        <v>0</v>
      </c>
      <c r="P202" s="75"/>
      <c r="Q202" s="75"/>
      <c r="R202" s="80"/>
      <c r="S202" s="48"/>
      <c r="T202" s="48"/>
      <c r="U202" s="48"/>
      <c r="V202" s="48"/>
      <c r="W202" s="44"/>
      <c r="X202" s="44"/>
    </row>
    <row r="203" spans="1:24" ht="15.75" customHeight="1" x14ac:dyDescent="0.3">
      <c r="A203" s="69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80"/>
      <c r="E203" s="70">
        <f t="shared" si="12"/>
        <v>0</v>
      </c>
      <c r="F203" s="70">
        <f t="shared" si="13"/>
        <v>0</v>
      </c>
      <c r="G203" s="70">
        <f t="shared" si="14"/>
        <v>0</v>
      </c>
      <c r="H203" s="80"/>
      <c r="I203" s="70">
        <f t="shared" si="15"/>
        <v>0</v>
      </c>
      <c r="J203" s="70">
        <f t="shared" si="16"/>
        <v>0</v>
      </c>
      <c r="K203" s="70">
        <f t="shared" si="17"/>
        <v>0</v>
      </c>
      <c r="L203" s="80"/>
      <c r="M203" s="70">
        <f t="shared" si="18"/>
        <v>0</v>
      </c>
      <c r="N203" s="70">
        <f t="shared" si="19"/>
        <v>0</v>
      </c>
      <c r="O203" s="70">
        <f t="shared" si="20"/>
        <v>0</v>
      </c>
      <c r="P203" s="75"/>
      <c r="Q203" s="75"/>
      <c r="R203" s="80"/>
      <c r="S203" s="48"/>
      <c r="T203" s="48"/>
      <c r="U203" s="48"/>
      <c r="V203" s="48"/>
      <c r="W203" s="44"/>
      <c r="X203" s="44"/>
    </row>
    <row r="204" spans="1:24" ht="15.75" customHeight="1" x14ac:dyDescent="0.3">
      <c r="A204" s="69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E204" s="70">
        <f t="shared" si="12"/>
        <v>0</v>
      </c>
      <c r="F204" s="70">
        <f t="shared" si="13"/>
        <v>0</v>
      </c>
      <c r="G204" s="70">
        <f t="shared" si="14"/>
        <v>0</v>
      </c>
      <c r="I204" s="70">
        <f t="shared" si="15"/>
        <v>0</v>
      </c>
      <c r="J204" s="70">
        <f t="shared" si="16"/>
        <v>0</v>
      </c>
      <c r="K204" s="70">
        <f t="shared" si="17"/>
        <v>0</v>
      </c>
      <c r="M204" s="70">
        <f t="shared" si="18"/>
        <v>0</v>
      </c>
      <c r="N204" s="70">
        <f t="shared" si="19"/>
        <v>0</v>
      </c>
      <c r="O204" s="70">
        <f t="shared" si="20"/>
        <v>0</v>
      </c>
      <c r="P204" s="75"/>
      <c r="Q204" s="75"/>
      <c r="S204" s="48"/>
      <c r="T204" s="48"/>
      <c r="U204" s="48"/>
      <c r="V204" s="48"/>
      <c r="W204" s="44"/>
      <c r="X204" s="44"/>
    </row>
    <row r="205" spans="1:24" ht="15.75" customHeight="1" x14ac:dyDescent="0.3">
      <c r="A205" s="69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80"/>
      <c r="E205" s="70">
        <f t="shared" si="12"/>
        <v>0</v>
      </c>
      <c r="F205" s="70">
        <f t="shared" si="13"/>
        <v>0</v>
      </c>
      <c r="G205" s="70">
        <f t="shared" si="14"/>
        <v>0</v>
      </c>
      <c r="H205" s="80"/>
      <c r="I205" s="70">
        <f t="shared" si="15"/>
        <v>0</v>
      </c>
      <c r="J205" s="70">
        <f t="shared" si="16"/>
        <v>0</v>
      </c>
      <c r="K205" s="70">
        <f t="shared" si="17"/>
        <v>0</v>
      </c>
      <c r="L205" s="80"/>
      <c r="M205" s="70">
        <f t="shared" si="18"/>
        <v>0</v>
      </c>
      <c r="N205" s="70">
        <f t="shared" si="19"/>
        <v>0</v>
      </c>
      <c r="O205" s="70">
        <f t="shared" si="20"/>
        <v>0</v>
      </c>
      <c r="P205" s="75"/>
      <c r="Q205" s="75"/>
      <c r="R205" s="80"/>
      <c r="S205" s="48"/>
      <c r="T205" s="48"/>
      <c r="U205" s="48"/>
      <c r="V205" s="48"/>
      <c r="W205" s="44"/>
      <c r="X205" s="44"/>
    </row>
    <row r="206" spans="1:24" ht="15.75" customHeight="1" x14ac:dyDescent="0.3">
      <c r="A206" s="69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80"/>
      <c r="E206" s="70">
        <f t="shared" si="12"/>
        <v>0</v>
      </c>
      <c r="F206" s="70">
        <f t="shared" si="13"/>
        <v>0</v>
      </c>
      <c r="G206" s="70">
        <f t="shared" si="14"/>
        <v>0</v>
      </c>
      <c r="H206" s="80"/>
      <c r="I206" s="70">
        <f t="shared" si="15"/>
        <v>0</v>
      </c>
      <c r="J206" s="70">
        <f t="shared" si="16"/>
        <v>0</v>
      </c>
      <c r="K206" s="70">
        <f t="shared" si="17"/>
        <v>0</v>
      </c>
      <c r="L206" s="80"/>
      <c r="M206" s="70">
        <f t="shared" si="18"/>
        <v>0</v>
      </c>
      <c r="N206" s="70">
        <f t="shared" si="19"/>
        <v>0</v>
      </c>
      <c r="O206" s="70">
        <f t="shared" si="20"/>
        <v>0</v>
      </c>
      <c r="P206" s="75"/>
      <c r="Q206" s="75"/>
      <c r="R206" s="80"/>
      <c r="S206" s="48"/>
      <c r="T206" s="48"/>
      <c r="U206" s="48"/>
      <c r="V206" s="48"/>
      <c r="W206" s="44"/>
      <c r="X206" s="44"/>
    </row>
    <row r="207" spans="1:24" ht="15.75" customHeight="1" x14ac:dyDescent="0.3">
      <c r="A207" s="69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E207" s="70">
        <f t="shared" si="12"/>
        <v>0</v>
      </c>
      <c r="F207" s="70">
        <f t="shared" si="13"/>
        <v>0</v>
      </c>
      <c r="G207" s="70">
        <f t="shared" si="14"/>
        <v>0</v>
      </c>
      <c r="I207" s="70">
        <f t="shared" si="15"/>
        <v>0</v>
      </c>
      <c r="J207" s="70">
        <f t="shared" si="16"/>
        <v>0</v>
      </c>
      <c r="K207" s="70">
        <f t="shared" si="17"/>
        <v>0</v>
      </c>
      <c r="M207" s="70">
        <f t="shared" si="18"/>
        <v>0</v>
      </c>
      <c r="N207" s="70">
        <f t="shared" si="19"/>
        <v>0</v>
      </c>
      <c r="O207" s="70">
        <f t="shared" si="20"/>
        <v>0</v>
      </c>
      <c r="P207" s="75"/>
      <c r="Q207" s="75"/>
      <c r="R207" s="80"/>
      <c r="S207" s="48"/>
      <c r="T207" s="48"/>
      <c r="U207" s="48"/>
      <c r="V207" s="48"/>
      <c r="W207" s="44"/>
      <c r="X207" s="44"/>
    </row>
    <row r="208" spans="1:24" ht="15.75" customHeight="1" x14ac:dyDescent="0.3">
      <c r="A208" s="69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80"/>
      <c r="E208" s="70">
        <f t="shared" si="12"/>
        <v>0</v>
      </c>
      <c r="F208" s="70">
        <f t="shared" si="13"/>
        <v>0</v>
      </c>
      <c r="G208" s="70">
        <f t="shared" si="14"/>
        <v>0</v>
      </c>
      <c r="H208" s="80"/>
      <c r="I208" s="70">
        <f t="shared" si="15"/>
        <v>0</v>
      </c>
      <c r="J208" s="70">
        <f t="shared" si="16"/>
        <v>0</v>
      </c>
      <c r="K208" s="70">
        <f t="shared" si="17"/>
        <v>0</v>
      </c>
      <c r="L208" s="80"/>
      <c r="M208" s="70">
        <f t="shared" si="18"/>
        <v>0</v>
      </c>
      <c r="N208" s="70">
        <f t="shared" si="19"/>
        <v>0</v>
      </c>
      <c r="O208" s="70">
        <f t="shared" si="20"/>
        <v>0</v>
      </c>
      <c r="P208" s="75"/>
      <c r="Q208" s="75"/>
      <c r="R208" s="80"/>
      <c r="S208" s="48"/>
      <c r="T208" s="48"/>
      <c r="U208" s="48"/>
      <c r="V208" s="48"/>
      <c r="W208" s="44"/>
      <c r="X208" s="44"/>
    </row>
    <row r="209" spans="1:24" ht="15.75" customHeight="1" x14ac:dyDescent="0.3">
      <c r="A209" s="69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80"/>
      <c r="E209" s="70">
        <f t="shared" si="12"/>
        <v>0</v>
      </c>
      <c r="F209" s="70">
        <f t="shared" si="13"/>
        <v>0</v>
      </c>
      <c r="G209" s="70">
        <f t="shared" si="14"/>
        <v>0</v>
      </c>
      <c r="H209" s="80"/>
      <c r="I209" s="70">
        <f t="shared" si="15"/>
        <v>0</v>
      </c>
      <c r="J209" s="70">
        <f t="shared" si="16"/>
        <v>0</v>
      </c>
      <c r="K209" s="70">
        <f t="shared" si="17"/>
        <v>0</v>
      </c>
      <c r="L209" s="80"/>
      <c r="M209" s="70">
        <f t="shared" si="18"/>
        <v>0</v>
      </c>
      <c r="N209" s="70">
        <f t="shared" si="19"/>
        <v>0</v>
      </c>
      <c r="O209" s="70">
        <f t="shared" si="20"/>
        <v>0</v>
      </c>
      <c r="P209" s="75"/>
      <c r="Q209" s="75"/>
      <c r="S209" s="48"/>
      <c r="T209" s="48"/>
      <c r="U209" s="48"/>
      <c r="V209" s="48"/>
      <c r="W209" s="44"/>
      <c r="X209" s="44"/>
    </row>
    <row r="210" spans="1:24" ht="15.75" customHeight="1" x14ac:dyDescent="0.3">
      <c r="A210" s="69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80"/>
      <c r="E210" s="70">
        <f t="shared" si="12"/>
        <v>0</v>
      </c>
      <c r="F210" s="70">
        <f t="shared" si="13"/>
        <v>0</v>
      </c>
      <c r="G210" s="70">
        <f t="shared" si="14"/>
        <v>0</v>
      </c>
      <c r="H210" s="80"/>
      <c r="I210" s="70">
        <f t="shared" si="15"/>
        <v>0</v>
      </c>
      <c r="J210" s="70">
        <f t="shared" si="16"/>
        <v>0</v>
      </c>
      <c r="K210" s="70">
        <f t="shared" si="17"/>
        <v>0</v>
      </c>
      <c r="L210" s="80"/>
      <c r="M210" s="70">
        <f t="shared" si="18"/>
        <v>0</v>
      </c>
      <c r="N210" s="70">
        <f t="shared" si="19"/>
        <v>0</v>
      </c>
      <c r="O210" s="70">
        <f t="shared" si="20"/>
        <v>0</v>
      </c>
      <c r="P210" s="75"/>
      <c r="Q210" s="75"/>
      <c r="S210" s="48"/>
      <c r="T210" s="48"/>
      <c r="U210" s="48"/>
      <c r="V210" s="48"/>
      <c r="W210" s="44"/>
      <c r="X210" s="44"/>
    </row>
    <row r="211" spans="1:24" ht="15.75" customHeight="1" x14ac:dyDescent="0.3">
      <c r="A211" s="69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80"/>
      <c r="E211" s="70">
        <f t="shared" si="12"/>
        <v>0</v>
      </c>
      <c r="F211" s="70">
        <f t="shared" si="13"/>
        <v>0</v>
      </c>
      <c r="G211" s="70">
        <f t="shared" si="14"/>
        <v>0</v>
      </c>
      <c r="H211" s="80"/>
      <c r="I211" s="70">
        <f t="shared" si="15"/>
        <v>0</v>
      </c>
      <c r="J211" s="70">
        <f t="shared" si="16"/>
        <v>0</v>
      </c>
      <c r="K211" s="70">
        <f t="shared" si="17"/>
        <v>0</v>
      </c>
      <c r="L211" s="80"/>
      <c r="M211" s="70">
        <f t="shared" si="18"/>
        <v>0</v>
      </c>
      <c r="N211" s="70">
        <f t="shared" si="19"/>
        <v>0</v>
      </c>
      <c r="O211" s="70">
        <f t="shared" si="20"/>
        <v>0</v>
      </c>
      <c r="P211" s="44"/>
      <c r="Q211" s="44"/>
      <c r="R211" s="80"/>
      <c r="S211" s="44"/>
      <c r="T211" s="44"/>
      <c r="U211" s="44"/>
      <c r="V211" s="44"/>
      <c r="W211" s="44"/>
      <c r="X211" s="44"/>
    </row>
    <row r="212" spans="1:24" ht="15.75" customHeight="1" x14ac:dyDescent="0.3">
      <c r="A212" s="69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80"/>
      <c r="E212" s="70">
        <f t="shared" si="12"/>
        <v>0</v>
      </c>
      <c r="F212" s="70">
        <f t="shared" si="13"/>
        <v>0</v>
      </c>
      <c r="G212" s="70">
        <f t="shared" si="14"/>
        <v>0</v>
      </c>
      <c r="H212" s="80"/>
      <c r="I212" s="70">
        <f t="shared" si="15"/>
        <v>0</v>
      </c>
      <c r="J212" s="70">
        <f t="shared" si="16"/>
        <v>0</v>
      </c>
      <c r="K212" s="70">
        <f t="shared" si="17"/>
        <v>0</v>
      </c>
      <c r="L212" s="80"/>
      <c r="M212" s="70">
        <f t="shared" si="18"/>
        <v>0</v>
      </c>
      <c r="N212" s="70">
        <f t="shared" si="19"/>
        <v>0</v>
      </c>
      <c r="O212" s="70">
        <f t="shared" si="20"/>
        <v>0</v>
      </c>
      <c r="P212" s="44"/>
      <c r="Q212" s="44"/>
      <c r="S212" s="44"/>
      <c r="T212" s="44"/>
      <c r="U212" s="44"/>
      <c r="V212" s="44"/>
      <c r="W212" s="44"/>
      <c r="X212" s="44"/>
    </row>
    <row r="213" spans="1:24" ht="15.75" customHeight="1" x14ac:dyDescent="0.3">
      <c r="A213" s="69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80"/>
      <c r="E213" s="70">
        <f t="shared" si="12"/>
        <v>0</v>
      </c>
      <c r="F213" s="70">
        <f t="shared" si="13"/>
        <v>0</v>
      </c>
      <c r="G213" s="70">
        <f t="shared" si="14"/>
        <v>0</v>
      </c>
      <c r="H213" s="80"/>
      <c r="I213" s="70">
        <f t="shared" si="15"/>
        <v>0</v>
      </c>
      <c r="J213" s="70">
        <f t="shared" si="16"/>
        <v>0</v>
      </c>
      <c r="K213" s="70">
        <f t="shared" si="17"/>
        <v>0</v>
      </c>
      <c r="L213" s="80"/>
      <c r="M213" s="70">
        <f t="shared" si="18"/>
        <v>0</v>
      </c>
      <c r="N213" s="70">
        <f t="shared" si="19"/>
        <v>0</v>
      </c>
      <c r="O213" s="70">
        <f t="shared" si="20"/>
        <v>0</v>
      </c>
      <c r="P213" s="44"/>
      <c r="Q213" s="44"/>
      <c r="S213" s="44"/>
      <c r="T213" s="44"/>
      <c r="U213" s="44"/>
      <c r="V213" s="44"/>
      <c r="W213" s="44"/>
      <c r="X213" s="44"/>
    </row>
    <row r="214" spans="1:24" ht="15.75" customHeight="1" x14ac:dyDescent="0.3">
      <c r="A214" s="69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E214" s="70">
        <f t="shared" si="12"/>
        <v>0</v>
      </c>
      <c r="F214" s="70">
        <f t="shared" si="13"/>
        <v>0</v>
      </c>
      <c r="G214" s="70">
        <f t="shared" si="14"/>
        <v>0</v>
      </c>
      <c r="I214" s="70">
        <f t="shared" si="15"/>
        <v>0</v>
      </c>
      <c r="J214" s="70">
        <f t="shared" si="16"/>
        <v>0</v>
      </c>
      <c r="K214" s="70">
        <f t="shared" si="17"/>
        <v>0</v>
      </c>
      <c r="M214" s="70">
        <f t="shared" si="18"/>
        <v>0</v>
      </c>
      <c r="N214" s="70">
        <f t="shared" si="19"/>
        <v>0</v>
      </c>
      <c r="O214" s="70">
        <f t="shared" si="20"/>
        <v>0</v>
      </c>
      <c r="P214" s="44"/>
      <c r="Q214" s="44"/>
      <c r="R214" s="80"/>
      <c r="S214" s="44"/>
      <c r="T214" s="44"/>
      <c r="U214" s="44"/>
      <c r="V214" s="44"/>
      <c r="W214" s="44"/>
      <c r="X214" s="44"/>
    </row>
    <row r="215" spans="1:24" ht="15.75" customHeight="1" x14ac:dyDescent="0.3">
      <c r="A215" s="69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80"/>
      <c r="E215" s="70">
        <f t="shared" si="12"/>
        <v>0</v>
      </c>
      <c r="F215" s="70">
        <f t="shared" si="13"/>
        <v>0</v>
      </c>
      <c r="G215" s="70">
        <f t="shared" si="14"/>
        <v>0</v>
      </c>
      <c r="H215" s="80"/>
      <c r="I215" s="70">
        <f t="shared" si="15"/>
        <v>0</v>
      </c>
      <c r="J215" s="70">
        <f t="shared" si="16"/>
        <v>0</v>
      </c>
      <c r="K215" s="70">
        <f t="shared" si="17"/>
        <v>0</v>
      </c>
      <c r="L215" s="80"/>
      <c r="M215" s="70">
        <f t="shared" si="18"/>
        <v>0</v>
      </c>
      <c r="N215" s="70">
        <f t="shared" si="19"/>
        <v>0</v>
      </c>
      <c r="O215" s="70">
        <f t="shared" si="20"/>
        <v>0</v>
      </c>
      <c r="P215" s="44"/>
      <c r="Q215" s="44"/>
      <c r="S215" s="44"/>
      <c r="T215" s="44"/>
      <c r="U215" s="44"/>
      <c r="V215" s="44"/>
      <c r="W215" s="44"/>
      <c r="X215" s="44"/>
    </row>
    <row r="216" spans="1:24" ht="15.75" customHeight="1" x14ac:dyDescent="0.3">
      <c r="A216" s="69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80"/>
      <c r="E216" s="70">
        <f t="shared" si="12"/>
        <v>0</v>
      </c>
      <c r="F216" s="70">
        <f t="shared" si="13"/>
        <v>0</v>
      </c>
      <c r="G216" s="70">
        <f t="shared" si="14"/>
        <v>0</v>
      </c>
      <c r="H216" s="80"/>
      <c r="I216" s="70">
        <f t="shared" si="15"/>
        <v>0</v>
      </c>
      <c r="J216" s="70">
        <f t="shared" si="16"/>
        <v>0</v>
      </c>
      <c r="K216" s="70">
        <f t="shared" si="17"/>
        <v>0</v>
      </c>
      <c r="L216" s="80"/>
      <c r="M216" s="70">
        <f t="shared" si="18"/>
        <v>0</v>
      </c>
      <c r="N216" s="70">
        <f t="shared" si="19"/>
        <v>0</v>
      </c>
      <c r="O216" s="70">
        <f t="shared" si="20"/>
        <v>0</v>
      </c>
      <c r="P216" s="44"/>
      <c r="Q216" s="44"/>
      <c r="R216" s="80"/>
      <c r="S216" s="44"/>
      <c r="T216" s="44"/>
      <c r="U216" s="44"/>
      <c r="V216" s="44"/>
      <c r="W216" s="44"/>
      <c r="X216" s="44"/>
    </row>
    <row r="217" spans="1:24" ht="15.75" customHeight="1" x14ac:dyDescent="0.3">
      <c r="A217" s="69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80"/>
      <c r="E217" s="70">
        <f t="shared" si="12"/>
        <v>0</v>
      </c>
      <c r="F217" s="70">
        <f t="shared" si="13"/>
        <v>0</v>
      </c>
      <c r="G217" s="70">
        <f t="shared" si="14"/>
        <v>0</v>
      </c>
      <c r="H217" s="80"/>
      <c r="I217" s="70">
        <f t="shared" si="15"/>
        <v>0</v>
      </c>
      <c r="J217" s="70">
        <f t="shared" si="16"/>
        <v>0</v>
      </c>
      <c r="K217" s="70">
        <f t="shared" si="17"/>
        <v>0</v>
      </c>
      <c r="L217" s="80"/>
      <c r="M217" s="70">
        <f t="shared" si="18"/>
        <v>0</v>
      </c>
      <c r="N217" s="70">
        <f t="shared" si="19"/>
        <v>0</v>
      </c>
      <c r="O217" s="70">
        <f t="shared" si="20"/>
        <v>0</v>
      </c>
      <c r="P217" s="44"/>
      <c r="Q217" s="44"/>
      <c r="S217" s="44"/>
      <c r="T217" s="44"/>
      <c r="U217" s="44"/>
      <c r="V217" s="44"/>
      <c r="W217" s="44"/>
      <c r="X217" s="44"/>
    </row>
    <row r="218" spans="1:24" ht="15.75" customHeight="1" x14ac:dyDescent="0.3">
      <c r="A218" s="69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80"/>
      <c r="E218" s="70">
        <f t="shared" si="12"/>
        <v>0</v>
      </c>
      <c r="F218" s="70">
        <f t="shared" si="13"/>
        <v>0</v>
      </c>
      <c r="G218" s="70">
        <f t="shared" si="14"/>
        <v>0</v>
      </c>
      <c r="H218" s="80"/>
      <c r="I218" s="70">
        <f t="shared" si="15"/>
        <v>0</v>
      </c>
      <c r="J218" s="70">
        <f t="shared" si="16"/>
        <v>0</v>
      </c>
      <c r="K218" s="70">
        <f t="shared" si="17"/>
        <v>0</v>
      </c>
      <c r="L218" s="80"/>
      <c r="M218" s="70">
        <f t="shared" si="18"/>
        <v>0</v>
      </c>
      <c r="N218" s="70">
        <f t="shared" si="19"/>
        <v>0</v>
      </c>
      <c r="O218" s="70">
        <f t="shared" si="20"/>
        <v>0</v>
      </c>
      <c r="P218" s="44"/>
      <c r="Q218" s="44"/>
      <c r="R218" s="80"/>
      <c r="S218" s="44"/>
      <c r="T218" s="44"/>
      <c r="U218" s="44"/>
      <c r="V218" s="44"/>
      <c r="W218" s="44"/>
      <c r="X218" s="44"/>
    </row>
    <row r="219" spans="1:24" ht="15.75" customHeight="1" x14ac:dyDescent="0.3">
      <c r="A219" s="69">
        <f>'Sessional + End Term Assessment'!A220</f>
        <v>213</v>
      </c>
      <c r="B219" s="81">
        <f>'Sessional + End Term Assessment'!B220</f>
        <v>0</v>
      </c>
      <c r="C219" s="81">
        <f>'Sessional + End Term Assessment'!C220</f>
        <v>0</v>
      </c>
      <c r="D219" s="80"/>
      <c r="E219" s="70">
        <f t="shared" ref="E219:E256" si="21">IF(D219&gt;=($D$6*0.7),1,0)</f>
        <v>0</v>
      </c>
      <c r="F219" s="70">
        <f t="shared" ref="F219:F256" si="22">IF(D219&gt;=($D$6*0.8),1,0)</f>
        <v>0</v>
      </c>
      <c r="G219" s="70">
        <f t="shared" ref="G219:G256" si="23">IF(D219&gt;=($D$6*0.9),1,0)</f>
        <v>0</v>
      </c>
      <c r="H219" s="80"/>
      <c r="I219" s="70">
        <f t="shared" ref="I219:I256" si="24">IF(H219&gt;=($H$6*0.7),1,0)</f>
        <v>0</v>
      </c>
      <c r="J219" s="70">
        <f t="shared" ref="J219:J256" si="25">IF(H219&gt;=($H$6*0.7),1,0)</f>
        <v>0</v>
      </c>
      <c r="K219" s="70">
        <f t="shared" ref="K219:K256" si="26">IF(H219&gt;=($H$6*0.9),1,0)</f>
        <v>0</v>
      </c>
      <c r="L219" s="80"/>
      <c r="M219" s="70">
        <f t="shared" ref="M219:M256" si="27">IF(L219&gt;=($L$6*0.7),1,0)</f>
        <v>0</v>
      </c>
      <c r="N219" s="70">
        <f t="shared" ref="N219:N256" si="28">IF(L219&gt;=($L$6*0.8),1,0)</f>
        <v>0</v>
      </c>
      <c r="O219" s="70">
        <f t="shared" ref="O219:O256" si="29">IF(L219&gt;=($L$6*0.9),1,0)</f>
        <v>0</v>
      </c>
      <c r="P219" s="44"/>
      <c r="Q219" s="44"/>
      <c r="R219" s="80"/>
      <c r="S219" s="44"/>
      <c r="T219" s="44"/>
      <c r="U219" s="44"/>
      <c r="V219" s="44"/>
      <c r="W219" s="44"/>
      <c r="X219" s="44"/>
    </row>
    <row r="220" spans="1:24" ht="15.75" customHeight="1" x14ac:dyDescent="0.3">
      <c r="A220" s="69">
        <f>'Sessional + End Term Assessment'!A221</f>
        <v>214</v>
      </c>
      <c r="B220" s="81">
        <f>'Sessional + End Term Assessment'!B221</f>
        <v>0</v>
      </c>
      <c r="C220" s="81">
        <f>'Sessional + End Term Assessment'!C221</f>
        <v>0</v>
      </c>
      <c r="D220" s="80"/>
      <c r="E220" s="70">
        <f t="shared" si="21"/>
        <v>0</v>
      </c>
      <c r="F220" s="70">
        <f t="shared" si="22"/>
        <v>0</v>
      </c>
      <c r="G220" s="70">
        <f t="shared" si="23"/>
        <v>0</v>
      </c>
      <c r="H220" s="80"/>
      <c r="I220" s="70">
        <f t="shared" si="24"/>
        <v>0</v>
      </c>
      <c r="J220" s="70">
        <f t="shared" si="25"/>
        <v>0</v>
      </c>
      <c r="K220" s="70">
        <f t="shared" si="26"/>
        <v>0</v>
      </c>
      <c r="L220" s="80"/>
      <c r="M220" s="70">
        <f t="shared" si="27"/>
        <v>0</v>
      </c>
      <c r="N220" s="70">
        <f t="shared" si="28"/>
        <v>0</v>
      </c>
      <c r="O220" s="70">
        <f t="shared" si="29"/>
        <v>0</v>
      </c>
      <c r="P220" s="44"/>
      <c r="Q220" s="44"/>
      <c r="R220" s="80"/>
      <c r="S220" s="44"/>
      <c r="T220" s="44"/>
      <c r="U220" s="44"/>
      <c r="V220" s="44"/>
      <c r="W220" s="44"/>
      <c r="X220" s="44"/>
    </row>
    <row r="221" spans="1:24" ht="15.75" customHeight="1" x14ac:dyDescent="0.3">
      <c r="A221" s="69">
        <f>'Sessional + End Term Assessment'!A222</f>
        <v>215</v>
      </c>
      <c r="B221" s="81">
        <f>'Sessional + End Term Assessment'!B222</f>
        <v>0</v>
      </c>
      <c r="C221" s="81">
        <f>'Sessional + End Term Assessment'!C222</f>
        <v>0</v>
      </c>
      <c r="D221" s="80"/>
      <c r="E221" s="70">
        <f t="shared" si="21"/>
        <v>0</v>
      </c>
      <c r="F221" s="70">
        <f t="shared" si="22"/>
        <v>0</v>
      </c>
      <c r="G221" s="70">
        <f t="shared" si="23"/>
        <v>0</v>
      </c>
      <c r="H221" s="80"/>
      <c r="I221" s="70">
        <f t="shared" si="24"/>
        <v>0</v>
      </c>
      <c r="J221" s="70">
        <f t="shared" si="25"/>
        <v>0</v>
      </c>
      <c r="K221" s="70">
        <f t="shared" si="26"/>
        <v>0</v>
      </c>
      <c r="L221" s="80"/>
      <c r="M221" s="70">
        <f t="shared" si="27"/>
        <v>0</v>
      </c>
      <c r="N221" s="70">
        <f t="shared" si="28"/>
        <v>0</v>
      </c>
      <c r="O221" s="70">
        <f t="shared" si="29"/>
        <v>0</v>
      </c>
      <c r="P221" s="44"/>
      <c r="Q221" s="44"/>
      <c r="R221" s="80"/>
      <c r="S221" s="44"/>
      <c r="T221" s="44"/>
      <c r="U221" s="44"/>
      <c r="V221" s="44"/>
      <c r="W221" s="44"/>
      <c r="X221" s="44"/>
    </row>
    <row r="222" spans="1:24" ht="15.75" customHeight="1" x14ac:dyDescent="0.3">
      <c r="A222" s="69">
        <f>'Sessional + End Term Assessment'!A223</f>
        <v>216</v>
      </c>
      <c r="B222" s="81">
        <f>'Sessional + End Term Assessment'!B223</f>
        <v>0</v>
      </c>
      <c r="C222" s="81">
        <f>'Sessional + End Term Assessment'!C223</f>
        <v>0</v>
      </c>
      <c r="D222" s="80"/>
      <c r="E222" s="70">
        <f t="shared" si="21"/>
        <v>0</v>
      </c>
      <c r="F222" s="70">
        <f t="shared" si="22"/>
        <v>0</v>
      </c>
      <c r="G222" s="70">
        <f t="shared" si="23"/>
        <v>0</v>
      </c>
      <c r="H222" s="80"/>
      <c r="I222" s="70">
        <f t="shared" si="24"/>
        <v>0</v>
      </c>
      <c r="J222" s="70">
        <f t="shared" si="25"/>
        <v>0</v>
      </c>
      <c r="K222" s="70">
        <f t="shared" si="26"/>
        <v>0</v>
      </c>
      <c r="L222" s="80"/>
      <c r="M222" s="70">
        <f t="shared" si="27"/>
        <v>0</v>
      </c>
      <c r="N222" s="70">
        <f t="shared" si="28"/>
        <v>0</v>
      </c>
      <c r="O222" s="70">
        <f t="shared" si="29"/>
        <v>0</v>
      </c>
      <c r="P222" s="44"/>
      <c r="Q222" s="44"/>
      <c r="R222" s="80"/>
      <c r="S222" s="44"/>
      <c r="T222" s="44"/>
      <c r="U222" s="44"/>
      <c r="V222" s="44"/>
      <c r="W222" s="44"/>
      <c r="X222" s="44"/>
    </row>
    <row r="223" spans="1:24" ht="15.75" customHeight="1" x14ac:dyDescent="0.3">
      <c r="A223" s="69">
        <f>'Sessional + End Term Assessment'!A224</f>
        <v>217</v>
      </c>
      <c r="B223" s="81">
        <f>'Sessional + End Term Assessment'!B224</f>
        <v>0</v>
      </c>
      <c r="C223" s="81">
        <f>'Sessional + End Term Assessment'!C224</f>
        <v>0</v>
      </c>
      <c r="D223" s="80"/>
      <c r="E223" s="70">
        <f t="shared" si="21"/>
        <v>0</v>
      </c>
      <c r="F223" s="70">
        <f t="shared" si="22"/>
        <v>0</v>
      </c>
      <c r="G223" s="70">
        <f t="shared" si="23"/>
        <v>0</v>
      </c>
      <c r="H223" s="80"/>
      <c r="I223" s="70">
        <f t="shared" si="24"/>
        <v>0</v>
      </c>
      <c r="J223" s="70">
        <f t="shared" si="25"/>
        <v>0</v>
      </c>
      <c r="K223" s="70">
        <f t="shared" si="26"/>
        <v>0</v>
      </c>
      <c r="L223" s="80"/>
      <c r="M223" s="70">
        <f t="shared" si="27"/>
        <v>0</v>
      </c>
      <c r="N223" s="70">
        <f t="shared" si="28"/>
        <v>0</v>
      </c>
      <c r="O223" s="70">
        <f t="shared" si="29"/>
        <v>0</v>
      </c>
      <c r="P223" s="44"/>
      <c r="Q223" s="44"/>
      <c r="R223" s="80"/>
      <c r="S223" s="44"/>
      <c r="T223" s="44"/>
      <c r="U223" s="44"/>
      <c r="V223" s="44"/>
      <c r="W223" s="44"/>
      <c r="X223" s="44"/>
    </row>
    <row r="224" spans="1:24" ht="15.75" customHeight="1" x14ac:dyDescent="0.3">
      <c r="A224" s="69">
        <f>'Sessional + End Term Assessment'!A225</f>
        <v>218</v>
      </c>
      <c r="B224" s="81">
        <f>'Sessional + End Term Assessment'!B225</f>
        <v>0</v>
      </c>
      <c r="C224" s="81">
        <f>'Sessional + End Term Assessment'!C225</f>
        <v>0</v>
      </c>
      <c r="D224" s="80"/>
      <c r="E224" s="70">
        <f t="shared" si="21"/>
        <v>0</v>
      </c>
      <c r="F224" s="70">
        <f t="shared" si="22"/>
        <v>0</v>
      </c>
      <c r="G224" s="70">
        <f t="shared" si="23"/>
        <v>0</v>
      </c>
      <c r="H224" s="80"/>
      <c r="I224" s="70">
        <f t="shared" si="24"/>
        <v>0</v>
      </c>
      <c r="J224" s="70">
        <f t="shared" si="25"/>
        <v>0</v>
      </c>
      <c r="K224" s="70">
        <f t="shared" si="26"/>
        <v>0</v>
      </c>
      <c r="L224" s="80"/>
      <c r="M224" s="70">
        <f t="shared" si="27"/>
        <v>0</v>
      </c>
      <c r="N224" s="70">
        <f t="shared" si="28"/>
        <v>0</v>
      </c>
      <c r="O224" s="70">
        <f t="shared" si="29"/>
        <v>0</v>
      </c>
      <c r="P224" s="44"/>
      <c r="Q224" s="44"/>
      <c r="R224" s="80"/>
      <c r="S224" s="44"/>
      <c r="T224" s="44"/>
      <c r="U224" s="44"/>
      <c r="V224" s="44"/>
      <c r="W224" s="44"/>
      <c r="X224" s="44"/>
    </row>
    <row r="225" spans="1:24" ht="15.75" customHeight="1" x14ac:dyDescent="0.3">
      <c r="A225" s="69">
        <f>'Sessional + End Term Assessment'!A226</f>
        <v>219</v>
      </c>
      <c r="B225" s="81">
        <f>'Sessional + End Term Assessment'!B226</f>
        <v>0</v>
      </c>
      <c r="C225" s="81">
        <f>'Sessional + End Term Assessment'!C226</f>
        <v>0</v>
      </c>
      <c r="D225" s="80"/>
      <c r="E225" s="70">
        <f t="shared" si="21"/>
        <v>0</v>
      </c>
      <c r="F225" s="70">
        <f t="shared" si="22"/>
        <v>0</v>
      </c>
      <c r="G225" s="70">
        <f t="shared" si="23"/>
        <v>0</v>
      </c>
      <c r="H225" s="80"/>
      <c r="I225" s="70">
        <f t="shared" si="24"/>
        <v>0</v>
      </c>
      <c r="J225" s="70">
        <f t="shared" si="25"/>
        <v>0</v>
      </c>
      <c r="K225" s="70">
        <f t="shared" si="26"/>
        <v>0</v>
      </c>
      <c r="L225" s="80"/>
      <c r="M225" s="70">
        <f t="shared" si="27"/>
        <v>0</v>
      </c>
      <c r="N225" s="70">
        <f t="shared" si="28"/>
        <v>0</v>
      </c>
      <c r="O225" s="70">
        <f t="shared" si="29"/>
        <v>0</v>
      </c>
      <c r="P225" s="44"/>
      <c r="Q225" s="44"/>
      <c r="R225" s="80"/>
      <c r="S225" s="44"/>
      <c r="T225" s="44"/>
      <c r="U225" s="44"/>
      <c r="V225" s="44"/>
      <c r="W225" s="44"/>
      <c r="X225" s="44"/>
    </row>
    <row r="226" spans="1:24" ht="15.75" customHeight="1" x14ac:dyDescent="0.3">
      <c r="A226" s="69">
        <f>'Sessional + End Term Assessment'!A227</f>
        <v>220</v>
      </c>
      <c r="B226" s="81">
        <f>'Sessional + End Term Assessment'!B227</f>
        <v>0</v>
      </c>
      <c r="C226" s="81">
        <f>'Sessional + End Term Assessment'!C227</f>
        <v>0</v>
      </c>
      <c r="D226" s="80"/>
      <c r="E226" s="70">
        <f t="shared" si="21"/>
        <v>0</v>
      </c>
      <c r="F226" s="70">
        <f t="shared" si="22"/>
        <v>0</v>
      </c>
      <c r="G226" s="70">
        <f t="shared" si="23"/>
        <v>0</v>
      </c>
      <c r="H226" s="80"/>
      <c r="I226" s="70">
        <f t="shared" si="24"/>
        <v>0</v>
      </c>
      <c r="J226" s="70">
        <f t="shared" si="25"/>
        <v>0</v>
      </c>
      <c r="K226" s="70">
        <f t="shared" si="26"/>
        <v>0</v>
      </c>
      <c r="L226" s="80"/>
      <c r="M226" s="70">
        <f t="shared" si="27"/>
        <v>0</v>
      </c>
      <c r="N226" s="70">
        <f t="shared" si="28"/>
        <v>0</v>
      </c>
      <c r="O226" s="70">
        <f t="shared" si="29"/>
        <v>0</v>
      </c>
      <c r="P226" s="44"/>
      <c r="Q226" s="44"/>
      <c r="R226" s="80"/>
      <c r="S226" s="44"/>
      <c r="T226" s="44"/>
      <c r="U226" s="44"/>
      <c r="V226" s="44"/>
      <c r="W226" s="44"/>
      <c r="X226" s="44"/>
    </row>
    <row r="227" spans="1:24" ht="15.75" customHeight="1" x14ac:dyDescent="0.3">
      <c r="A227" s="69">
        <f>'Sessional + End Term Assessment'!A228</f>
        <v>221</v>
      </c>
      <c r="B227" s="81">
        <f>'Sessional + End Term Assessment'!B228</f>
        <v>0</v>
      </c>
      <c r="C227" s="81">
        <f>'Sessional + End Term Assessment'!C228</f>
        <v>0</v>
      </c>
      <c r="D227" s="80"/>
      <c r="E227" s="70">
        <f t="shared" si="21"/>
        <v>0</v>
      </c>
      <c r="F227" s="70">
        <f t="shared" si="22"/>
        <v>0</v>
      </c>
      <c r="G227" s="70">
        <f t="shared" si="23"/>
        <v>0</v>
      </c>
      <c r="H227" s="80"/>
      <c r="I227" s="70">
        <f t="shared" si="24"/>
        <v>0</v>
      </c>
      <c r="J227" s="70">
        <f t="shared" si="25"/>
        <v>0</v>
      </c>
      <c r="K227" s="70">
        <f t="shared" si="26"/>
        <v>0</v>
      </c>
      <c r="L227" s="80"/>
      <c r="M227" s="70">
        <f t="shared" si="27"/>
        <v>0</v>
      </c>
      <c r="N227" s="70">
        <f t="shared" si="28"/>
        <v>0</v>
      </c>
      <c r="O227" s="70">
        <f t="shared" si="29"/>
        <v>0</v>
      </c>
      <c r="P227" s="44"/>
      <c r="Q227" s="44"/>
      <c r="R227" s="80"/>
      <c r="S227" s="44"/>
      <c r="T227" s="44"/>
      <c r="U227" s="44"/>
      <c r="V227" s="44"/>
      <c r="W227" s="44"/>
      <c r="X227" s="44"/>
    </row>
    <row r="228" spans="1:24" ht="15.75" customHeight="1" x14ac:dyDescent="0.3">
      <c r="A228" s="69">
        <f>'Sessional + End Term Assessment'!A229</f>
        <v>222</v>
      </c>
      <c r="B228" s="81">
        <f>'Sessional + End Term Assessment'!B229</f>
        <v>0</v>
      </c>
      <c r="C228" s="81">
        <f>'Sessional + End Term Assessment'!C229</f>
        <v>0</v>
      </c>
      <c r="D228" s="80"/>
      <c r="E228" s="70">
        <f t="shared" si="21"/>
        <v>0</v>
      </c>
      <c r="F228" s="70">
        <f t="shared" si="22"/>
        <v>0</v>
      </c>
      <c r="G228" s="70">
        <f t="shared" si="23"/>
        <v>0</v>
      </c>
      <c r="H228" s="80"/>
      <c r="I228" s="70">
        <f t="shared" si="24"/>
        <v>0</v>
      </c>
      <c r="J228" s="70">
        <f t="shared" si="25"/>
        <v>0</v>
      </c>
      <c r="K228" s="70">
        <f t="shared" si="26"/>
        <v>0</v>
      </c>
      <c r="L228" s="80"/>
      <c r="M228" s="70">
        <f t="shared" si="27"/>
        <v>0</v>
      </c>
      <c r="N228" s="70">
        <f t="shared" si="28"/>
        <v>0</v>
      </c>
      <c r="O228" s="70">
        <f t="shared" si="29"/>
        <v>0</v>
      </c>
      <c r="P228" s="44"/>
      <c r="Q228" s="44"/>
      <c r="R228" s="80"/>
      <c r="S228" s="44"/>
      <c r="T228" s="44"/>
      <c r="U228" s="44"/>
      <c r="V228" s="44"/>
      <c r="W228" s="44"/>
      <c r="X228" s="44"/>
    </row>
    <row r="229" spans="1:24" ht="15.75" customHeight="1" x14ac:dyDescent="0.3">
      <c r="A229" s="69">
        <f>'Sessional + End Term Assessment'!A230</f>
        <v>223</v>
      </c>
      <c r="B229" s="81">
        <f>'Sessional + End Term Assessment'!B230</f>
        <v>0</v>
      </c>
      <c r="C229" s="81">
        <f>'Sessional + End Term Assessment'!C230</f>
        <v>0</v>
      </c>
      <c r="D229" s="80"/>
      <c r="E229" s="70">
        <f t="shared" si="21"/>
        <v>0</v>
      </c>
      <c r="F229" s="70">
        <f t="shared" si="22"/>
        <v>0</v>
      </c>
      <c r="G229" s="70">
        <f t="shared" si="23"/>
        <v>0</v>
      </c>
      <c r="H229" s="80"/>
      <c r="I229" s="70">
        <f t="shared" si="24"/>
        <v>0</v>
      </c>
      <c r="J229" s="70">
        <f t="shared" si="25"/>
        <v>0</v>
      </c>
      <c r="K229" s="70">
        <f t="shared" si="26"/>
        <v>0</v>
      </c>
      <c r="L229" s="80"/>
      <c r="M229" s="70">
        <f t="shared" si="27"/>
        <v>0</v>
      </c>
      <c r="N229" s="70">
        <f t="shared" si="28"/>
        <v>0</v>
      </c>
      <c r="O229" s="70">
        <f t="shared" si="29"/>
        <v>0</v>
      </c>
      <c r="P229" s="44"/>
      <c r="Q229" s="44"/>
      <c r="R229" s="80"/>
      <c r="S229" s="44"/>
      <c r="T229" s="44"/>
      <c r="U229" s="44"/>
      <c r="V229" s="44"/>
      <c r="W229" s="44"/>
      <c r="X229" s="44"/>
    </row>
    <row r="230" spans="1:24" ht="15.75" customHeight="1" x14ac:dyDescent="0.3">
      <c r="A230" s="69">
        <f>'Sessional + End Term Assessment'!A231</f>
        <v>224</v>
      </c>
      <c r="B230" s="81">
        <f>'Sessional + End Term Assessment'!B231</f>
        <v>0</v>
      </c>
      <c r="C230" s="81">
        <f>'Sessional + End Term Assessment'!C231</f>
        <v>0</v>
      </c>
      <c r="D230" s="80"/>
      <c r="E230" s="70">
        <f t="shared" si="21"/>
        <v>0</v>
      </c>
      <c r="F230" s="70">
        <f t="shared" si="22"/>
        <v>0</v>
      </c>
      <c r="G230" s="70">
        <f t="shared" si="23"/>
        <v>0</v>
      </c>
      <c r="H230" s="80"/>
      <c r="I230" s="70">
        <f t="shared" si="24"/>
        <v>0</v>
      </c>
      <c r="J230" s="70">
        <f t="shared" si="25"/>
        <v>0</v>
      </c>
      <c r="K230" s="70">
        <f t="shared" si="26"/>
        <v>0</v>
      </c>
      <c r="L230" s="80"/>
      <c r="M230" s="70">
        <f t="shared" si="27"/>
        <v>0</v>
      </c>
      <c r="N230" s="70">
        <f t="shared" si="28"/>
        <v>0</v>
      </c>
      <c r="O230" s="70">
        <f t="shared" si="29"/>
        <v>0</v>
      </c>
      <c r="P230" s="44"/>
      <c r="Q230" s="44"/>
      <c r="R230" s="80"/>
      <c r="S230" s="44"/>
      <c r="T230" s="44"/>
      <c r="U230" s="44"/>
      <c r="V230" s="44"/>
      <c r="W230" s="44"/>
      <c r="X230" s="44"/>
    </row>
    <row r="231" spans="1:24" ht="15.75" customHeight="1" x14ac:dyDescent="0.3">
      <c r="A231" s="69">
        <f>'Sessional + End Term Assessment'!A232</f>
        <v>225</v>
      </c>
      <c r="B231" s="81">
        <f>'Sessional + End Term Assessment'!B232</f>
        <v>0</v>
      </c>
      <c r="C231" s="81">
        <f>'Sessional + End Term Assessment'!C232</f>
        <v>0</v>
      </c>
      <c r="D231" s="80"/>
      <c r="E231" s="70">
        <f t="shared" si="21"/>
        <v>0</v>
      </c>
      <c r="F231" s="70">
        <f t="shared" si="22"/>
        <v>0</v>
      </c>
      <c r="G231" s="70">
        <f t="shared" si="23"/>
        <v>0</v>
      </c>
      <c r="H231" s="80"/>
      <c r="I231" s="70">
        <f t="shared" si="24"/>
        <v>0</v>
      </c>
      <c r="J231" s="70">
        <f t="shared" si="25"/>
        <v>0</v>
      </c>
      <c r="K231" s="70">
        <f t="shared" si="26"/>
        <v>0</v>
      </c>
      <c r="L231" s="80"/>
      <c r="M231" s="70">
        <f t="shared" si="27"/>
        <v>0</v>
      </c>
      <c r="N231" s="70">
        <f t="shared" si="28"/>
        <v>0</v>
      </c>
      <c r="O231" s="70">
        <f t="shared" si="29"/>
        <v>0</v>
      </c>
      <c r="P231" s="44"/>
      <c r="Q231" s="44"/>
      <c r="R231" s="80"/>
      <c r="S231" s="44"/>
      <c r="T231" s="44"/>
      <c r="U231" s="44"/>
      <c r="V231" s="44"/>
      <c r="W231" s="44"/>
      <c r="X231" s="44"/>
    </row>
    <row r="232" spans="1:24" ht="15.75" customHeight="1" x14ac:dyDescent="0.3">
      <c r="A232" s="69">
        <f>'Sessional + End Term Assessment'!A233</f>
        <v>226</v>
      </c>
      <c r="B232" s="81">
        <f>'Sessional + End Term Assessment'!B233</f>
        <v>0</v>
      </c>
      <c r="C232" s="81">
        <f>'Sessional + End Term Assessment'!C233</f>
        <v>0</v>
      </c>
      <c r="D232" s="80"/>
      <c r="E232" s="70">
        <f t="shared" si="21"/>
        <v>0</v>
      </c>
      <c r="F232" s="70">
        <f t="shared" si="22"/>
        <v>0</v>
      </c>
      <c r="G232" s="70">
        <f t="shared" si="23"/>
        <v>0</v>
      </c>
      <c r="H232" s="80"/>
      <c r="I232" s="70">
        <f t="shared" si="24"/>
        <v>0</v>
      </c>
      <c r="J232" s="70">
        <f t="shared" si="25"/>
        <v>0</v>
      </c>
      <c r="K232" s="70">
        <f t="shared" si="26"/>
        <v>0</v>
      </c>
      <c r="L232" s="80"/>
      <c r="M232" s="70">
        <f t="shared" si="27"/>
        <v>0</v>
      </c>
      <c r="N232" s="70">
        <f t="shared" si="28"/>
        <v>0</v>
      </c>
      <c r="O232" s="70">
        <f t="shared" si="29"/>
        <v>0</v>
      </c>
      <c r="P232" s="44"/>
      <c r="Q232" s="44"/>
      <c r="R232" s="80"/>
      <c r="S232" s="44"/>
      <c r="T232" s="44"/>
      <c r="U232" s="44"/>
      <c r="V232" s="44"/>
      <c r="W232" s="44"/>
      <c r="X232" s="44"/>
    </row>
    <row r="233" spans="1:24" ht="15.75" customHeight="1" x14ac:dyDescent="0.3">
      <c r="A233" s="69">
        <f>'Sessional + End Term Assessment'!A234</f>
        <v>227</v>
      </c>
      <c r="B233" s="81">
        <f>'Sessional + End Term Assessment'!B234</f>
        <v>0</v>
      </c>
      <c r="C233" s="81">
        <f>'Sessional + End Term Assessment'!C234</f>
        <v>0</v>
      </c>
      <c r="D233" s="80"/>
      <c r="E233" s="70">
        <f t="shared" si="21"/>
        <v>0</v>
      </c>
      <c r="F233" s="70">
        <f t="shared" si="22"/>
        <v>0</v>
      </c>
      <c r="G233" s="70">
        <f t="shared" si="23"/>
        <v>0</v>
      </c>
      <c r="H233" s="80"/>
      <c r="I233" s="70">
        <f t="shared" si="24"/>
        <v>0</v>
      </c>
      <c r="J233" s="70">
        <f t="shared" si="25"/>
        <v>0</v>
      </c>
      <c r="K233" s="70">
        <f t="shared" si="26"/>
        <v>0</v>
      </c>
      <c r="L233" s="80"/>
      <c r="M233" s="70">
        <f t="shared" si="27"/>
        <v>0</v>
      </c>
      <c r="N233" s="70">
        <f t="shared" si="28"/>
        <v>0</v>
      </c>
      <c r="O233" s="70">
        <f t="shared" si="29"/>
        <v>0</v>
      </c>
      <c r="P233" s="44"/>
      <c r="Q233" s="44"/>
      <c r="R233" s="80"/>
      <c r="S233" s="44"/>
      <c r="T233" s="44"/>
      <c r="U233" s="44"/>
      <c r="V233" s="44"/>
      <c r="W233" s="44"/>
      <c r="X233" s="44"/>
    </row>
    <row r="234" spans="1:24" ht="15.75" customHeight="1" x14ac:dyDescent="0.3">
      <c r="A234" s="69">
        <f>'Sessional + End Term Assessment'!A235</f>
        <v>228</v>
      </c>
      <c r="B234" s="81">
        <f>'Sessional + End Term Assessment'!B235</f>
        <v>0</v>
      </c>
      <c r="C234" s="81">
        <f>'Sessional + End Term Assessment'!C235</f>
        <v>0</v>
      </c>
      <c r="D234" s="80"/>
      <c r="E234" s="70">
        <f t="shared" si="21"/>
        <v>0</v>
      </c>
      <c r="F234" s="70">
        <f t="shared" si="22"/>
        <v>0</v>
      </c>
      <c r="G234" s="70">
        <f t="shared" si="23"/>
        <v>0</v>
      </c>
      <c r="H234" s="80"/>
      <c r="I234" s="70">
        <f t="shared" si="24"/>
        <v>0</v>
      </c>
      <c r="J234" s="70">
        <f t="shared" si="25"/>
        <v>0</v>
      </c>
      <c r="K234" s="70">
        <f t="shared" si="26"/>
        <v>0</v>
      </c>
      <c r="L234" s="80"/>
      <c r="M234" s="70">
        <f t="shared" si="27"/>
        <v>0</v>
      </c>
      <c r="N234" s="70">
        <f t="shared" si="28"/>
        <v>0</v>
      </c>
      <c r="O234" s="70">
        <f t="shared" si="29"/>
        <v>0</v>
      </c>
      <c r="P234" s="44"/>
      <c r="Q234" s="44"/>
      <c r="R234" s="80"/>
      <c r="S234" s="44"/>
      <c r="T234" s="44"/>
      <c r="U234" s="44"/>
      <c r="V234" s="44"/>
      <c r="W234" s="44"/>
      <c r="X234" s="44"/>
    </row>
    <row r="235" spans="1:24" ht="15.75" customHeight="1" x14ac:dyDescent="0.3">
      <c r="A235" s="69">
        <f>'Sessional + End Term Assessment'!A236</f>
        <v>229</v>
      </c>
      <c r="B235" s="81">
        <f>'Sessional + End Term Assessment'!B236</f>
        <v>0</v>
      </c>
      <c r="C235" s="81">
        <f>'Sessional + End Term Assessment'!C236</f>
        <v>0</v>
      </c>
      <c r="D235" s="80"/>
      <c r="E235" s="70">
        <f t="shared" si="21"/>
        <v>0</v>
      </c>
      <c r="F235" s="70">
        <f t="shared" si="22"/>
        <v>0</v>
      </c>
      <c r="G235" s="70">
        <f t="shared" si="23"/>
        <v>0</v>
      </c>
      <c r="H235" s="80"/>
      <c r="I235" s="70">
        <f t="shared" si="24"/>
        <v>0</v>
      </c>
      <c r="J235" s="70">
        <f t="shared" si="25"/>
        <v>0</v>
      </c>
      <c r="K235" s="70">
        <f t="shared" si="26"/>
        <v>0</v>
      </c>
      <c r="L235" s="80"/>
      <c r="M235" s="70">
        <f t="shared" si="27"/>
        <v>0</v>
      </c>
      <c r="N235" s="70">
        <f t="shared" si="28"/>
        <v>0</v>
      </c>
      <c r="O235" s="70">
        <f t="shared" si="29"/>
        <v>0</v>
      </c>
      <c r="P235" s="44"/>
      <c r="Q235" s="44"/>
      <c r="R235" s="80"/>
      <c r="S235" s="44"/>
      <c r="T235" s="44"/>
      <c r="U235" s="44"/>
      <c r="V235" s="44"/>
      <c r="W235" s="44"/>
      <c r="X235" s="44"/>
    </row>
    <row r="236" spans="1:24" ht="15.75" customHeight="1" x14ac:dyDescent="0.3">
      <c r="A236" s="69">
        <f>'Sessional + End Term Assessment'!A237</f>
        <v>230</v>
      </c>
      <c r="B236" s="81">
        <f>'Sessional + End Term Assessment'!B237</f>
        <v>0</v>
      </c>
      <c r="C236" s="81">
        <f>'Sessional + End Term Assessment'!C237</f>
        <v>0</v>
      </c>
      <c r="D236" s="80"/>
      <c r="E236" s="70">
        <f t="shared" si="21"/>
        <v>0</v>
      </c>
      <c r="F236" s="70">
        <f t="shared" si="22"/>
        <v>0</v>
      </c>
      <c r="G236" s="70">
        <f t="shared" si="23"/>
        <v>0</v>
      </c>
      <c r="H236" s="80"/>
      <c r="I236" s="70">
        <f t="shared" si="24"/>
        <v>0</v>
      </c>
      <c r="J236" s="70">
        <f t="shared" si="25"/>
        <v>0</v>
      </c>
      <c r="K236" s="70">
        <f t="shared" si="26"/>
        <v>0</v>
      </c>
      <c r="L236" s="80"/>
      <c r="M236" s="70">
        <f t="shared" si="27"/>
        <v>0</v>
      </c>
      <c r="N236" s="70">
        <f t="shared" si="28"/>
        <v>0</v>
      </c>
      <c r="O236" s="70">
        <f t="shared" si="29"/>
        <v>0</v>
      </c>
      <c r="P236" s="44"/>
      <c r="Q236" s="44"/>
      <c r="R236" s="80"/>
      <c r="S236" s="44"/>
      <c r="T236" s="44"/>
      <c r="U236" s="44"/>
      <c r="V236" s="44"/>
      <c r="W236" s="44"/>
      <c r="X236" s="44"/>
    </row>
    <row r="237" spans="1:24" ht="15.75" customHeight="1" x14ac:dyDescent="0.3">
      <c r="A237" s="69">
        <f>'Sessional + End Term Assessment'!A238</f>
        <v>231</v>
      </c>
      <c r="B237" s="81">
        <f>'Sessional + End Term Assessment'!B238</f>
        <v>0</v>
      </c>
      <c r="C237" s="81">
        <f>'Sessional + End Term Assessment'!C238</f>
        <v>0</v>
      </c>
      <c r="D237" s="80"/>
      <c r="E237" s="70">
        <f t="shared" si="21"/>
        <v>0</v>
      </c>
      <c r="F237" s="70">
        <f t="shared" si="22"/>
        <v>0</v>
      </c>
      <c r="G237" s="70">
        <f t="shared" si="23"/>
        <v>0</v>
      </c>
      <c r="H237" s="80"/>
      <c r="I237" s="70">
        <f t="shared" si="24"/>
        <v>0</v>
      </c>
      <c r="J237" s="70">
        <f t="shared" si="25"/>
        <v>0</v>
      </c>
      <c r="K237" s="70">
        <f t="shared" si="26"/>
        <v>0</v>
      </c>
      <c r="L237" s="80"/>
      <c r="M237" s="70">
        <f t="shared" si="27"/>
        <v>0</v>
      </c>
      <c r="N237" s="70">
        <f t="shared" si="28"/>
        <v>0</v>
      </c>
      <c r="O237" s="70">
        <f t="shared" si="29"/>
        <v>0</v>
      </c>
      <c r="P237" s="44"/>
      <c r="Q237" s="44"/>
      <c r="R237" s="80"/>
      <c r="S237" s="44"/>
      <c r="T237" s="44"/>
      <c r="U237" s="44"/>
      <c r="V237" s="44"/>
      <c r="W237" s="44"/>
      <c r="X237" s="44"/>
    </row>
    <row r="238" spans="1:24" ht="15.75" customHeight="1" x14ac:dyDescent="0.3">
      <c r="A238" s="69">
        <f>'Sessional + End Term Assessment'!A239</f>
        <v>232</v>
      </c>
      <c r="B238" s="81">
        <f>'Sessional + End Term Assessment'!B239</f>
        <v>0</v>
      </c>
      <c r="C238" s="81">
        <f>'Sessional + End Term Assessment'!C239</f>
        <v>0</v>
      </c>
      <c r="D238" s="80"/>
      <c r="E238" s="70">
        <f t="shared" si="21"/>
        <v>0</v>
      </c>
      <c r="F238" s="70">
        <f t="shared" si="22"/>
        <v>0</v>
      </c>
      <c r="G238" s="70">
        <f t="shared" si="23"/>
        <v>0</v>
      </c>
      <c r="H238" s="80"/>
      <c r="I238" s="70">
        <f t="shared" si="24"/>
        <v>0</v>
      </c>
      <c r="J238" s="70">
        <f t="shared" si="25"/>
        <v>0</v>
      </c>
      <c r="K238" s="70">
        <f t="shared" si="26"/>
        <v>0</v>
      </c>
      <c r="L238" s="80"/>
      <c r="M238" s="70">
        <f t="shared" si="27"/>
        <v>0</v>
      </c>
      <c r="N238" s="70">
        <f t="shared" si="28"/>
        <v>0</v>
      </c>
      <c r="O238" s="70">
        <f t="shared" si="29"/>
        <v>0</v>
      </c>
      <c r="P238" s="44"/>
      <c r="Q238" s="44"/>
      <c r="R238" s="80"/>
      <c r="S238" s="44"/>
      <c r="T238" s="44"/>
      <c r="U238" s="44"/>
      <c r="V238" s="44"/>
      <c r="W238" s="44"/>
      <c r="X238" s="44"/>
    </row>
    <row r="239" spans="1:24" ht="15.75" customHeight="1" x14ac:dyDescent="0.3">
      <c r="A239" s="69">
        <f>'Sessional + End Term Assessment'!A240</f>
        <v>233</v>
      </c>
      <c r="B239" s="81">
        <f>'Sessional + End Term Assessment'!B240</f>
        <v>0</v>
      </c>
      <c r="C239" s="81">
        <f>'Sessional + End Term Assessment'!C240</f>
        <v>0</v>
      </c>
      <c r="D239" s="80"/>
      <c r="E239" s="70">
        <f t="shared" si="21"/>
        <v>0</v>
      </c>
      <c r="F239" s="70">
        <f t="shared" si="22"/>
        <v>0</v>
      </c>
      <c r="G239" s="70">
        <f t="shared" si="23"/>
        <v>0</v>
      </c>
      <c r="H239" s="80"/>
      <c r="I239" s="70">
        <f t="shared" si="24"/>
        <v>0</v>
      </c>
      <c r="J239" s="70">
        <f t="shared" si="25"/>
        <v>0</v>
      </c>
      <c r="K239" s="70">
        <f t="shared" si="26"/>
        <v>0</v>
      </c>
      <c r="L239" s="80"/>
      <c r="M239" s="70">
        <f t="shared" si="27"/>
        <v>0</v>
      </c>
      <c r="N239" s="70">
        <f t="shared" si="28"/>
        <v>0</v>
      </c>
      <c r="O239" s="70">
        <f t="shared" si="29"/>
        <v>0</v>
      </c>
      <c r="P239" s="44"/>
      <c r="Q239" s="44"/>
      <c r="R239" s="80"/>
      <c r="S239" s="44"/>
      <c r="T239" s="44"/>
      <c r="U239" s="44"/>
      <c r="V239" s="44"/>
      <c r="W239" s="44"/>
      <c r="X239" s="44"/>
    </row>
    <row r="240" spans="1:24" ht="15.75" customHeight="1" x14ac:dyDescent="0.3">
      <c r="A240" s="69">
        <f>'Sessional + End Term Assessment'!A241</f>
        <v>234</v>
      </c>
      <c r="B240" s="81">
        <f>'Sessional + End Term Assessment'!B241</f>
        <v>0</v>
      </c>
      <c r="C240" s="81">
        <f>'Sessional + End Term Assessment'!C241</f>
        <v>0</v>
      </c>
      <c r="D240" s="80"/>
      <c r="E240" s="70">
        <f t="shared" si="21"/>
        <v>0</v>
      </c>
      <c r="F240" s="70">
        <f t="shared" si="22"/>
        <v>0</v>
      </c>
      <c r="G240" s="70">
        <f t="shared" si="23"/>
        <v>0</v>
      </c>
      <c r="H240" s="80"/>
      <c r="I240" s="70">
        <f t="shared" si="24"/>
        <v>0</v>
      </c>
      <c r="J240" s="70">
        <f t="shared" si="25"/>
        <v>0</v>
      </c>
      <c r="K240" s="70">
        <f t="shared" si="26"/>
        <v>0</v>
      </c>
      <c r="L240" s="80"/>
      <c r="M240" s="70">
        <f t="shared" si="27"/>
        <v>0</v>
      </c>
      <c r="N240" s="70">
        <f t="shared" si="28"/>
        <v>0</v>
      </c>
      <c r="O240" s="70">
        <f t="shared" si="29"/>
        <v>0</v>
      </c>
      <c r="P240" s="44"/>
      <c r="Q240" s="44"/>
      <c r="R240" s="80"/>
      <c r="S240" s="44"/>
      <c r="T240" s="44"/>
      <c r="U240" s="44"/>
      <c r="V240" s="44"/>
      <c r="W240" s="44"/>
      <c r="X240" s="44"/>
    </row>
    <row r="241" spans="1:24" ht="15.75" customHeight="1" x14ac:dyDescent="0.3">
      <c r="A241" s="69">
        <f>'Sessional + End Term Assessment'!A242</f>
        <v>235</v>
      </c>
      <c r="B241" s="81">
        <f>'Sessional + End Term Assessment'!B242</f>
        <v>0</v>
      </c>
      <c r="C241" s="81">
        <f>'Sessional + End Term Assessment'!C242</f>
        <v>0</v>
      </c>
      <c r="D241" s="80"/>
      <c r="E241" s="70">
        <f t="shared" si="21"/>
        <v>0</v>
      </c>
      <c r="F241" s="70">
        <f t="shared" si="22"/>
        <v>0</v>
      </c>
      <c r="G241" s="70">
        <f t="shared" si="23"/>
        <v>0</v>
      </c>
      <c r="H241" s="80"/>
      <c r="I241" s="70">
        <f t="shared" si="24"/>
        <v>0</v>
      </c>
      <c r="J241" s="70">
        <f t="shared" si="25"/>
        <v>0</v>
      </c>
      <c r="K241" s="70">
        <f t="shared" si="26"/>
        <v>0</v>
      </c>
      <c r="L241" s="80"/>
      <c r="M241" s="70">
        <f t="shared" si="27"/>
        <v>0</v>
      </c>
      <c r="N241" s="70">
        <f t="shared" si="28"/>
        <v>0</v>
      </c>
      <c r="O241" s="70">
        <f t="shared" si="29"/>
        <v>0</v>
      </c>
      <c r="P241" s="44"/>
      <c r="Q241" s="44"/>
      <c r="R241" s="80"/>
      <c r="S241" s="44"/>
      <c r="T241" s="44"/>
      <c r="U241" s="44"/>
      <c r="V241" s="44"/>
      <c r="W241" s="44"/>
      <c r="X241" s="44"/>
    </row>
    <row r="242" spans="1:24" ht="15.75" customHeight="1" x14ac:dyDescent="0.3">
      <c r="A242" s="69">
        <f>'Sessional + End Term Assessment'!A243</f>
        <v>236</v>
      </c>
      <c r="B242" s="81">
        <f>'Sessional + End Term Assessment'!B243</f>
        <v>0</v>
      </c>
      <c r="C242" s="81">
        <f>'Sessional + End Term Assessment'!C243</f>
        <v>0</v>
      </c>
      <c r="D242" s="80"/>
      <c r="E242" s="70">
        <f t="shared" si="21"/>
        <v>0</v>
      </c>
      <c r="F242" s="70">
        <f t="shared" si="22"/>
        <v>0</v>
      </c>
      <c r="G242" s="70">
        <f t="shared" si="23"/>
        <v>0</v>
      </c>
      <c r="H242" s="80"/>
      <c r="I242" s="70">
        <f t="shared" si="24"/>
        <v>0</v>
      </c>
      <c r="J242" s="70">
        <f t="shared" si="25"/>
        <v>0</v>
      </c>
      <c r="K242" s="70">
        <f t="shared" si="26"/>
        <v>0</v>
      </c>
      <c r="L242" s="80"/>
      <c r="M242" s="70">
        <f t="shared" si="27"/>
        <v>0</v>
      </c>
      <c r="N242" s="70">
        <f t="shared" si="28"/>
        <v>0</v>
      </c>
      <c r="O242" s="70">
        <f t="shared" si="29"/>
        <v>0</v>
      </c>
      <c r="P242" s="44"/>
      <c r="Q242" s="44"/>
      <c r="R242" s="80"/>
      <c r="S242" s="44"/>
      <c r="T242" s="44"/>
      <c r="U242" s="44"/>
      <c r="V242" s="44"/>
      <c r="W242" s="44"/>
      <c r="X242" s="44"/>
    </row>
    <row r="243" spans="1:24" ht="15.75" customHeight="1" x14ac:dyDescent="0.3">
      <c r="A243" s="69">
        <f>'Sessional + End Term Assessment'!A244</f>
        <v>237</v>
      </c>
      <c r="B243" s="81">
        <f>'Sessional + End Term Assessment'!B244</f>
        <v>0</v>
      </c>
      <c r="C243" s="81">
        <f>'Sessional + End Term Assessment'!C244</f>
        <v>0</v>
      </c>
      <c r="D243" s="80"/>
      <c r="E243" s="70">
        <f t="shared" si="21"/>
        <v>0</v>
      </c>
      <c r="F243" s="70">
        <f t="shared" si="22"/>
        <v>0</v>
      </c>
      <c r="G243" s="70">
        <f t="shared" si="23"/>
        <v>0</v>
      </c>
      <c r="H243" s="80"/>
      <c r="I243" s="70">
        <f t="shared" si="24"/>
        <v>0</v>
      </c>
      <c r="J243" s="70">
        <f t="shared" si="25"/>
        <v>0</v>
      </c>
      <c r="K243" s="70">
        <f t="shared" si="26"/>
        <v>0</v>
      </c>
      <c r="L243" s="80"/>
      <c r="M243" s="70">
        <f t="shared" si="27"/>
        <v>0</v>
      </c>
      <c r="N243" s="70">
        <f t="shared" si="28"/>
        <v>0</v>
      </c>
      <c r="O243" s="70">
        <f t="shared" si="29"/>
        <v>0</v>
      </c>
      <c r="P243" s="44"/>
      <c r="Q243" s="44"/>
      <c r="R243" s="80"/>
      <c r="S243" s="44"/>
      <c r="T243" s="44"/>
      <c r="U243" s="44"/>
      <c r="V243" s="44"/>
      <c r="W243" s="44"/>
      <c r="X243" s="44"/>
    </row>
    <row r="244" spans="1:24" ht="15.75" customHeight="1" x14ac:dyDescent="0.3">
      <c r="A244" s="69">
        <f>'Sessional + End Term Assessment'!A245</f>
        <v>238</v>
      </c>
      <c r="B244" s="81">
        <f>'Sessional + End Term Assessment'!B245</f>
        <v>0</v>
      </c>
      <c r="C244" s="81">
        <f>'Sessional + End Term Assessment'!C245</f>
        <v>0</v>
      </c>
      <c r="D244" s="80"/>
      <c r="E244" s="70">
        <f t="shared" si="21"/>
        <v>0</v>
      </c>
      <c r="F244" s="70">
        <f t="shared" si="22"/>
        <v>0</v>
      </c>
      <c r="G244" s="70">
        <f t="shared" si="23"/>
        <v>0</v>
      </c>
      <c r="H244" s="80"/>
      <c r="I244" s="70">
        <f t="shared" si="24"/>
        <v>0</v>
      </c>
      <c r="J244" s="70">
        <f t="shared" si="25"/>
        <v>0</v>
      </c>
      <c r="K244" s="70">
        <f t="shared" si="26"/>
        <v>0</v>
      </c>
      <c r="L244" s="80"/>
      <c r="M244" s="70">
        <f t="shared" si="27"/>
        <v>0</v>
      </c>
      <c r="N244" s="70">
        <f t="shared" si="28"/>
        <v>0</v>
      </c>
      <c r="O244" s="70">
        <f t="shared" si="29"/>
        <v>0</v>
      </c>
      <c r="P244" s="44"/>
      <c r="Q244" s="44"/>
      <c r="R244" s="80"/>
      <c r="S244" s="44"/>
      <c r="T244" s="44"/>
      <c r="U244" s="44"/>
      <c r="V244" s="44"/>
      <c r="W244" s="44"/>
      <c r="X244" s="44"/>
    </row>
    <row r="245" spans="1:24" ht="15.75" customHeight="1" x14ac:dyDescent="0.3">
      <c r="A245" s="69">
        <f>'Sessional + End Term Assessment'!A246</f>
        <v>239</v>
      </c>
      <c r="B245" s="81">
        <f>'Sessional + End Term Assessment'!B246</f>
        <v>0</v>
      </c>
      <c r="C245" s="81">
        <f>'Sessional + End Term Assessment'!C246</f>
        <v>0</v>
      </c>
      <c r="D245" s="80"/>
      <c r="E245" s="70">
        <f t="shared" si="21"/>
        <v>0</v>
      </c>
      <c r="F245" s="70">
        <f t="shared" si="22"/>
        <v>0</v>
      </c>
      <c r="G245" s="70">
        <f t="shared" si="23"/>
        <v>0</v>
      </c>
      <c r="H245" s="80"/>
      <c r="I245" s="70">
        <f t="shared" si="24"/>
        <v>0</v>
      </c>
      <c r="J245" s="70">
        <f t="shared" si="25"/>
        <v>0</v>
      </c>
      <c r="K245" s="70">
        <f t="shared" si="26"/>
        <v>0</v>
      </c>
      <c r="L245" s="80"/>
      <c r="M245" s="70">
        <f t="shared" si="27"/>
        <v>0</v>
      </c>
      <c r="N245" s="70">
        <f t="shared" si="28"/>
        <v>0</v>
      </c>
      <c r="O245" s="70">
        <f t="shared" si="29"/>
        <v>0</v>
      </c>
      <c r="P245" s="44"/>
      <c r="Q245" s="44"/>
      <c r="R245" s="80"/>
      <c r="S245" s="44"/>
      <c r="T245" s="44"/>
      <c r="U245" s="44"/>
      <c r="V245" s="44"/>
      <c r="W245" s="44"/>
      <c r="X245" s="44"/>
    </row>
    <row r="246" spans="1:24" ht="15.75" customHeight="1" x14ac:dyDescent="0.3">
      <c r="A246" s="69">
        <f>'Sessional + End Term Assessment'!A247</f>
        <v>240</v>
      </c>
      <c r="B246" s="81">
        <f>'Sessional + End Term Assessment'!B247</f>
        <v>0</v>
      </c>
      <c r="C246" s="81">
        <f>'Sessional + End Term Assessment'!C247</f>
        <v>0</v>
      </c>
      <c r="D246" s="80"/>
      <c r="E246" s="70">
        <f t="shared" si="21"/>
        <v>0</v>
      </c>
      <c r="F246" s="70">
        <f t="shared" si="22"/>
        <v>0</v>
      </c>
      <c r="G246" s="70">
        <f t="shared" si="23"/>
        <v>0</v>
      </c>
      <c r="H246" s="80"/>
      <c r="I246" s="70">
        <f t="shared" si="24"/>
        <v>0</v>
      </c>
      <c r="J246" s="70">
        <f t="shared" si="25"/>
        <v>0</v>
      </c>
      <c r="K246" s="70">
        <f t="shared" si="26"/>
        <v>0</v>
      </c>
      <c r="L246" s="80"/>
      <c r="M246" s="70">
        <f t="shared" si="27"/>
        <v>0</v>
      </c>
      <c r="N246" s="70">
        <f t="shared" si="28"/>
        <v>0</v>
      </c>
      <c r="O246" s="70">
        <f t="shared" si="29"/>
        <v>0</v>
      </c>
      <c r="P246" s="44"/>
      <c r="Q246" s="44"/>
      <c r="R246" s="80"/>
      <c r="S246" s="44"/>
      <c r="T246" s="44"/>
      <c r="U246" s="44"/>
      <c r="V246" s="44"/>
      <c r="W246" s="44"/>
      <c r="X246" s="44"/>
    </row>
    <row r="247" spans="1:24" ht="15.75" customHeight="1" x14ac:dyDescent="0.3">
      <c r="A247" s="69">
        <f>'Sessional + End Term Assessment'!A248</f>
        <v>241</v>
      </c>
      <c r="B247" s="81">
        <f>'Sessional + End Term Assessment'!B248</f>
        <v>0</v>
      </c>
      <c r="C247" s="81">
        <f>'Sessional + End Term Assessment'!C248</f>
        <v>0</v>
      </c>
      <c r="D247" s="80"/>
      <c r="E247" s="70">
        <f t="shared" si="21"/>
        <v>0</v>
      </c>
      <c r="F247" s="70">
        <f t="shared" si="22"/>
        <v>0</v>
      </c>
      <c r="G247" s="70">
        <f t="shared" si="23"/>
        <v>0</v>
      </c>
      <c r="H247" s="80"/>
      <c r="I247" s="70">
        <f t="shared" si="24"/>
        <v>0</v>
      </c>
      <c r="J247" s="70">
        <f t="shared" si="25"/>
        <v>0</v>
      </c>
      <c r="K247" s="70">
        <f t="shared" si="26"/>
        <v>0</v>
      </c>
      <c r="L247" s="80"/>
      <c r="M247" s="70">
        <f t="shared" si="27"/>
        <v>0</v>
      </c>
      <c r="N247" s="70">
        <f t="shared" si="28"/>
        <v>0</v>
      </c>
      <c r="O247" s="70">
        <f t="shared" si="29"/>
        <v>0</v>
      </c>
      <c r="P247" s="44"/>
      <c r="Q247" s="44"/>
      <c r="R247" s="80"/>
      <c r="S247" s="44"/>
      <c r="T247" s="44"/>
      <c r="U247" s="44"/>
      <c r="V247" s="44"/>
      <c r="W247" s="44"/>
      <c r="X247" s="44"/>
    </row>
    <row r="248" spans="1:24" ht="15.75" customHeight="1" x14ac:dyDescent="0.3">
      <c r="A248" s="69">
        <f>'Sessional + End Term Assessment'!A249</f>
        <v>242</v>
      </c>
      <c r="B248" s="81">
        <f>'Sessional + End Term Assessment'!B249</f>
        <v>0</v>
      </c>
      <c r="C248" s="81">
        <f>'Sessional + End Term Assessment'!C249</f>
        <v>0</v>
      </c>
      <c r="D248" s="80"/>
      <c r="E248" s="70">
        <f t="shared" si="21"/>
        <v>0</v>
      </c>
      <c r="F248" s="70">
        <f t="shared" si="22"/>
        <v>0</v>
      </c>
      <c r="G248" s="70">
        <f t="shared" si="23"/>
        <v>0</v>
      </c>
      <c r="H248" s="80"/>
      <c r="I248" s="70">
        <f t="shared" si="24"/>
        <v>0</v>
      </c>
      <c r="J248" s="70">
        <f t="shared" si="25"/>
        <v>0</v>
      </c>
      <c r="K248" s="70">
        <f t="shared" si="26"/>
        <v>0</v>
      </c>
      <c r="L248" s="80"/>
      <c r="M248" s="70">
        <f t="shared" si="27"/>
        <v>0</v>
      </c>
      <c r="N248" s="70">
        <f t="shared" si="28"/>
        <v>0</v>
      </c>
      <c r="O248" s="70">
        <f t="shared" si="29"/>
        <v>0</v>
      </c>
      <c r="P248" s="44"/>
      <c r="Q248" s="44"/>
      <c r="R248" s="80"/>
      <c r="S248" s="44"/>
      <c r="T248" s="44"/>
      <c r="U248" s="44"/>
      <c r="V248" s="44"/>
      <c r="W248" s="44"/>
      <c r="X248" s="44"/>
    </row>
    <row r="249" spans="1:24" ht="15.75" customHeight="1" x14ac:dyDescent="0.3">
      <c r="A249" s="69">
        <f>'Sessional + End Term Assessment'!A250</f>
        <v>243</v>
      </c>
      <c r="B249" s="81">
        <f>'Sessional + End Term Assessment'!B250</f>
        <v>0</v>
      </c>
      <c r="C249" s="81">
        <f>'Sessional + End Term Assessment'!C250</f>
        <v>0</v>
      </c>
      <c r="D249" s="80"/>
      <c r="E249" s="70">
        <f t="shared" si="21"/>
        <v>0</v>
      </c>
      <c r="F249" s="70">
        <f t="shared" si="22"/>
        <v>0</v>
      </c>
      <c r="G249" s="70">
        <f t="shared" si="23"/>
        <v>0</v>
      </c>
      <c r="H249" s="80"/>
      <c r="I249" s="70">
        <f t="shared" si="24"/>
        <v>0</v>
      </c>
      <c r="J249" s="70">
        <f t="shared" si="25"/>
        <v>0</v>
      </c>
      <c r="K249" s="70">
        <f t="shared" si="26"/>
        <v>0</v>
      </c>
      <c r="L249" s="80"/>
      <c r="M249" s="70">
        <f t="shared" si="27"/>
        <v>0</v>
      </c>
      <c r="N249" s="70">
        <f t="shared" si="28"/>
        <v>0</v>
      </c>
      <c r="O249" s="70">
        <f t="shared" si="29"/>
        <v>0</v>
      </c>
      <c r="P249" s="44"/>
      <c r="Q249" s="44"/>
      <c r="R249" s="80"/>
      <c r="S249" s="44"/>
      <c r="T249" s="44"/>
      <c r="U249" s="44"/>
      <c r="V249" s="44"/>
      <c r="W249" s="44"/>
      <c r="X249" s="44"/>
    </row>
    <row r="250" spans="1:24" ht="15.75" customHeight="1" x14ac:dyDescent="0.3">
      <c r="A250" s="69">
        <f>'Sessional + End Term Assessment'!A251</f>
        <v>244</v>
      </c>
      <c r="B250" s="81">
        <f>'Sessional + End Term Assessment'!B251</f>
        <v>0</v>
      </c>
      <c r="C250" s="81">
        <f>'Sessional + End Term Assessment'!C251</f>
        <v>0</v>
      </c>
      <c r="D250" s="80"/>
      <c r="E250" s="70">
        <f t="shared" si="21"/>
        <v>0</v>
      </c>
      <c r="F250" s="70">
        <f t="shared" si="22"/>
        <v>0</v>
      </c>
      <c r="G250" s="70">
        <f t="shared" si="23"/>
        <v>0</v>
      </c>
      <c r="H250" s="80"/>
      <c r="I250" s="70">
        <f t="shared" si="24"/>
        <v>0</v>
      </c>
      <c r="J250" s="70">
        <f t="shared" si="25"/>
        <v>0</v>
      </c>
      <c r="K250" s="70">
        <f t="shared" si="26"/>
        <v>0</v>
      </c>
      <c r="L250" s="80"/>
      <c r="M250" s="70">
        <f t="shared" si="27"/>
        <v>0</v>
      </c>
      <c r="N250" s="70">
        <f t="shared" si="28"/>
        <v>0</v>
      </c>
      <c r="O250" s="70">
        <f t="shared" si="29"/>
        <v>0</v>
      </c>
      <c r="P250" s="44"/>
      <c r="Q250" s="44"/>
      <c r="R250" s="80"/>
      <c r="S250" s="44"/>
      <c r="T250" s="44"/>
      <c r="U250" s="44"/>
      <c r="V250" s="44"/>
      <c r="W250" s="44"/>
      <c r="X250" s="44"/>
    </row>
    <row r="251" spans="1:24" ht="15.75" customHeight="1" x14ac:dyDescent="0.3">
      <c r="A251" s="69">
        <f>'Sessional + End Term Assessment'!A252</f>
        <v>245</v>
      </c>
      <c r="B251" s="81">
        <f>'Sessional + End Term Assessment'!B252</f>
        <v>0</v>
      </c>
      <c r="C251" s="81">
        <f>'Sessional + End Term Assessment'!C252</f>
        <v>0</v>
      </c>
      <c r="D251" s="80"/>
      <c r="E251" s="70">
        <f t="shared" si="21"/>
        <v>0</v>
      </c>
      <c r="F251" s="70">
        <f t="shared" si="22"/>
        <v>0</v>
      </c>
      <c r="G251" s="70">
        <f t="shared" si="23"/>
        <v>0</v>
      </c>
      <c r="H251" s="80"/>
      <c r="I251" s="70">
        <f t="shared" si="24"/>
        <v>0</v>
      </c>
      <c r="J251" s="70">
        <f t="shared" si="25"/>
        <v>0</v>
      </c>
      <c r="K251" s="70">
        <f t="shared" si="26"/>
        <v>0</v>
      </c>
      <c r="L251" s="80"/>
      <c r="M251" s="70">
        <f t="shared" si="27"/>
        <v>0</v>
      </c>
      <c r="N251" s="70">
        <f t="shared" si="28"/>
        <v>0</v>
      </c>
      <c r="O251" s="70">
        <f t="shared" si="29"/>
        <v>0</v>
      </c>
      <c r="P251" s="44"/>
      <c r="Q251" s="44"/>
      <c r="R251" s="80"/>
      <c r="S251" s="44"/>
      <c r="T251" s="44"/>
      <c r="U251" s="44"/>
      <c r="V251" s="44"/>
      <c r="W251" s="44"/>
      <c r="X251" s="44"/>
    </row>
    <row r="252" spans="1:24" ht="15.75" customHeight="1" x14ac:dyDescent="0.3">
      <c r="A252" s="69">
        <f>'Sessional + End Term Assessment'!A253</f>
        <v>246</v>
      </c>
      <c r="B252" s="81">
        <f>'Sessional + End Term Assessment'!B253</f>
        <v>0</v>
      </c>
      <c r="C252" s="81">
        <f>'Sessional + End Term Assessment'!C253</f>
        <v>0</v>
      </c>
      <c r="D252" s="80"/>
      <c r="E252" s="70">
        <f t="shared" si="21"/>
        <v>0</v>
      </c>
      <c r="F252" s="70">
        <f t="shared" si="22"/>
        <v>0</v>
      </c>
      <c r="G252" s="70">
        <f t="shared" si="23"/>
        <v>0</v>
      </c>
      <c r="H252" s="80"/>
      <c r="I252" s="70">
        <f t="shared" si="24"/>
        <v>0</v>
      </c>
      <c r="J252" s="70">
        <f t="shared" si="25"/>
        <v>0</v>
      </c>
      <c r="K252" s="70">
        <f t="shared" si="26"/>
        <v>0</v>
      </c>
      <c r="L252" s="80"/>
      <c r="M252" s="70">
        <f t="shared" si="27"/>
        <v>0</v>
      </c>
      <c r="N252" s="70">
        <f t="shared" si="28"/>
        <v>0</v>
      </c>
      <c r="O252" s="70">
        <f t="shared" si="29"/>
        <v>0</v>
      </c>
      <c r="P252" s="44"/>
      <c r="Q252" s="44"/>
      <c r="R252" s="80"/>
      <c r="S252" s="44"/>
      <c r="T252" s="44"/>
      <c r="U252" s="44"/>
      <c r="V252" s="44"/>
      <c r="W252" s="44"/>
      <c r="X252" s="44"/>
    </row>
    <row r="253" spans="1:24" ht="15.75" customHeight="1" x14ac:dyDescent="0.3">
      <c r="A253" s="69">
        <f>'Sessional + End Term Assessment'!A254</f>
        <v>247</v>
      </c>
      <c r="B253" s="81">
        <f>'Sessional + End Term Assessment'!B254</f>
        <v>0</v>
      </c>
      <c r="C253" s="81">
        <f>'Sessional + End Term Assessment'!C254</f>
        <v>0</v>
      </c>
      <c r="D253" s="80"/>
      <c r="E253" s="70">
        <f t="shared" si="21"/>
        <v>0</v>
      </c>
      <c r="F253" s="70">
        <f t="shared" si="22"/>
        <v>0</v>
      </c>
      <c r="G253" s="70">
        <f t="shared" si="23"/>
        <v>0</v>
      </c>
      <c r="H253" s="80"/>
      <c r="I253" s="70">
        <f t="shared" si="24"/>
        <v>0</v>
      </c>
      <c r="J253" s="70">
        <f t="shared" si="25"/>
        <v>0</v>
      </c>
      <c r="K253" s="70">
        <f t="shared" si="26"/>
        <v>0</v>
      </c>
      <c r="L253" s="80"/>
      <c r="M253" s="70">
        <f t="shared" si="27"/>
        <v>0</v>
      </c>
      <c r="N253" s="70">
        <f t="shared" si="28"/>
        <v>0</v>
      </c>
      <c r="O253" s="70">
        <f t="shared" si="29"/>
        <v>0</v>
      </c>
      <c r="P253" s="44"/>
      <c r="Q253" s="44"/>
      <c r="R253" s="80"/>
      <c r="S253" s="44"/>
      <c r="T253" s="44"/>
      <c r="U253" s="44"/>
      <c r="V253" s="44"/>
      <c r="W253" s="44"/>
      <c r="X253" s="44"/>
    </row>
    <row r="254" spans="1:24" ht="15.75" customHeight="1" x14ac:dyDescent="0.3">
      <c r="A254" s="69">
        <f>'Sessional + End Term Assessment'!A255</f>
        <v>248</v>
      </c>
      <c r="B254" s="81">
        <f>'Sessional + End Term Assessment'!B255</f>
        <v>0</v>
      </c>
      <c r="C254" s="81">
        <f>'Sessional + End Term Assessment'!C255</f>
        <v>0</v>
      </c>
      <c r="D254" s="80"/>
      <c r="E254" s="70">
        <f t="shared" si="21"/>
        <v>0</v>
      </c>
      <c r="F254" s="70">
        <f t="shared" si="22"/>
        <v>0</v>
      </c>
      <c r="G254" s="70">
        <f t="shared" si="23"/>
        <v>0</v>
      </c>
      <c r="H254" s="80"/>
      <c r="I254" s="70">
        <f t="shared" si="24"/>
        <v>0</v>
      </c>
      <c r="J254" s="70">
        <f t="shared" si="25"/>
        <v>0</v>
      </c>
      <c r="K254" s="70">
        <f t="shared" si="26"/>
        <v>0</v>
      </c>
      <c r="L254" s="80"/>
      <c r="M254" s="70">
        <f t="shared" si="27"/>
        <v>0</v>
      </c>
      <c r="N254" s="70">
        <f t="shared" si="28"/>
        <v>0</v>
      </c>
      <c r="O254" s="70">
        <f t="shared" si="29"/>
        <v>0</v>
      </c>
      <c r="P254" s="44"/>
      <c r="Q254" s="44"/>
      <c r="R254" s="80"/>
      <c r="S254" s="44"/>
      <c r="T254" s="44"/>
      <c r="U254" s="44"/>
      <c r="V254" s="44"/>
      <c r="W254" s="44"/>
      <c r="X254" s="44"/>
    </row>
    <row r="255" spans="1:24" ht="15.75" customHeight="1" x14ac:dyDescent="0.3">
      <c r="A255" s="69">
        <f>'Sessional + End Term Assessment'!A256</f>
        <v>249</v>
      </c>
      <c r="B255" s="81">
        <f>'Sessional + End Term Assessment'!B256</f>
        <v>0</v>
      </c>
      <c r="C255" s="81">
        <f>'Sessional + End Term Assessment'!C256</f>
        <v>0</v>
      </c>
      <c r="D255" s="80"/>
      <c r="E255" s="70">
        <f t="shared" si="21"/>
        <v>0</v>
      </c>
      <c r="F255" s="70">
        <f t="shared" si="22"/>
        <v>0</v>
      </c>
      <c r="G255" s="70">
        <f t="shared" si="23"/>
        <v>0</v>
      </c>
      <c r="H255" s="80"/>
      <c r="I255" s="70">
        <f t="shared" si="24"/>
        <v>0</v>
      </c>
      <c r="J255" s="70">
        <f t="shared" si="25"/>
        <v>0</v>
      </c>
      <c r="K255" s="70">
        <f t="shared" si="26"/>
        <v>0</v>
      </c>
      <c r="L255" s="80"/>
      <c r="M255" s="70">
        <f t="shared" si="27"/>
        <v>0</v>
      </c>
      <c r="N255" s="70">
        <f t="shared" si="28"/>
        <v>0</v>
      </c>
      <c r="O255" s="70">
        <f t="shared" si="29"/>
        <v>0</v>
      </c>
      <c r="P255" s="44"/>
      <c r="Q255" s="44"/>
      <c r="R255" s="80"/>
      <c r="S255" s="44"/>
      <c r="T255" s="44"/>
      <c r="U255" s="44"/>
      <c r="V255" s="44"/>
      <c r="W255" s="44"/>
      <c r="X255" s="44"/>
    </row>
    <row r="256" spans="1:24" ht="15.75" customHeight="1" x14ac:dyDescent="0.3">
      <c r="A256" s="69">
        <f>'Sessional + End Term Assessment'!A257</f>
        <v>250</v>
      </c>
      <c r="B256" s="81">
        <f>'Sessional + End Term Assessment'!B257</f>
        <v>0</v>
      </c>
      <c r="C256" s="81">
        <f>'Sessional + End Term Assessment'!C257</f>
        <v>0</v>
      </c>
      <c r="D256" s="80"/>
      <c r="E256" s="70">
        <f t="shared" si="21"/>
        <v>0</v>
      </c>
      <c r="F256" s="70">
        <f t="shared" si="22"/>
        <v>0</v>
      </c>
      <c r="G256" s="70">
        <f t="shared" si="23"/>
        <v>0</v>
      </c>
      <c r="H256" s="80"/>
      <c r="I256" s="70">
        <f t="shared" si="24"/>
        <v>0</v>
      </c>
      <c r="J256" s="70">
        <f t="shared" si="25"/>
        <v>0</v>
      </c>
      <c r="K256" s="70">
        <f t="shared" si="26"/>
        <v>0</v>
      </c>
      <c r="L256" s="80"/>
      <c r="M256" s="70">
        <f t="shared" si="27"/>
        <v>0</v>
      </c>
      <c r="N256" s="70">
        <f t="shared" si="28"/>
        <v>0</v>
      </c>
      <c r="O256" s="70">
        <f t="shared" si="29"/>
        <v>0</v>
      </c>
      <c r="P256" s="44"/>
      <c r="Q256" s="44"/>
      <c r="R256" s="80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73"/>
      <c r="B257" s="7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73"/>
      <c r="B258" s="7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73"/>
      <c r="B259" s="72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73"/>
      <c r="B260" s="72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73"/>
      <c r="B261" s="72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73"/>
      <c r="B262" s="72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73"/>
      <c r="B263" s="72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73"/>
      <c r="B264" s="72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73"/>
      <c r="B265" s="72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73"/>
      <c r="B266" s="72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73"/>
      <c r="B267" s="72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>
      <c r="A268" s="73"/>
      <c r="B268" s="72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ht="15.75" customHeight="1" x14ac:dyDescent="0.25">
      <c r="A269" s="73"/>
      <c r="B269" s="72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ht="15.75" customHeight="1" x14ac:dyDescent="0.25">
      <c r="A270" s="73"/>
      <c r="B270" s="72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ht="15.75" customHeight="1" x14ac:dyDescent="0.25">
      <c r="A271" s="73"/>
      <c r="B271" s="72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ht="15.75" customHeight="1" x14ac:dyDescent="0.25">
      <c r="A272" s="73"/>
      <c r="B272" s="72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 ht="15.75" customHeight="1" x14ac:dyDescent="0.25">
      <c r="A273" s="73"/>
      <c r="B273" s="72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 ht="15.75" customHeight="1" x14ac:dyDescent="0.25">
      <c r="A274" s="73"/>
      <c r="B274" s="72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 ht="15.75" customHeight="1" x14ac:dyDescent="0.25">
      <c r="A275" s="73"/>
      <c r="B275" s="72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5.75" customHeight="1" x14ac:dyDescent="0.25">
      <c r="A276" s="72"/>
      <c r="B276" s="72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 ht="15.75" customHeight="1" x14ac:dyDescent="0.25">
      <c r="A277" s="72"/>
      <c r="B277" s="72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 ht="15.75" customHeight="1" x14ac:dyDescent="0.25">
      <c r="A278" s="72"/>
      <c r="B278" s="72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 ht="15.75" customHeight="1" x14ac:dyDescent="0.25">
      <c r="A279" s="72"/>
      <c r="B279" s="72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 ht="15.75" customHeight="1" x14ac:dyDescent="0.25">
      <c r="A280" s="72"/>
      <c r="B280" s="72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 ht="15.75" customHeight="1" x14ac:dyDescent="0.25">
      <c r="A281" s="72"/>
      <c r="B281" s="72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 ht="15.75" customHeight="1" x14ac:dyDescent="0.25">
      <c r="A282" s="72"/>
      <c r="B282" s="72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 ht="15.75" customHeight="1" x14ac:dyDescent="0.25">
      <c r="A283" s="72"/>
      <c r="B283" s="72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5.75" customHeight="1" x14ac:dyDescent="0.25">
      <c r="A284" s="72"/>
      <c r="B284" s="72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5.75" customHeight="1" x14ac:dyDescent="0.25">
      <c r="A285" s="72"/>
      <c r="B285" s="72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5.75" customHeight="1" x14ac:dyDescent="0.25">
      <c r="A286" s="72"/>
      <c r="B286" s="7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5.75" customHeight="1" x14ac:dyDescent="0.25">
      <c r="A287" s="72"/>
      <c r="B287" s="72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 ht="15.75" customHeight="1" x14ac:dyDescent="0.25">
      <c r="A288" s="72"/>
      <c r="B288" s="72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 ht="15.75" customHeight="1" x14ac:dyDescent="0.25">
      <c r="A289" s="72"/>
      <c r="B289" s="72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 ht="15.75" customHeight="1" x14ac:dyDescent="0.25">
      <c r="A290" s="72"/>
      <c r="B290" s="72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 ht="15.75" customHeight="1" x14ac:dyDescent="0.25">
      <c r="A291" s="72"/>
      <c r="B291" s="72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 ht="15.75" customHeight="1" x14ac:dyDescent="0.25">
      <c r="A292" s="72"/>
      <c r="B292" s="72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 ht="15.75" customHeight="1" x14ac:dyDescent="0.25">
      <c r="A293" s="72"/>
      <c r="B293" s="72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 ht="15.75" customHeight="1" x14ac:dyDescent="0.25">
      <c r="A294" s="72"/>
      <c r="B294" s="72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 ht="15.75" customHeight="1" x14ac:dyDescent="0.25">
      <c r="A295" s="72"/>
      <c r="B295" s="72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 ht="15.75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 ht="15.75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 ht="15.75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 ht="15.75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 ht="15.75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 ht="15.75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 ht="15.75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 ht="15.75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 ht="15.75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 ht="15.75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 ht="15.75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 ht="15.7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 ht="15.75" customHeight="1" x14ac:dyDescent="0.2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 spans="1:24" ht="15.75" customHeight="1" x14ac:dyDescent="0.2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 spans="1:24" ht="15.75" customHeight="1" x14ac:dyDescent="0.2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 spans="1:24" ht="15.75" customHeight="1" x14ac:dyDescent="0.2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 spans="1:24" ht="15.75" customHeight="1" x14ac:dyDescent="0.2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 spans="1:24" ht="15.75" customHeight="1" x14ac:dyDescent="0.2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 spans="1:24" ht="15.75" customHeight="1" x14ac:dyDescent="0.2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 spans="1:24" ht="15.75" customHeight="1" x14ac:dyDescent="0.2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 spans="1:24" ht="15.75" customHeight="1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 spans="1:24" ht="15.75" customHeight="1" x14ac:dyDescent="0.2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 spans="1:24" ht="15.75" customHeight="1" x14ac:dyDescent="0.2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 spans="1:24" ht="15.75" customHeight="1" x14ac:dyDescent="0.2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 spans="1:24" ht="15.75" customHeight="1" x14ac:dyDescent="0.2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 spans="1:24" ht="15.75" customHeight="1" x14ac:dyDescent="0.2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 spans="1:24" ht="15.75" customHeight="1" x14ac:dyDescent="0.2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 spans="1:24" ht="15.75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spans="1:24" ht="15.75" customHeight="1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spans="1:24" ht="15.75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spans="1:24" ht="15.75" customHeight="1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 spans="1:24" ht="15.75" customHeight="1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 spans="1:24" ht="15.75" customHeight="1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spans="1:24" ht="15.75" customHeight="1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 ht="15.75" customHeight="1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spans="1:24" ht="15.75" customHeight="1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spans="1:24" ht="15.75" customHeight="1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spans="1:24" ht="15.75" customHeight="1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spans="1:24" ht="15.75" customHeight="1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spans="1:24" ht="15.75" customHeight="1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spans="1:24" ht="15.75" customHeight="1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spans="1:24" ht="15.75" customHeight="1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spans="1:24" ht="15.75" customHeight="1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spans="1:24" ht="15.75" customHeight="1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spans="1:24" ht="15.75" customHeight="1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spans="1:24" ht="15.75" customHeight="1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spans="1:24" ht="15.75" customHeight="1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spans="1:24" ht="15.75" customHeight="1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spans="1:24" ht="15.75" customHeight="1" x14ac:dyDescent="0.2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 spans="1:24" ht="15.75" customHeight="1" x14ac:dyDescent="0.25"/>
    <row r="346" spans="1:24" ht="15.75" customHeight="1" x14ac:dyDescent="0.25"/>
    <row r="347" spans="1:24" ht="15.75" customHeight="1" x14ac:dyDescent="0.25"/>
    <row r="348" spans="1:24" ht="15.75" customHeight="1" x14ac:dyDescent="0.25"/>
    <row r="349" spans="1:24" ht="15.75" customHeight="1" x14ac:dyDescent="0.25"/>
    <row r="350" spans="1:24" ht="15.75" customHeight="1" x14ac:dyDescent="0.25"/>
    <row r="351" spans="1:24" ht="15.75" customHeight="1" x14ac:dyDescent="0.25"/>
    <row r="352" spans="1:24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256 M7:O256">
    <cfRule type="cellIs" dxfId="7" priority="1" operator="equal">
      <formula>0</formula>
    </cfRule>
  </conditionalFormatting>
  <conditionalFormatting sqref="I7:K256">
    <cfRule type="cellIs" dxfId="6" priority="5" operator="equal">
      <formula>0</formula>
    </cfRule>
  </conditionalFormatting>
  <conditionalFormatting sqref="U7:U210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40"/>
  <sheetViews>
    <sheetView topLeftCell="A195" workbookViewId="0">
      <selection activeCell="A215" sqref="A215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21" t="s">
        <v>69</v>
      </c>
      <c r="B1" s="121"/>
      <c r="C1" s="121"/>
      <c r="D1" s="121"/>
      <c r="E1" s="12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1'!R136</f>
        <v>0</v>
      </c>
      <c r="E132" s="63" t="str">
        <f t="shared" ref="E132:E195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thickBot="1" x14ac:dyDescent="0.35">
      <c r="A179" s="64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1'!R183</f>
        <v>0</v>
      </c>
      <c r="E179" s="63" t="str">
        <f t="shared" si="2"/>
        <v>Y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thickBot="1" x14ac:dyDescent="0.35">
      <c r="A180" s="64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1'!R184</f>
        <v>0</v>
      </c>
      <c r="E180" s="63" t="str">
        <f t="shared" si="2"/>
        <v>Y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thickBot="1" x14ac:dyDescent="0.35">
      <c r="A181" s="64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1'!R185</f>
        <v>0</v>
      </c>
      <c r="E181" s="63" t="str">
        <f t="shared" si="2"/>
        <v>Y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thickBot="1" x14ac:dyDescent="0.35">
      <c r="A182" s="64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1'!R186</f>
        <v>0</v>
      </c>
      <c r="E182" s="63" t="str">
        <f t="shared" si="2"/>
        <v>Y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thickBot="1" x14ac:dyDescent="0.35">
      <c r="A183" s="64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1'!R187</f>
        <v>0</v>
      </c>
      <c r="E183" s="63" t="str">
        <f t="shared" si="2"/>
        <v>Y</v>
      </c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thickBot="1" x14ac:dyDescent="0.35">
      <c r="A184" s="64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1'!R188</f>
        <v>0</v>
      </c>
      <c r="E184" s="63" t="str">
        <f t="shared" si="2"/>
        <v>Y</v>
      </c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thickBot="1" x14ac:dyDescent="0.35">
      <c r="A185" s="64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1'!R189</f>
        <v>0</v>
      </c>
      <c r="E185" s="63" t="str">
        <f t="shared" si="2"/>
        <v>Y</v>
      </c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thickBot="1" x14ac:dyDescent="0.35">
      <c r="A186" s="64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1'!R190</f>
        <v>0</v>
      </c>
      <c r="E186" s="63" t="str">
        <f t="shared" si="2"/>
        <v>Y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thickBot="1" x14ac:dyDescent="0.35">
      <c r="A187" s="64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1'!R191</f>
        <v>0</v>
      </c>
      <c r="E187" s="63" t="str">
        <f t="shared" si="2"/>
        <v>Y</v>
      </c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thickBot="1" x14ac:dyDescent="0.35">
      <c r="A188" s="64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1'!R192</f>
        <v>0</v>
      </c>
      <c r="E188" s="63" t="str">
        <f t="shared" si="2"/>
        <v>Y</v>
      </c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thickBot="1" x14ac:dyDescent="0.35">
      <c r="A189" s="64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1'!R193</f>
        <v>0</v>
      </c>
      <c r="E189" s="63" t="str">
        <f t="shared" si="2"/>
        <v>Y</v>
      </c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thickBot="1" x14ac:dyDescent="0.35">
      <c r="A190" s="64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1'!R194</f>
        <v>0</v>
      </c>
      <c r="E190" s="63" t="str">
        <f t="shared" si="2"/>
        <v>Y</v>
      </c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thickBot="1" x14ac:dyDescent="0.35">
      <c r="A191" s="64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1'!R195</f>
        <v>0</v>
      </c>
      <c r="E191" s="63" t="str">
        <f t="shared" si="2"/>
        <v>Y</v>
      </c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thickBot="1" x14ac:dyDescent="0.35">
      <c r="A192" s="64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1'!R196</f>
        <v>0</v>
      </c>
      <c r="E192" s="63" t="str">
        <f t="shared" si="2"/>
        <v>Y</v>
      </c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thickBot="1" x14ac:dyDescent="0.35">
      <c r="A193" s="64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1'!R197</f>
        <v>0</v>
      </c>
      <c r="E193" s="63" t="str">
        <f t="shared" si="2"/>
        <v>Y</v>
      </c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thickBot="1" x14ac:dyDescent="0.35">
      <c r="A194" s="64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1'!R198</f>
        <v>0</v>
      </c>
      <c r="E194" s="63" t="str">
        <f t="shared" si="2"/>
        <v>Y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thickBot="1" x14ac:dyDescent="0.35">
      <c r="A195" s="64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1'!R199</f>
        <v>0</v>
      </c>
      <c r="E195" s="63" t="str">
        <f t="shared" si="2"/>
        <v>Y</v>
      </c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thickBot="1" x14ac:dyDescent="0.35">
      <c r="A196" s="64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1'!R200</f>
        <v>0</v>
      </c>
      <c r="E196" s="63" t="str">
        <f t="shared" ref="E196:E214" si="3">IF(D196&lt;=30,"Y","N")</f>
        <v>Y</v>
      </c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thickBot="1" x14ac:dyDescent="0.35">
      <c r="A197" s="64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1'!R201</f>
        <v>0</v>
      </c>
      <c r="E197" s="63" t="str">
        <f t="shared" si="3"/>
        <v>Y</v>
      </c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thickBot="1" x14ac:dyDescent="0.35">
      <c r="A198" s="64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1'!R202</f>
        <v>0</v>
      </c>
      <c r="E198" s="63" t="str">
        <f t="shared" si="3"/>
        <v>Y</v>
      </c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thickBot="1" x14ac:dyDescent="0.35">
      <c r="A199" s="64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1'!R203</f>
        <v>0</v>
      </c>
      <c r="E199" s="63" t="str">
        <f t="shared" si="3"/>
        <v>Y</v>
      </c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thickBot="1" x14ac:dyDescent="0.35">
      <c r="A200" s="64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1'!R204</f>
        <v>0</v>
      </c>
      <c r="E200" s="63" t="str">
        <f t="shared" si="3"/>
        <v>Y</v>
      </c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thickBot="1" x14ac:dyDescent="0.35">
      <c r="A201" s="64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1'!R205</f>
        <v>0</v>
      </c>
      <c r="E201" s="63" t="str">
        <f t="shared" si="3"/>
        <v>Y</v>
      </c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thickBot="1" x14ac:dyDescent="0.35">
      <c r="A202" s="64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1'!R206</f>
        <v>0</v>
      </c>
      <c r="E202" s="63" t="str">
        <f t="shared" si="3"/>
        <v>Y</v>
      </c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thickBot="1" x14ac:dyDescent="0.35">
      <c r="A203" s="64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1'!R207</f>
        <v>0</v>
      </c>
      <c r="E203" s="63" t="str">
        <f t="shared" si="3"/>
        <v>Y</v>
      </c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thickBot="1" x14ac:dyDescent="0.35">
      <c r="A204" s="64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1'!R208</f>
        <v>0</v>
      </c>
      <c r="E204" s="63" t="str">
        <f t="shared" si="3"/>
        <v>Y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thickBot="1" x14ac:dyDescent="0.35">
      <c r="A205" s="64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1'!R209</f>
        <v>0</v>
      </c>
      <c r="E205" s="63" t="str">
        <f t="shared" si="3"/>
        <v>Y</v>
      </c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thickBot="1" x14ac:dyDescent="0.35">
      <c r="A206" s="64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1'!R210</f>
        <v>0</v>
      </c>
      <c r="E206" s="63" t="str">
        <f t="shared" si="3"/>
        <v>Y</v>
      </c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thickBot="1" x14ac:dyDescent="0.35">
      <c r="A207" s="64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1'!R211</f>
        <v>0</v>
      </c>
      <c r="E207" s="63" t="str">
        <f t="shared" si="3"/>
        <v>Y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thickBot="1" x14ac:dyDescent="0.35">
      <c r="A208" s="64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1'!R212</f>
        <v>0</v>
      </c>
      <c r="E208" s="63" t="str">
        <f t="shared" si="3"/>
        <v>Y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thickBot="1" x14ac:dyDescent="0.35">
      <c r="A209" s="64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1'!R213</f>
        <v>0</v>
      </c>
      <c r="E209" s="63" t="str">
        <f t="shared" si="3"/>
        <v>Y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thickBot="1" x14ac:dyDescent="0.35">
      <c r="A210" s="64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1'!R214</f>
        <v>0</v>
      </c>
      <c r="E210" s="63" t="str">
        <f t="shared" si="3"/>
        <v>Y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thickBot="1" x14ac:dyDescent="0.35">
      <c r="A211" s="64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1'!R215</f>
        <v>0</v>
      </c>
      <c r="E211" s="63" t="str">
        <f t="shared" si="3"/>
        <v>Y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thickBot="1" x14ac:dyDescent="0.35">
      <c r="A212" s="64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1'!R216</f>
        <v>0</v>
      </c>
      <c r="E212" s="63" t="str">
        <f t="shared" si="3"/>
        <v>Y</v>
      </c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thickBot="1" x14ac:dyDescent="0.35">
      <c r="A213" s="64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1'!R217</f>
        <v>0</v>
      </c>
      <c r="E213" s="63" t="str">
        <f t="shared" si="3"/>
        <v>Y</v>
      </c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thickBot="1" x14ac:dyDescent="0.35">
      <c r="A214" s="64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1'!R218</f>
        <v>0</v>
      </c>
      <c r="E214" s="63" t="str">
        <f t="shared" si="3"/>
        <v>Y</v>
      </c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thickBot="1" x14ac:dyDescent="0.35">
      <c r="A215" s="64">
        <f>'Sessional + End Term Assessment'!A220</f>
        <v>213</v>
      </c>
      <c r="B215" s="81">
        <f>'Sessional + End Term Assessment'!B220</f>
        <v>0</v>
      </c>
      <c r="C215" s="81">
        <f>'Sessional + End Term Assessment'!C220</f>
        <v>0</v>
      </c>
      <c r="D215" s="62">
        <f>'MID Term 1'!R219</f>
        <v>0</v>
      </c>
      <c r="E215" s="63" t="str">
        <f t="shared" ref="E215:E252" si="4">IF(D215&lt;=30,"Y","N")</f>
        <v>Y</v>
      </c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thickBot="1" x14ac:dyDescent="0.35">
      <c r="A216" s="64">
        <f>'Sessional + End Term Assessment'!A221</f>
        <v>214</v>
      </c>
      <c r="B216" s="81">
        <f>'Sessional + End Term Assessment'!B221</f>
        <v>0</v>
      </c>
      <c r="C216" s="81">
        <f>'Sessional + End Term Assessment'!C221</f>
        <v>0</v>
      </c>
      <c r="D216" s="62">
        <f>'MID Term 1'!R220</f>
        <v>0</v>
      </c>
      <c r="E216" s="63" t="str">
        <f t="shared" si="4"/>
        <v>Y</v>
      </c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thickBot="1" x14ac:dyDescent="0.35">
      <c r="A217" s="64">
        <f>'Sessional + End Term Assessment'!A222</f>
        <v>215</v>
      </c>
      <c r="B217" s="81">
        <f>'Sessional + End Term Assessment'!B222</f>
        <v>0</v>
      </c>
      <c r="C217" s="81">
        <f>'Sessional + End Term Assessment'!C222</f>
        <v>0</v>
      </c>
      <c r="D217" s="62">
        <f>'MID Term 1'!R221</f>
        <v>0</v>
      </c>
      <c r="E217" s="63" t="str">
        <f t="shared" si="4"/>
        <v>Y</v>
      </c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thickBot="1" x14ac:dyDescent="0.35">
      <c r="A218" s="64">
        <f>'Sessional + End Term Assessment'!A223</f>
        <v>216</v>
      </c>
      <c r="B218" s="81">
        <f>'Sessional + End Term Assessment'!B223</f>
        <v>0</v>
      </c>
      <c r="C218" s="81">
        <f>'Sessional + End Term Assessment'!C223</f>
        <v>0</v>
      </c>
      <c r="D218" s="62">
        <f>'MID Term 1'!R222</f>
        <v>0</v>
      </c>
      <c r="E218" s="63" t="str">
        <f t="shared" si="4"/>
        <v>Y</v>
      </c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thickBot="1" x14ac:dyDescent="0.35">
      <c r="A219" s="64">
        <f>'Sessional + End Term Assessment'!A224</f>
        <v>217</v>
      </c>
      <c r="B219" s="81">
        <f>'Sessional + End Term Assessment'!B224</f>
        <v>0</v>
      </c>
      <c r="C219" s="81">
        <f>'Sessional + End Term Assessment'!C224</f>
        <v>0</v>
      </c>
      <c r="D219" s="62">
        <f>'MID Term 1'!R223</f>
        <v>0</v>
      </c>
      <c r="E219" s="63" t="str">
        <f t="shared" si="4"/>
        <v>Y</v>
      </c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thickBot="1" x14ac:dyDescent="0.35">
      <c r="A220" s="64">
        <f>'Sessional + End Term Assessment'!A225</f>
        <v>218</v>
      </c>
      <c r="B220" s="81">
        <f>'Sessional + End Term Assessment'!B225</f>
        <v>0</v>
      </c>
      <c r="C220" s="81">
        <f>'Sessional + End Term Assessment'!C225</f>
        <v>0</v>
      </c>
      <c r="D220" s="62">
        <f>'MID Term 1'!R224</f>
        <v>0</v>
      </c>
      <c r="E220" s="63" t="str">
        <f t="shared" si="4"/>
        <v>Y</v>
      </c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thickBot="1" x14ac:dyDescent="0.35">
      <c r="A221" s="64">
        <f>'Sessional + End Term Assessment'!A226</f>
        <v>219</v>
      </c>
      <c r="B221" s="81">
        <f>'Sessional + End Term Assessment'!B226</f>
        <v>0</v>
      </c>
      <c r="C221" s="81">
        <f>'Sessional + End Term Assessment'!C226</f>
        <v>0</v>
      </c>
      <c r="D221" s="62">
        <f>'MID Term 1'!R225</f>
        <v>0</v>
      </c>
      <c r="E221" s="63" t="str">
        <f t="shared" si="4"/>
        <v>Y</v>
      </c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thickBot="1" x14ac:dyDescent="0.35">
      <c r="A222" s="64">
        <f>'Sessional + End Term Assessment'!A227</f>
        <v>220</v>
      </c>
      <c r="B222" s="81">
        <f>'Sessional + End Term Assessment'!B227</f>
        <v>0</v>
      </c>
      <c r="C222" s="81">
        <f>'Sessional + End Term Assessment'!C227</f>
        <v>0</v>
      </c>
      <c r="D222" s="62">
        <f>'MID Term 1'!R226</f>
        <v>0</v>
      </c>
      <c r="E222" s="63" t="str">
        <f t="shared" si="4"/>
        <v>Y</v>
      </c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thickBot="1" x14ac:dyDescent="0.35">
      <c r="A223" s="64">
        <f>'Sessional + End Term Assessment'!A228</f>
        <v>221</v>
      </c>
      <c r="B223" s="81">
        <f>'Sessional + End Term Assessment'!B228</f>
        <v>0</v>
      </c>
      <c r="C223" s="81">
        <f>'Sessional + End Term Assessment'!C228</f>
        <v>0</v>
      </c>
      <c r="D223" s="62">
        <f>'MID Term 1'!R227</f>
        <v>0</v>
      </c>
      <c r="E223" s="63" t="str">
        <f t="shared" si="4"/>
        <v>Y</v>
      </c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thickBot="1" x14ac:dyDescent="0.35">
      <c r="A224" s="64">
        <f>'Sessional + End Term Assessment'!A229</f>
        <v>222</v>
      </c>
      <c r="B224" s="81">
        <f>'Sessional + End Term Assessment'!B229</f>
        <v>0</v>
      </c>
      <c r="C224" s="81">
        <f>'Sessional + End Term Assessment'!C229</f>
        <v>0</v>
      </c>
      <c r="D224" s="62">
        <f>'MID Term 1'!R228</f>
        <v>0</v>
      </c>
      <c r="E224" s="63" t="str">
        <f t="shared" si="4"/>
        <v>Y</v>
      </c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thickBot="1" x14ac:dyDescent="0.35">
      <c r="A225" s="64">
        <f>'Sessional + End Term Assessment'!A230</f>
        <v>223</v>
      </c>
      <c r="B225" s="81">
        <f>'Sessional + End Term Assessment'!B230</f>
        <v>0</v>
      </c>
      <c r="C225" s="81">
        <f>'Sessional + End Term Assessment'!C230</f>
        <v>0</v>
      </c>
      <c r="D225" s="62">
        <f>'MID Term 1'!R229</f>
        <v>0</v>
      </c>
      <c r="E225" s="63" t="str">
        <f t="shared" si="4"/>
        <v>Y</v>
      </c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thickBot="1" x14ac:dyDescent="0.35">
      <c r="A226" s="64">
        <f>'Sessional + End Term Assessment'!A231</f>
        <v>224</v>
      </c>
      <c r="B226" s="81">
        <f>'Sessional + End Term Assessment'!B231</f>
        <v>0</v>
      </c>
      <c r="C226" s="81">
        <f>'Sessional + End Term Assessment'!C231</f>
        <v>0</v>
      </c>
      <c r="D226" s="62">
        <f>'MID Term 1'!R230</f>
        <v>0</v>
      </c>
      <c r="E226" s="63" t="str">
        <f t="shared" si="4"/>
        <v>Y</v>
      </c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thickBot="1" x14ac:dyDescent="0.35">
      <c r="A227" s="64">
        <f>'Sessional + End Term Assessment'!A232</f>
        <v>225</v>
      </c>
      <c r="B227" s="81">
        <f>'Sessional + End Term Assessment'!B232</f>
        <v>0</v>
      </c>
      <c r="C227" s="81">
        <f>'Sessional + End Term Assessment'!C232</f>
        <v>0</v>
      </c>
      <c r="D227" s="62">
        <f>'MID Term 1'!R231</f>
        <v>0</v>
      </c>
      <c r="E227" s="63" t="str">
        <f t="shared" si="4"/>
        <v>Y</v>
      </c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thickBot="1" x14ac:dyDescent="0.35">
      <c r="A228" s="64">
        <f>'Sessional + End Term Assessment'!A233</f>
        <v>226</v>
      </c>
      <c r="B228" s="81">
        <f>'Sessional + End Term Assessment'!B233</f>
        <v>0</v>
      </c>
      <c r="C228" s="81">
        <f>'Sessional + End Term Assessment'!C233</f>
        <v>0</v>
      </c>
      <c r="D228" s="62">
        <f>'MID Term 1'!R232</f>
        <v>0</v>
      </c>
      <c r="E228" s="63" t="str">
        <f t="shared" si="4"/>
        <v>Y</v>
      </c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thickBot="1" x14ac:dyDescent="0.35">
      <c r="A229" s="64">
        <f>'Sessional + End Term Assessment'!A234</f>
        <v>227</v>
      </c>
      <c r="B229" s="81">
        <f>'Sessional + End Term Assessment'!B234</f>
        <v>0</v>
      </c>
      <c r="C229" s="81">
        <f>'Sessional + End Term Assessment'!C234</f>
        <v>0</v>
      </c>
      <c r="D229" s="62">
        <f>'MID Term 1'!R233</f>
        <v>0</v>
      </c>
      <c r="E229" s="63" t="str">
        <f t="shared" si="4"/>
        <v>Y</v>
      </c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thickBot="1" x14ac:dyDescent="0.35">
      <c r="A230" s="64">
        <f>'Sessional + End Term Assessment'!A235</f>
        <v>228</v>
      </c>
      <c r="B230" s="81">
        <f>'Sessional + End Term Assessment'!B235</f>
        <v>0</v>
      </c>
      <c r="C230" s="81">
        <f>'Sessional + End Term Assessment'!C235</f>
        <v>0</v>
      </c>
      <c r="D230" s="62">
        <f>'MID Term 1'!R234</f>
        <v>0</v>
      </c>
      <c r="E230" s="63" t="str">
        <f t="shared" si="4"/>
        <v>Y</v>
      </c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thickBot="1" x14ac:dyDescent="0.35">
      <c r="A231" s="64">
        <f>'Sessional + End Term Assessment'!A236</f>
        <v>229</v>
      </c>
      <c r="B231" s="81">
        <f>'Sessional + End Term Assessment'!B236</f>
        <v>0</v>
      </c>
      <c r="C231" s="81">
        <f>'Sessional + End Term Assessment'!C236</f>
        <v>0</v>
      </c>
      <c r="D231" s="62">
        <f>'MID Term 1'!R235</f>
        <v>0</v>
      </c>
      <c r="E231" s="63" t="str">
        <f t="shared" si="4"/>
        <v>Y</v>
      </c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thickBot="1" x14ac:dyDescent="0.35">
      <c r="A232" s="64">
        <f>'Sessional + End Term Assessment'!A237</f>
        <v>230</v>
      </c>
      <c r="B232" s="81">
        <f>'Sessional + End Term Assessment'!B237</f>
        <v>0</v>
      </c>
      <c r="C232" s="81">
        <f>'Sessional + End Term Assessment'!C237</f>
        <v>0</v>
      </c>
      <c r="D232" s="62">
        <f>'MID Term 1'!R236</f>
        <v>0</v>
      </c>
      <c r="E232" s="63" t="str">
        <f t="shared" si="4"/>
        <v>Y</v>
      </c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thickBot="1" x14ac:dyDescent="0.35">
      <c r="A233" s="64">
        <f>'Sessional + End Term Assessment'!A238</f>
        <v>231</v>
      </c>
      <c r="B233" s="81">
        <f>'Sessional + End Term Assessment'!B238</f>
        <v>0</v>
      </c>
      <c r="C233" s="81">
        <f>'Sessional + End Term Assessment'!C238</f>
        <v>0</v>
      </c>
      <c r="D233" s="62">
        <f>'MID Term 1'!R237</f>
        <v>0</v>
      </c>
      <c r="E233" s="63" t="str">
        <f t="shared" si="4"/>
        <v>Y</v>
      </c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thickBot="1" x14ac:dyDescent="0.35">
      <c r="A234" s="64">
        <f>'Sessional + End Term Assessment'!A239</f>
        <v>232</v>
      </c>
      <c r="B234" s="81">
        <f>'Sessional + End Term Assessment'!B239</f>
        <v>0</v>
      </c>
      <c r="C234" s="81">
        <f>'Sessional + End Term Assessment'!C239</f>
        <v>0</v>
      </c>
      <c r="D234" s="62">
        <f>'MID Term 1'!R238</f>
        <v>0</v>
      </c>
      <c r="E234" s="63" t="str">
        <f t="shared" si="4"/>
        <v>Y</v>
      </c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thickBot="1" x14ac:dyDescent="0.35">
      <c r="A235" s="64">
        <f>'Sessional + End Term Assessment'!A240</f>
        <v>233</v>
      </c>
      <c r="B235" s="81">
        <f>'Sessional + End Term Assessment'!B240</f>
        <v>0</v>
      </c>
      <c r="C235" s="81">
        <f>'Sessional + End Term Assessment'!C240</f>
        <v>0</v>
      </c>
      <c r="D235" s="62">
        <f>'MID Term 1'!R239</f>
        <v>0</v>
      </c>
      <c r="E235" s="63" t="str">
        <f t="shared" si="4"/>
        <v>Y</v>
      </c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thickBot="1" x14ac:dyDescent="0.35">
      <c r="A236" s="64">
        <f>'Sessional + End Term Assessment'!A241</f>
        <v>234</v>
      </c>
      <c r="B236" s="81">
        <f>'Sessional + End Term Assessment'!B241</f>
        <v>0</v>
      </c>
      <c r="C236" s="81">
        <f>'Sessional + End Term Assessment'!C241</f>
        <v>0</v>
      </c>
      <c r="D236" s="62">
        <f>'MID Term 1'!R240</f>
        <v>0</v>
      </c>
      <c r="E236" s="63" t="str">
        <f t="shared" si="4"/>
        <v>Y</v>
      </c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thickBot="1" x14ac:dyDescent="0.35">
      <c r="A237" s="64">
        <f>'Sessional + End Term Assessment'!A242</f>
        <v>235</v>
      </c>
      <c r="B237" s="81">
        <f>'Sessional + End Term Assessment'!B242</f>
        <v>0</v>
      </c>
      <c r="C237" s="81">
        <f>'Sessional + End Term Assessment'!C242</f>
        <v>0</v>
      </c>
      <c r="D237" s="62">
        <f>'MID Term 1'!R241</f>
        <v>0</v>
      </c>
      <c r="E237" s="63" t="str">
        <f t="shared" si="4"/>
        <v>Y</v>
      </c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thickBot="1" x14ac:dyDescent="0.35">
      <c r="A238" s="64">
        <f>'Sessional + End Term Assessment'!A243</f>
        <v>236</v>
      </c>
      <c r="B238" s="81">
        <f>'Sessional + End Term Assessment'!B243</f>
        <v>0</v>
      </c>
      <c r="C238" s="81">
        <f>'Sessional + End Term Assessment'!C243</f>
        <v>0</v>
      </c>
      <c r="D238" s="62">
        <f>'MID Term 1'!R242</f>
        <v>0</v>
      </c>
      <c r="E238" s="63" t="str">
        <f t="shared" si="4"/>
        <v>Y</v>
      </c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thickBot="1" x14ac:dyDescent="0.35">
      <c r="A239" s="64">
        <f>'Sessional + End Term Assessment'!A244</f>
        <v>237</v>
      </c>
      <c r="B239" s="81">
        <f>'Sessional + End Term Assessment'!B244</f>
        <v>0</v>
      </c>
      <c r="C239" s="81">
        <f>'Sessional + End Term Assessment'!C244</f>
        <v>0</v>
      </c>
      <c r="D239" s="62">
        <f>'MID Term 1'!R243</f>
        <v>0</v>
      </c>
      <c r="E239" s="63" t="str">
        <f t="shared" si="4"/>
        <v>Y</v>
      </c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thickBot="1" x14ac:dyDescent="0.35">
      <c r="A240" s="64">
        <f>'Sessional + End Term Assessment'!A245</f>
        <v>238</v>
      </c>
      <c r="B240" s="81">
        <f>'Sessional + End Term Assessment'!B245</f>
        <v>0</v>
      </c>
      <c r="C240" s="81">
        <f>'Sessional + End Term Assessment'!C245</f>
        <v>0</v>
      </c>
      <c r="D240" s="62">
        <f>'MID Term 1'!R244</f>
        <v>0</v>
      </c>
      <c r="E240" s="63" t="str">
        <f t="shared" si="4"/>
        <v>Y</v>
      </c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thickBot="1" x14ac:dyDescent="0.35">
      <c r="A241" s="64">
        <f>'Sessional + End Term Assessment'!A246</f>
        <v>239</v>
      </c>
      <c r="B241" s="81">
        <f>'Sessional + End Term Assessment'!B246</f>
        <v>0</v>
      </c>
      <c r="C241" s="81">
        <f>'Sessional + End Term Assessment'!C246</f>
        <v>0</v>
      </c>
      <c r="D241" s="62">
        <f>'MID Term 1'!R245</f>
        <v>0</v>
      </c>
      <c r="E241" s="63" t="str">
        <f t="shared" si="4"/>
        <v>Y</v>
      </c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thickBot="1" x14ac:dyDescent="0.35">
      <c r="A242" s="64">
        <f>'Sessional + End Term Assessment'!A247</f>
        <v>240</v>
      </c>
      <c r="B242" s="81">
        <f>'Sessional + End Term Assessment'!B247</f>
        <v>0</v>
      </c>
      <c r="C242" s="81">
        <f>'Sessional + End Term Assessment'!C247</f>
        <v>0</v>
      </c>
      <c r="D242" s="62">
        <f>'MID Term 1'!R246</f>
        <v>0</v>
      </c>
      <c r="E242" s="63" t="str">
        <f t="shared" si="4"/>
        <v>Y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thickBot="1" x14ac:dyDescent="0.35">
      <c r="A243" s="64">
        <f>'Sessional + End Term Assessment'!A248</f>
        <v>241</v>
      </c>
      <c r="B243" s="81">
        <f>'Sessional + End Term Assessment'!B248</f>
        <v>0</v>
      </c>
      <c r="C243" s="81">
        <f>'Sessional + End Term Assessment'!C248</f>
        <v>0</v>
      </c>
      <c r="D243" s="62">
        <f>'MID Term 1'!R247</f>
        <v>0</v>
      </c>
      <c r="E243" s="63" t="str">
        <f t="shared" si="4"/>
        <v>Y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thickBot="1" x14ac:dyDescent="0.35">
      <c r="A244" s="64">
        <f>'Sessional + End Term Assessment'!A249</f>
        <v>242</v>
      </c>
      <c r="B244" s="81">
        <f>'Sessional + End Term Assessment'!B249</f>
        <v>0</v>
      </c>
      <c r="C244" s="81">
        <f>'Sessional + End Term Assessment'!C249</f>
        <v>0</v>
      </c>
      <c r="D244" s="62">
        <f>'MID Term 1'!R248</f>
        <v>0</v>
      </c>
      <c r="E244" s="63" t="str">
        <f t="shared" si="4"/>
        <v>Y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thickBot="1" x14ac:dyDescent="0.35">
      <c r="A245" s="64">
        <f>'Sessional + End Term Assessment'!A250</f>
        <v>243</v>
      </c>
      <c r="B245" s="81">
        <f>'Sessional + End Term Assessment'!B250</f>
        <v>0</v>
      </c>
      <c r="C245" s="81">
        <f>'Sessional + End Term Assessment'!C250</f>
        <v>0</v>
      </c>
      <c r="D245" s="62">
        <f>'MID Term 1'!R249</f>
        <v>0</v>
      </c>
      <c r="E245" s="63" t="str">
        <f t="shared" si="4"/>
        <v>Y</v>
      </c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thickBot="1" x14ac:dyDescent="0.35">
      <c r="A246" s="64">
        <f>'Sessional + End Term Assessment'!A251</f>
        <v>244</v>
      </c>
      <c r="B246" s="81">
        <f>'Sessional + End Term Assessment'!B251</f>
        <v>0</v>
      </c>
      <c r="C246" s="81">
        <f>'Sessional + End Term Assessment'!C251</f>
        <v>0</v>
      </c>
      <c r="D246" s="62">
        <f>'MID Term 1'!R250</f>
        <v>0</v>
      </c>
      <c r="E246" s="63" t="str">
        <f t="shared" si="4"/>
        <v>Y</v>
      </c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thickBot="1" x14ac:dyDescent="0.35">
      <c r="A247" s="64">
        <f>'Sessional + End Term Assessment'!A252</f>
        <v>245</v>
      </c>
      <c r="B247" s="81">
        <f>'Sessional + End Term Assessment'!B252</f>
        <v>0</v>
      </c>
      <c r="C247" s="81">
        <f>'Sessional + End Term Assessment'!C252</f>
        <v>0</v>
      </c>
      <c r="D247" s="62">
        <f>'MID Term 1'!R251</f>
        <v>0</v>
      </c>
      <c r="E247" s="63" t="str">
        <f t="shared" si="4"/>
        <v>Y</v>
      </c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thickBot="1" x14ac:dyDescent="0.35">
      <c r="A248" s="64">
        <f>'Sessional + End Term Assessment'!A253</f>
        <v>246</v>
      </c>
      <c r="B248" s="81">
        <f>'Sessional + End Term Assessment'!B253</f>
        <v>0</v>
      </c>
      <c r="C248" s="81">
        <f>'Sessional + End Term Assessment'!C253</f>
        <v>0</v>
      </c>
      <c r="D248" s="62">
        <f>'MID Term 1'!R252</f>
        <v>0</v>
      </c>
      <c r="E248" s="63" t="str">
        <f t="shared" si="4"/>
        <v>Y</v>
      </c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thickBot="1" x14ac:dyDescent="0.35">
      <c r="A249" s="64">
        <f>'Sessional + End Term Assessment'!A254</f>
        <v>247</v>
      </c>
      <c r="B249" s="81">
        <f>'Sessional + End Term Assessment'!B254</f>
        <v>0</v>
      </c>
      <c r="C249" s="81">
        <f>'Sessional + End Term Assessment'!C254</f>
        <v>0</v>
      </c>
      <c r="D249" s="62">
        <f>'MID Term 1'!R253</f>
        <v>0</v>
      </c>
      <c r="E249" s="63" t="str">
        <f t="shared" si="4"/>
        <v>Y</v>
      </c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thickBot="1" x14ac:dyDescent="0.35">
      <c r="A250" s="64">
        <f>'Sessional + End Term Assessment'!A255</f>
        <v>248</v>
      </c>
      <c r="B250" s="81">
        <f>'Sessional + End Term Assessment'!B255</f>
        <v>0</v>
      </c>
      <c r="C250" s="81">
        <f>'Sessional + End Term Assessment'!C255</f>
        <v>0</v>
      </c>
      <c r="D250" s="62">
        <f>'MID Term 1'!R254</f>
        <v>0</v>
      </c>
      <c r="E250" s="63" t="str">
        <f t="shared" si="4"/>
        <v>Y</v>
      </c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thickBot="1" x14ac:dyDescent="0.35">
      <c r="A251" s="64">
        <f>'Sessional + End Term Assessment'!A256</f>
        <v>249</v>
      </c>
      <c r="B251" s="81">
        <f>'Sessional + End Term Assessment'!B256</f>
        <v>0</v>
      </c>
      <c r="C251" s="81">
        <f>'Sessional + End Term Assessment'!C256</f>
        <v>0</v>
      </c>
      <c r="D251" s="62">
        <f>'MID Term 1'!R255</f>
        <v>0</v>
      </c>
      <c r="E251" s="63" t="str">
        <f t="shared" si="4"/>
        <v>Y</v>
      </c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4.25" customHeight="1" thickBot="1" x14ac:dyDescent="0.35">
      <c r="A252" s="64">
        <f>'Sessional + End Term Assessment'!A257</f>
        <v>250</v>
      </c>
      <c r="B252" s="81">
        <f>'Sessional + End Term Assessment'!B257</f>
        <v>0</v>
      </c>
      <c r="C252" s="81">
        <f>'Sessional + End Term Assessment'!C257</f>
        <v>0</v>
      </c>
      <c r="D252" s="62">
        <f>'MID Term 1'!R256</f>
        <v>0</v>
      </c>
      <c r="E252" s="63" t="str">
        <f t="shared" si="4"/>
        <v>Y</v>
      </c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252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73"/>
  <sheetViews>
    <sheetView topLeftCell="A218" workbookViewId="0">
      <selection activeCell="A219" sqref="A219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7" t="s">
        <v>75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3" t="s">
        <v>27</v>
      </c>
      <c r="B4" s="90" t="s">
        <v>56</v>
      </c>
      <c r="C4" s="15" t="s">
        <v>29</v>
      </c>
      <c r="D4" s="87"/>
      <c r="E4" s="88"/>
      <c r="F4" s="88"/>
      <c r="G4" s="88"/>
      <c r="H4" s="88"/>
      <c r="I4" s="88"/>
      <c r="J4" s="88"/>
      <c r="K4" s="88"/>
      <c r="L4" s="88"/>
      <c r="M4" s="88"/>
      <c r="N4" s="89"/>
      <c r="O4" s="87"/>
      <c r="P4" s="88"/>
      <c r="Q4" s="91"/>
      <c r="R4" s="83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84"/>
      <c r="B5" s="84"/>
      <c r="C5" s="15" t="s">
        <v>57</v>
      </c>
      <c r="D5" s="18" t="s">
        <v>58</v>
      </c>
      <c r="E5" s="18" t="s">
        <v>62</v>
      </c>
      <c r="F5" s="18" t="s">
        <v>63</v>
      </c>
      <c r="G5" s="90" t="s">
        <v>64</v>
      </c>
      <c r="H5" s="90" t="s">
        <v>65</v>
      </c>
      <c r="I5" s="90" t="s">
        <v>66</v>
      </c>
      <c r="J5" s="18" t="s">
        <v>67</v>
      </c>
      <c r="K5" s="90" t="s">
        <v>64</v>
      </c>
      <c r="L5" s="90" t="s">
        <v>65</v>
      </c>
      <c r="M5" s="90" t="s">
        <v>66</v>
      </c>
      <c r="N5" s="18" t="s">
        <v>68</v>
      </c>
      <c r="O5" s="90" t="s">
        <v>64</v>
      </c>
      <c r="P5" s="90" t="s">
        <v>65</v>
      </c>
      <c r="Q5" s="90" t="s">
        <v>66</v>
      </c>
      <c r="R5" s="122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22"/>
      <c r="B6" s="122"/>
      <c r="C6" s="52" t="s">
        <v>34</v>
      </c>
      <c r="D6" s="45"/>
      <c r="E6" s="45"/>
      <c r="F6" s="45">
        <v>14</v>
      </c>
      <c r="G6" s="122"/>
      <c r="H6" s="122"/>
      <c r="I6" s="122"/>
      <c r="J6" s="45">
        <v>28</v>
      </c>
      <c r="K6" s="122"/>
      <c r="L6" s="122"/>
      <c r="M6" s="122"/>
      <c r="N6" s="45">
        <v>28</v>
      </c>
      <c r="O6" s="122"/>
      <c r="P6" s="122"/>
      <c r="Q6" s="122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53"/>
      <c r="E7" s="53"/>
      <c r="F7" s="80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80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80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80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53"/>
      <c r="E8" s="53"/>
      <c r="F8" s="80"/>
      <c r="G8" s="49">
        <f t="shared" si="0"/>
        <v>0</v>
      </c>
      <c r="H8" s="49">
        <f t="shared" si="1"/>
        <v>0</v>
      </c>
      <c r="I8" s="49">
        <f t="shared" si="2"/>
        <v>0</v>
      </c>
      <c r="J8" s="80"/>
      <c r="K8" s="49">
        <f t="shared" si="3"/>
        <v>0</v>
      </c>
      <c r="L8" s="49">
        <f t="shared" si="4"/>
        <v>0</v>
      </c>
      <c r="M8" s="49">
        <f t="shared" si="5"/>
        <v>0</v>
      </c>
      <c r="N8" s="80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53"/>
      <c r="E9" s="53"/>
      <c r="F9" s="80"/>
      <c r="G9" s="49">
        <f t="shared" si="0"/>
        <v>0</v>
      </c>
      <c r="H9" s="49">
        <f t="shared" si="1"/>
        <v>0</v>
      </c>
      <c r="I9" s="49">
        <f t="shared" si="2"/>
        <v>0</v>
      </c>
      <c r="J9" s="80"/>
      <c r="K9" s="49">
        <f t="shared" si="3"/>
        <v>0</v>
      </c>
      <c r="L9" s="49">
        <f t="shared" si="4"/>
        <v>0</v>
      </c>
      <c r="M9" s="49">
        <f t="shared" si="5"/>
        <v>0</v>
      </c>
      <c r="N9" s="80"/>
      <c r="O9" s="49">
        <f t="shared" si="6"/>
        <v>0</v>
      </c>
      <c r="P9" s="49">
        <f t="shared" si="7"/>
        <v>0</v>
      </c>
      <c r="Q9" s="49">
        <f t="shared" si="8"/>
        <v>0</v>
      </c>
      <c r="R9" s="80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53"/>
      <c r="E10" s="53"/>
      <c r="F10" s="80"/>
      <c r="G10" s="49">
        <f t="shared" si="0"/>
        <v>0</v>
      </c>
      <c r="H10" s="49">
        <f t="shared" si="1"/>
        <v>0</v>
      </c>
      <c r="I10" s="49">
        <f t="shared" si="2"/>
        <v>0</v>
      </c>
      <c r="J10" s="80"/>
      <c r="K10" s="49">
        <f t="shared" si="3"/>
        <v>0</v>
      </c>
      <c r="L10" s="49">
        <f t="shared" si="4"/>
        <v>0</v>
      </c>
      <c r="M10" s="49">
        <f t="shared" si="5"/>
        <v>0</v>
      </c>
      <c r="N10" s="80"/>
      <c r="O10" s="49">
        <f t="shared" si="6"/>
        <v>0</v>
      </c>
      <c r="P10" s="49">
        <f t="shared" si="7"/>
        <v>0</v>
      </c>
      <c r="Q10" s="49">
        <f t="shared" si="8"/>
        <v>0</v>
      </c>
      <c r="R10" s="80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53"/>
      <c r="E11" s="53"/>
      <c r="F11" s="80"/>
      <c r="G11" s="49">
        <f t="shared" si="0"/>
        <v>0</v>
      </c>
      <c r="H11" s="49">
        <f t="shared" si="1"/>
        <v>0</v>
      </c>
      <c r="I11" s="49">
        <f t="shared" si="2"/>
        <v>0</v>
      </c>
      <c r="J11" s="80"/>
      <c r="K11" s="49">
        <f t="shared" si="3"/>
        <v>0</v>
      </c>
      <c r="L11" s="49">
        <f t="shared" si="4"/>
        <v>0</v>
      </c>
      <c r="M11" s="49">
        <f t="shared" si="5"/>
        <v>0</v>
      </c>
      <c r="N11" s="80"/>
      <c r="O11" s="49">
        <f t="shared" si="6"/>
        <v>0</v>
      </c>
      <c r="P11" s="49">
        <f t="shared" si="7"/>
        <v>0</v>
      </c>
      <c r="Q11" s="49">
        <f t="shared" si="8"/>
        <v>0</v>
      </c>
      <c r="R11" s="80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53"/>
      <c r="E12" s="53"/>
      <c r="F12" s="80"/>
      <c r="G12" s="49">
        <f t="shared" si="0"/>
        <v>0</v>
      </c>
      <c r="H12" s="49">
        <f t="shared" si="1"/>
        <v>0</v>
      </c>
      <c r="I12" s="49">
        <f t="shared" si="2"/>
        <v>0</v>
      </c>
      <c r="J12" s="80"/>
      <c r="K12" s="49">
        <f t="shared" si="3"/>
        <v>0</v>
      </c>
      <c r="L12" s="49">
        <f t="shared" si="4"/>
        <v>0</v>
      </c>
      <c r="M12" s="49">
        <f t="shared" si="5"/>
        <v>0</v>
      </c>
      <c r="N12" s="80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53"/>
      <c r="E13" s="53"/>
      <c r="F13" s="80"/>
      <c r="G13" s="49">
        <f t="shared" si="0"/>
        <v>0</v>
      </c>
      <c r="H13" s="49">
        <f t="shared" si="1"/>
        <v>0</v>
      </c>
      <c r="I13" s="49">
        <f t="shared" si="2"/>
        <v>0</v>
      </c>
      <c r="J13" s="80"/>
      <c r="K13" s="49">
        <f t="shared" si="3"/>
        <v>0</v>
      </c>
      <c r="L13" s="49">
        <f t="shared" si="4"/>
        <v>0</v>
      </c>
      <c r="M13" s="49">
        <f t="shared" si="5"/>
        <v>0</v>
      </c>
      <c r="N13" s="80"/>
      <c r="O13" s="49">
        <f t="shared" si="6"/>
        <v>0</v>
      </c>
      <c r="P13" s="49">
        <f t="shared" si="7"/>
        <v>0</v>
      </c>
      <c r="Q13" s="49">
        <f t="shared" si="8"/>
        <v>0</v>
      </c>
      <c r="R13" s="80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53"/>
      <c r="E14" s="53"/>
      <c r="F14" s="80"/>
      <c r="G14" s="49">
        <f t="shared" si="0"/>
        <v>0</v>
      </c>
      <c r="H14" s="49">
        <f t="shared" si="1"/>
        <v>0</v>
      </c>
      <c r="I14" s="49">
        <f t="shared" si="2"/>
        <v>0</v>
      </c>
      <c r="J14" s="80"/>
      <c r="K14" s="49">
        <f t="shared" si="3"/>
        <v>0</v>
      </c>
      <c r="L14" s="49">
        <f t="shared" si="4"/>
        <v>0</v>
      </c>
      <c r="M14" s="49">
        <f t="shared" si="5"/>
        <v>0</v>
      </c>
      <c r="N14" s="80"/>
      <c r="O14" s="49">
        <f t="shared" si="6"/>
        <v>0</v>
      </c>
      <c r="P14" s="49">
        <f t="shared" si="7"/>
        <v>0</v>
      </c>
      <c r="Q14" s="49">
        <f t="shared" si="8"/>
        <v>0</v>
      </c>
      <c r="R14" s="80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53"/>
      <c r="E15" s="53"/>
      <c r="F15" s="80"/>
      <c r="G15" s="49">
        <f t="shared" si="0"/>
        <v>0</v>
      </c>
      <c r="H15" s="49">
        <f t="shared" si="1"/>
        <v>0</v>
      </c>
      <c r="I15" s="49">
        <f t="shared" si="2"/>
        <v>0</v>
      </c>
      <c r="J15" s="80"/>
      <c r="K15" s="49">
        <f t="shared" si="3"/>
        <v>0</v>
      </c>
      <c r="L15" s="49">
        <f t="shared" si="4"/>
        <v>0</v>
      </c>
      <c r="M15" s="49">
        <f t="shared" si="5"/>
        <v>0</v>
      </c>
      <c r="N15" s="80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53"/>
      <c r="E16" s="53"/>
      <c r="F16" s="80"/>
      <c r="G16" s="49">
        <f t="shared" si="0"/>
        <v>0</v>
      </c>
      <c r="H16" s="49">
        <f t="shared" si="1"/>
        <v>0</v>
      </c>
      <c r="I16" s="49">
        <f t="shared" si="2"/>
        <v>0</v>
      </c>
      <c r="J16" s="80"/>
      <c r="K16" s="49">
        <f t="shared" si="3"/>
        <v>0</v>
      </c>
      <c r="L16" s="49">
        <f t="shared" si="4"/>
        <v>0</v>
      </c>
      <c r="M16" s="49">
        <f t="shared" si="5"/>
        <v>0</v>
      </c>
      <c r="N16" s="80"/>
      <c r="O16" s="49">
        <f t="shared" si="6"/>
        <v>0</v>
      </c>
      <c r="P16" s="49">
        <f t="shared" si="7"/>
        <v>0</v>
      </c>
      <c r="Q16" s="49">
        <f t="shared" si="8"/>
        <v>0</v>
      </c>
      <c r="R16" s="80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53"/>
      <c r="E18" s="53"/>
      <c r="F18" s="80"/>
      <c r="G18" s="49">
        <f t="shared" si="0"/>
        <v>0</v>
      </c>
      <c r="H18" s="49">
        <f t="shared" si="1"/>
        <v>0</v>
      </c>
      <c r="I18" s="49">
        <f t="shared" si="2"/>
        <v>0</v>
      </c>
      <c r="J18" s="80"/>
      <c r="K18" s="49">
        <f t="shared" si="3"/>
        <v>0</v>
      </c>
      <c r="L18" s="49">
        <f t="shared" si="4"/>
        <v>0</v>
      </c>
      <c r="M18" s="49">
        <f t="shared" si="5"/>
        <v>0</v>
      </c>
      <c r="N18" s="80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53"/>
      <c r="E20" s="53"/>
      <c r="F20" s="80"/>
      <c r="G20" s="49">
        <f t="shared" si="0"/>
        <v>0</v>
      </c>
      <c r="H20" s="49">
        <f t="shared" si="1"/>
        <v>0</v>
      </c>
      <c r="I20" s="49">
        <f t="shared" si="2"/>
        <v>0</v>
      </c>
      <c r="J20" s="80"/>
      <c r="K20" s="49">
        <f t="shared" si="3"/>
        <v>0</v>
      </c>
      <c r="L20" s="49">
        <f t="shared" si="4"/>
        <v>0</v>
      </c>
      <c r="M20" s="49">
        <f t="shared" si="5"/>
        <v>0</v>
      </c>
      <c r="N20" s="80"/>
      <c r="O20" s="49">
        <f t="shared" si="6"/>
        <v>0</v>
      </c>
      <c r="P20" s="49">
        <f t="shared" si="7"/>
        <v>0</v>
      </c>
      <c r="Q20" s="49">
        <f t="shared" si="8"/>
        <v>0</v>
      </c>
      <c r="R20" s="80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53"/>
      <c r="E21" s="53"/>
      <c r="F21" s="80"/>
      <c r="G21" s="49">
        <f t="shared" si="0"/>
        <v>0</v>
      </c>
      <c r="H21" s="49">
        <f t="shared" si="1"/>
        <v>0</v>
      </c>
      <c r="I21" s="49">
        <f t="shared" si="2"/>
        <v>0</v>
      </c>
      <c r="J21" s="80"/>
      <c r="K21" s="49">
        <f t="shared" si="3"/>
        <v>0</v>
      </c>
      <c r="L21" s="49">
        <f t="shared" si="4"/>
        <v>0</v>
      </c>
      <c r="M21" s="49">
        <f t="shared" si="5"/>
        <v>0</v>
      </c>
      <c r="N21" s="80"/>
      <c r="O21" s="49">
        <f t="shared" si="6"/>
        <v>0</v>
      </c>
      <c r="P21" s="49">
        <f t="shared" si="7"/>
        <v>0</v>
      </c>
      <c r="Q21" s="49">
        <f t="shared" si="8"/>
        <v>0</v>
      </c>
      <c r="R21" s="80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53"/>
      <c r="E22" s="53"/>
      <c r="F22" s="80"/>
      <c r="G22" s="49">
        <f t="shared" si="0"/>
        <v>0</v>
      </c>
      <c r="H22" s="49">
        <f t="shared" si="1"/>
        <v>0</v>
      </c>
      <c r="I22" s="49">
        <f t="shared" si="2"/>
        <v>0</v>
      </c>
      <c r="J22" s="80"/>
      <c r="K22" s="49">
        <f t="shared" si="3"/>
        <v>0</v>
      </c>
      <c r="L22" s="49">
        <f t="shared" si="4"/>
        <v>0</v>
      </c>
      <c r="M22" s="49">
        <f t="shared" si="5"/>
        <v>0</v>
      </c>
      <c r="N22" s="80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53"/>
      <c r="E23" s="53"/>
      <c r="F23" s="80"/>
      <c r="G23" s="49">
        <f t="shared" si="0"/>
        <v>0</v>
      </c>
      <c r="H23" s="49">
        <f t="shared" si="1"/>
        <v>0</v>
      </c>
      <c r="I23" s="49">
        <f t="shared" si="2"/>
        <v>0</v>
      </c>
      <c r="J23" s="80"/>
      <c r="K23" s="49">
        <f t="shared" si="3"/>
        <v>0</v>
      </c>
      <c r="L23" s="49">
        <f t="shared" si="4"/>
        <v>0</v>
      </c>
      <c r="M23" s="49">
        <f t="shared" si="5"/>
        <v>0</v>
      </c>
      <c r="N23" s="80"/>
      <c r="O23" s="49">
        <f t="shared" si="6"/>
        <v>0</v>
      </c>
      <c r="P23" s="49">
        <f t="shared" si="7"/>
        <v>0</v>
      </c>
      <c r="Q23" s="49">
        <f t="shared" si="8"/>
        <v>0</v>
      </c>
      <c r="R23" s="80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53"/>
      <c r="E24" s="53"/>
      <c r="F24" s="80"/>
      <c r="G24" s="49">
        <f t="shared" si="0"/>
        <v>0</v>
      </c>
      <c r="H24" s="49">
        <f t="shared" si="1"/>
        <v>0</v>
      </c>
      <c r="I24" s="49">
        <f t="shared" si="2"/>
        <v>0</v>
      </c>
      <c r="J24" s="80"/>
      <c r="K24" s="49">
        <f t="shared" si="3"/>
        <v>0</v>
      </c>
      <c r="L24" s="49">
        <f t="shared" si="4"/>
        <v>0</v>
      </c>
      <c r="M24" s="49">
        <f t="shared" si="5"/>
        <v>0</v>
      </c>
      <c r="N24" s="80"/>
      <c r="O24" s="49">
        <f t="shared" si="6"/>
        <v>0</v>
      </c>
      <c r="P24" s="49">
        <f t="shared" si="7"/>
        <v>0</v>
      </c>
      <c r="Q24" s="49">
        <f t="shared" si="8"/>
        <v>0</v>
      </c>
      <c r="R24" s="80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53"/>
      <c r="E25" s="53"/>
      <c r="F25" s="80"/>
      <c r="G25" s="49">
        <f t="shared" si="0"/>
        <v>0</v>
      </c>
      <c r="H25" s="49">
        <f t="shared" si="1"/>
        <v>0</v>
      </c>
      <c r="I25" s="49">
        <f t="shared" si="2"/>
        <v>0</v>
      </c>
      <c r="J25" s="80"/>
      <c r="K25" s="49">
        <f t="shared" si="3"/>
        <v>0</v>
      </c>
      <c r="L25" s="49">
        <f t="shared" si="4"/>
        <v>0</v>
      </c>
      <c r="M25" s="49">
        <f t="shared" si="5"/>
        <v>0</v>
      </c>
      <c r="N25" s="80"/>
      <c r="O25" s="49">
        <f t="shared" si="6"/>
        <v>0</v>
      </c>
      <c r="P25" s="49">
        <f t="shared" si="7"/>
        <v>0</v>
      </c>
      <c r="Q25" s="49">
        <f t="shared" si="8"/>
        <v>0</v>
      </c>
      <c r="R25" s="80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53"/>
      <c r="E26" s="53"/>
      <c r="F26" s="80"/>
      <c r="G26" s="49">
        <f t="shared" si="0"/>
        <v>0</v>
      </c>
      <c r="H26" s="49">
        <f t="shared" si="1"/>
        <v>0</v>
      </c>
      <c r="I26" s="49">
        <f t="shared" si="2"/>
        <v>0</v>
      </c>
      <c r="J26" s="80"/>
      <c r="K26" s="49">
        <f t="shared" si="3"/>
        <v>0</v>
      </c>
      <c r="L26" s="49">
        <f t="shared" si="4"/>
        <v>0</v>
      </c>
      <c r="M26" s="49">
        <f t="shared" si="5"/>
        <v>0</v>
      </c>
      <c r="N26" s="80"/>
      <c r="O26" s="49">
        <f t="shared" si="6"/>
        <v>0</v>
      </c>
      <c r="P26" s="49">
        <f t="shared" si="7"/>
        <v>0</v>
      </c>
      <c r="Q26" s="49">
        <f t="shared" si="8"/>
        <v>0</v>
      </c>
      <c r="R26" s="80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53"/>
      <c r="E27" s="53"/>
      <c r="F27" s="80"/>
      <c r="G27" s="49">
        <f t="shared" si="0"/>
        <v>0</v>
      </c>
      <c r="H27" s="49">
        <f t="shared" si="1"/>
        <v>0</v>
      </c>
      <c r="I27" s="49">
        <f t="shared" si="2"/>
        <v>0</v>
      </c>
      <c r="J27" s="80"/>
      <c r="K27" s="49">
        <f t="shared" si="3"/>
        <v>0</v>
      </c>
      <c r="L27" s="49">
        <f t="shared" si="4"/>
        <v>0</v>
      </c>
      <c r="M27" s="49">
        <f t="shared" si="5"/>
        <v>0</v>
      </c>
      <c r="N27" s="80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53"/>
      <c r="E29" s="53"/>
      <c r="F29" s="80"/>
      <c r="G29" s="49">
        <f t="shared" si="0"/>
        <v>0</v>
      </c>
      <c r="H29" s="49">
        <f t="shared" si="1"/>
        <v>0</v>
      </c>
      <c r="I29" s="49">
        <f t="shared" si="2"/>
        <v>0</v>
      </c>
      <c r="J29" s="80"/>
      <c r="K29" s="49">
        <f t="shared" si="3"/>
        <v>0</v>
      </c>
      <c r="L29" s="49">
        <f t="shared" si="4"/>
        <v>0</v>
      </c>
      <c r="M29" s="49">
        <f t="shared" si="5"/>
        <v>0</v>
      </c>
      <c r="N29" s="80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53"/>
      <c r="E30" s="53"/>
      <c r="F30" s="80"/>
      <c r="G30" s="49">
        <f t="shared" si="0"/>
        <v>0</v>
      </c>
      <c r="H30" s="49">
        <f t="shared" si="1"/>
        <v>0</v>
      </c>
      <c r="I30" s="49">
        <f t="shared" si="2"/>
        <v>0</v>
      </c>
      <c r="J30" s="80"/>
      <c r="K30" s="49">
        <f t="shared" si="3"/>
        <v>0</v>
      </c>
      <c r="L30" s="49">
        <f t="shared" si="4"/>
        <v>0</v>
      </c>
      <c r="M30" s="49">
        <f t="shared" si="5"/>
        <v>0</v>
      </c>
      <c r="N30" s="80"/>
      <c r="O30" s="49">
        <f t="shared" si="6"/>
        <v>0</v>
      </c>
      <c r="P30" s="49">
        <f t="shared" si="7"/>
        <v>0</v>
      </c>
      <c r="Q30" s="49">
        <f t="shared" si="8"/>
        <v>0</v>
      </c>
      <c r="R30" s="80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53"/>
      <c r="E31" s="53"/>
      <c r="F31" s="80"/>
      <c r="G31" s="49">
        <f t="shared" si="0"/>
        <v>0</v>
      </c>
      <c r="H31" s="49">
        <f t="shared" si="1"/>
        <v>0</v>
      </c>
      <c r="I31" s="49">
        <f t="shared" si="2"/>
        <v>0</v>
      </c>
      <c r="J31" s="80"/>
      <c r="K31" s="49">
        <f t="shared" si="3"/>
        <v>0</v>
      </c>
      <c r="L31" s="49">
        <f t="shared" si="4"/>
        <v>0</v>
      </c>
      <c r="M31" s="49">
        <f t="shared" si="5"/>
        <v>0</v>
      </c>
      <c r="N31" s="80"/>
      <c r="O31" s="49">
        <f t="shared" si="6"/>
        <v>0</v>
      </c>
      <c r="P31" s="49">
        <f t="shared" si="7"/>
        <v>0</v>
      </c>
      <c r="Q31" s="49">
        <f t="shared" si="8"/>
        <v>0</v>
      </c>
      <c r="R31" s="80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53"/>
      <c r="E33" s="53"/>
      <c r="F33" s="80"/>
      <c r="G33" s="49">
        <f t="shared" si="0"/>
        <v>0</v>
      </c>
      <c r="H33" s="49">
        <f t="shared" si="1"/>
        <v>0</v>
      </c>
      <c r="I33" s="49">
        <f t="shared" si="2"/>
        <v>0</v>
      </c>
      <c r="J33" s="80"/>
      <c r="K33" s="49">
        <f t="shared" si="3"/>
        <v>0</v>
      </c>
      <c r="L33" s="49">
        <f t="shared" si="4"/>
        <v>0</v>
      </c>
      <c r="M33" s="49">
        <f t="shared" si="5"/>
        <v>0</v>
      </c>
      <c r="N33" s="80"/>
      <c r="O33" s="49">
        <f t="shared" si="6"/>
        <v>0</v>
      </c>
      <c r="P33" s="49">
        <f t="shared" si="7"/>
        <v>0</v>
      </c>
      <c r="Q33" s="49">
        <f t="shared" si="8"/>
        <v>0</v>
      </c>
      <c r="R33" s="80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53"/>
      <c r="E34" s="53"/>
      <c r="F34" s="80"/>
      <c r="G34" s="49">
        <f t="shared" si="0"/>
        <v>0</v>
      </c>
      <c r="H34" s="49">
        <f t="shared" si="1"/>
        <v>0</v>
      </c>
      <c r="I34" s="49">
        <f t="shared" si="2"/>
        <v>0</v>
      </c>
      <c r="J34" s="80"/>
      <c r="K34" s="49">
        <f t="shared" si="3"/>
        <v>0</v>
      </c>
      <c r="L34" s="49">
        <f t="shared" si="4"/>
        <v>0</v>
      </c>
      <c r="M34" s="49">
        <f t="shared" si="5"/>
        <v>0</v>
      </c>
      <c r="N34" s="80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53"/>
      <c r="E35" s="53"/>
      <c r="F35" s="80"/>
      <c r="G35" s="49">
        <f t="shared" si="0"/>
        <v>0</v>
      </c>
      <c r="H35" s="49">
        <f t="shared" si="1"/>
        <v>0</v>
      </c>
      <c r="I35" s="49">
        <f t="shared" si="2"/>
        <v>0</v>
      </c>
      <c r="J35" s="80"/>
      <c r="K35" s="49">
        <f t="shared" si="3"/>
        <v>0</v>
      </c>
      <c r="L35" s="49">
        <f t="shared" si="4"/>
        <v>0</v>
      </c>
      <c r="M35" s="49">
        <f t="shared" si="5"/>
        <v>0</v>
      </c>
      <c r="N35" s="80"/>
      <c r="O35" s="49">
        <f t="shared" si="6"/>
        <v>0</v>
      </c>
      <c r="P35" s="49">
        <f t="shared" si="7"/>
        <v>0</v>
      </c>
      <c r="Q35" s="49">
        <f t="shared" si="8"/>
        <v>0</v>
      </c>
      <c r="R35" s="80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53"/>
      <c r="E37" s="53"/>
      <c r="F37" s="80"/>
      <c r="G37" s="49">
        <f t="shared" si="0"/>
        <v>0</v>
      </c>
      <c r="H37" s="49">
        <f t="shared" si="1"/>
        <v>0</v>
      </c>
      <c r="I37" s="49">
        <f t="shared" si="2"/>
        <v>0</v>
      </c>
      <c r="J37" s="80"/>
      <c r="K37" s="49">
        <f t="shared" si="3"/>
        <v>0</v>
      </c>
      <c r="L37" s="49">
        <f t="shared" si="4"/>
        <v>0</v>
      </c>
      <c r="M37" s="49">
        <f t="shared" si="5"/>
        <v>0</v>
      </c>
      <c r="N37" s="80"/>
      <c r="O37" s="49">
        <f t="shared" si="6"/>
        <v>0</v>
      </c>
      <c r="P37" s="49">
        <f t="shared" si="7"/>
        <v>0</v>
      </c>
      <c r="Q37" s="49">
        <f t="shared" si="8"/>
        <v>0</v>
      </c>
      <c r="R37" s="80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53"/>
      <c r="E38" s="53"/>
      <c r="F38" s="80"/>
      <c r="G38" s="49">
        <f t="shared" si="0"/>
        <v>0</v>
      </c>
      <c r="H38" s="49">
        <f t="shared" si="1"/>
        <v>0</v>
      </c>
      <c r="I38" s="49">
        <f t="shared" si="2"/>
        <v>0</v>
      </c>
      <c r="J38" s="80"/>
      <c r="K38" s="49">
        <f t="shared" si="3"/>
        <v>0</v>
      </c>
      <c r="L38" s="49">
        <f t="shared" si="4"/>
        <v>0</v>
      </c>
      <c r="M38" s="49">
        <f t="shared" si="5"/>
        <v>0</v>
      </c>
      <c r="N38" s="80"/>
      <c r="O38" s="49">
        <f t="shared" si="6"/>
        <v>0</v>
      </c>
      <c r="P38" s="49">
        <f t="shared" si="7"/>
        <v>0</v>
      </c>
      <c r="Q38" s="49">
        <f t="shared" si="8"/>
        <v>0</v>
      </c>
      <c r="R38" s="80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53"/>
      <c r="E39" s="53"/>
      <c r="F39" s="80"/>
      <c r="G39" s="49">
        <f t="shared" si="0"/>
        <v>0</v>
      </c>
      <c r="H39" s="49">
        <f t="shared" si="1"/>
        <v>0</v>
      </c>
      <c r="I39" s="49">
        <f t="shared" si="2"/>
        <v>0</v>
      </c>
      <c r="J39" s="80"/>
      <c r="K39" s="49">
        <f t="shared" si="3"/>
        <v>0</v>
      </c>
      <c r="L39" s="49">
        <f t="shared" si="4"/>
        <v>0</v>
      </c>
      <c r="M39" s="49">
        <f t="shared" si="5"/>
        <v>0</v>
      </c>
      <c r="N39" s="80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53"/>
      <c r="E40" s="53"/>
      <c r="F40" s="80"/>
      <c r="G40" s="49">
        <f t="shared" si="0"/>
        <v>0</v>
      </c>
      <c r="H40" s="49">
        <f t="shared" si="1"/>
        <v>0</v>
      </c>
      <c r="I40" s="49">
        <f t="shared" si="2"/>
        <v>0</v>
      </c>
      <c r="J40" s="80"/>
      <c r="K40" s="49">
        <f t="shared" si="3"/>
        <v>0</v>
      </c>
      <c r="L40" s="49">
        <f t="shared" si="4"/>
        <v>0</v>
      </c>
      <c r="M40" s="49">
        <f t="shared" si="5"/>
        <v>0</v>
      </c>
      <c r="N40" s="80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53"/>
      <c r="E41" s="53"/>
      <c r="F41" s="80"/>
      <c r="G41" s="49">
        <f t="shared" si="0"/>
        <v>0</v>
      </c>
      <c r="H41" s="49">
        <f t="shared" si="1"/>
        <v>0</v>
      </c>
      <c r="I41" s="49">
        <f t="shared" si="2"/>
        <v>0</v>
      </c>
      <c r="J41" s="80"/>
      <c r="K41" s="49">
        <f t="shared" si="3"/>
        <v>0</v>
      </c>
      <c r="L41" s="49">
        <f t="shared" si="4"/>
        <v>0</v>
      </c>
      <c r="M41" s="49">
        <f t="shared" si="5"/>
        <v>0</v>
      </c>
      <c r="N41" s="80"/>
      <c r="O41" s="49">
        <f t="shared" si="6"/>
        <v>0</v>
      </c>
      <c r="P41" s="49">
        <f t="shared" si="7"/>
        <v>0</v>
      </c>
      <c r="Q41" s="49">
        <f t="shared" si="8"/>
        <v>0</v>
      </c>
      <c r="R41" s="80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53"/>
      <c r="E42" s="53"/>
      <c r="F42" s="80"/>
      <c r="G42" s="49">
        <f t="shared" si="0"/>
        <v>0</v>
      </c>
      <c r="H42" s="49">
        <f t="shared" si="1"/>
        <v>0</v>
      </c>
      <c r="I42" s="49">
        <f t="shared" si="2"/>
        <v>0</v>
      </c>
      <c r="J42" s="80"/>
      <c r="K42" s="49">
        <f t="shared" si="3"/>
        <v>0</v>
      </c>
      <c r="L42" s="49">
        <f t="shared" si="4"/>
        <v>0</v>
      </c>
      <c r="M42" s="49">
        <f t="shared" si="5"/>
        <v>0</v>
      </c>
      <c r="N42" s="80"/>
      <c r="O42" s="49">
        <f t="shared" si="6"/>
        <v>0</v>
      </c>
      <c r="P42" s="49">
        <f t="shared" si="7"/>
        <v>0</v>
      </c>
      <c r="Q42" s="49">
        <f t="shared" si="8"/>
        <v>0</v>
      </c>
      <c r="R42" s="80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53"/>
      <c r="E43" s="53"/>
      <c r="F43" s="80"/>
      <c r="G43" s="49">
        <f t="shared" si="0"/>
        <v>0</v>
      </c>
      <c r="H43" s="49">
        <f t="shared" si="1"/>
        <v>0</v>
      </c>
      <c r="I43" s="49">
        <f t="shared" si="2"/>
        <v>0</v>
      </c>
      <c r="J43" s="80"/>
      <c r="K43" s="49">
        <f t="shared" si="3"/>
        <v>0</v>
      </c>
      <c r="L43" s="49">
        <f t="shared" si="4"/>
        <v>0</v>
      </c>
      <c r="M43" s="49">
        <f t="shared" si="5"/>
        <v>0</v>
      </c>
      <c r="N43" s="80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53"/>
      <c r="E44" s="53"/>
      <c r="F44" s="80"/>
      <c r="G44" s="49">
        <f t="shared" si="0"/>
        <v>0</v>
      </c>
      <c r="H44" s="49">
        <f t="shared" si="1"/>
        <v>0</v>
      </c>
      <c r="I44" s="49">
        <f t="shared" si="2"/>
        <v>0</v>
      </c>
      <c r="J44" s="80"/>
      <c r="K44" s="49">
        <f t="shared" si="3"/>
        <v>0</v>
      </c>
      <c r="L44" s="49">
        <f t="shared" si="4"/>
        <v>0</v>
      </c>
      <c r="M44" s="49">
        <f t="shared" si="5"/>
        <v>0</v>
      </c>
      <c r="N44" s="80"/>
      <c r="O44" s="49">
        <f t="shared" si="6"/>
        <v>0</v>
      </c>
      <c r="P44" s="49">
        <f t="shared" si="7"/>
        <v>0</v>
      </c>
      <c r="Q44" s="49">
        <f t="shared" si="8"/>
        <v>0</v>
      </c>
      <c r="R44" s="80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53"/>
      <c r="E45" s="53"/>
      <c r="F45" s="80"/>
      <c r="G45" s="49">
        <f t="shared" si="0"/>
        <v>0</v>
      </c>
      <c r="H45" s="49">
        <f t="shared" si="1"/>
        <v>0</v>
      </c>
      <c r="I45" s="49">
        <f t="shared" si="2"/>
        <v>0</v>
      </c>
      <c r="J45" s="80"/>
      <c r="K45" s="49">
        <f t="shared" si="3"/>
        <v>0</v>
      </c>
      <c r="L45" s="49">
        <f t="shared" si="4"/>
        <v>0</v>
      </c>
      <c r="M45" s="49">
        <f t="shared" si="5"/>
        <v>0</v>
      </c>
      <c r="N45" s="80"/>
      <c r="O45" s="49">
        <f t="shared" si="6"/>
        <v>0</v>
      </c>
      <c r="P45" s="49">
        <f t="shared" si="7"/>
        <v>0</v>
      </c>
      <c r="Q45" s="49">
        <f t="shared" si="8"/>
        <v>0</v>
      </c>
      <c r="R45" s="80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53"/>
      <c r="E46" s="53"/>
      <c r="F46" s="80"/>
      <c r="G46" s="49">
        <f t="shared" si="0"/>
        <v>0</v>
      </c>
      <c r="H46" s="49">
        <f t="shared" si="1"/>
        <v>0</v>
      </c>
      <c r="I46" s="49">
        <f t="shared" si="2"/>
        <v>0</v>
      </c>
      <c r="J46" s="80"/>
      <c r="K46" s="49">
        <f t="shared" si="3"/>
        <v>0</v>
      </c>
      <c r="L46" s="49">
        <f t="shared" si="4"/>
        <v>0</v>
      </c>
      <c r="M46" s="49">
        <f t="shared" si="5"/>
        <v>0</v>
      </c>
      <c r="N46" s="80"/>
      <c r="O46" s="49">
        <f t="shared" si="6"/>
        <v>0</v>
      </c>
      <c r="P46" s="49">
        <f t="shared" si="7"/>
        <v>0</v>
      </c>
      <c r="Q46" s="49">
        <f t="shared" si="8"/>
        <v>0</v>
      </c>
      <c r="R46" s="80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53"/>
      <c r="E47" s="53"/>
      <c r="F47" s="80"/>
      <c r="G47" s="49">
        <f t="shared" si="0"/>
        <v>0</v>
      </c>
      <c r="H47" s="49">
        <f t="shared" si="1"/>
        <v>0</v>
      </c>
      <c r="I47" s="49">
        <f t="shared" si="2"/>
        <v>0</v>
      </c>
      <c r="J47" s="80"/>
      <c r="K47" s="49">
        <f t="shared" si="3"/>
        <v>0</v>
      </c>
      <c r="L47" s="49">
        <f t="shared" si="4"/>
        <v>0</v>
      </c>
      <c r="M47" s="49">
        <f t="shared" si="5"/>
        <v>0</v>
      </c>
      <c r="N47" s="80"/>
      <c r="O47" s="49">
        <f t="shared" si="6"/>
        <v>0</v>
      </c>
      <c r="P47" s="49">
        <f t="shared" si="7"/>
        <v>0</v>
      </c>
      <c r="Q47" s="49">
        <f t="shared" si="8"/>
        <v>0</v>
      </c>
      <c r="R47" s="80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53"/>
      <c r="E48" s="53"/>
      <c r="F48" s="80"/>
      <c r="G48" s="49">
        <f t="shared" si="0"/>
        <v>0</v>
      </c>
      <c r="H48" s="49">
        <f t="shared" si="1"/>
        <v>0</v>
      </c>
      <c r="I48" s="49">
        <f t="shared" si="2"/>
        <v>0</v>
      </c>
      <c r="J48" s="80"/>
      <c r="K48" s="49">
        <f t="shared" si="3"/>
        <v>0</v>
      </c>
      <c r="L48" s="49">
        <f t="shared" si="4"/>
        <v>0</v>
      </c>
      <c r="M48" s="49">
        <f t="shared" si="5"/>
        <v>0</v>
      </c>
      <c r="N48" s="80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53"/>
      <c r="E49" s="53"/>
      <c r="F49" s="80"/>
      <c r="G49" s="49">
        <f t="shared" si="0"/>
        <v>0</v>
      </c>
      <c r="H49" s="49">
        <f t="shared" si="1"/>
        <v>0</v>
      </c>
      <c r="I49" s="49">
        <f t="shared" si="2"/>
        <v>0</v>
      </c>
      <c r="J49" s="80"/>
      <c r="K49" s="49">
        <f t="shared" si="3"/>
        <v>0</v>
      </c>
      <c r="L49" s="49">
        <f t="shared" si="4"/>
        <v>0</v>
      </c>
      <c r="M49" s="49">
        <f t="shared" si="5"/>
        <v>0</v>
      </c>
      <c r="N49" s="80"/>
      <c r="O49" s="49">
        <f t="shared" si="6"/>
        <v>0</v>
      </c>
      <c r="P49" s="49">
        <f t="shared" si="7"/>
        <v>0</v>
      </c>
      <c r="Q49" s="49">
        <f t="shared" si="8"/>
        <v>0</v>
      </c>
      <c r="R49" s="80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53"/>
      <c r="E50" s="53"/>
      <c r="F50" s="80"/>
      <c r="G50" s="49">
        <f t="shared" si="0"/>
        <v>0</v>
      </c>
      <c r="H50" s="49">
        <f t="shared" si="1"/>
        <v>0</v>
      </c>
      <c r="I50" s="49">
        <f t="shared" si="2"/>
        <v>0</v>
      </c>
      <c r="J50" s="80"/>
      <c r="K50" s="49">
        <f t="shared" si="3"/>
        <v>0</v>
      </c>
      <c r="L50" s="49">
        <f t="shared" si="4"/>
        <v>0</v>
      </c>
      <c r="M50" s="49">
        <f t="shared" si="5"/>
        <v>0</v>
      </c>
      <c r="N50" s="80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53"/>
      <c r="E51" s="53"/>
      <c r="F51" s="80"/>
      <c r="G51" s="49">
        <f t="shared" si="0"/>
        <v>0</v>
      </c>
      <c r="H51" s="49">
        <f t="shared" si="1"/>
        <v>0</v>
      </c>
      <c r="I51" s="49">
        <f t="shared" si="2"/>
        <v>0</v>
      </c>
      <c r="J51" s="80"/>
      <c r="K51" s="49">
        <f t="shared" si="3"/>
        <v>0</v>
      </c>
      <c r="L51" s="49">
        <f t="shared" si="4"/>
        <v>0</v>
      </c>
      <c r="M51" s="49">
        <f t="shared" si="5"/>
        <v>0</v>
      </c>
      <c r="N51" s="80"/>
      <c r="O51" s="49">
        <f t="shared" si="6"/>
        <v>0</v>
      </c>
      <c r="P51" s="49">
        <f t="shared" si="7"/>
        <v>0</v>
      </c>
      <c r="Q51" s="49">
        <f t="shared" si="8"/>
        <v>0</v>
      </c>
      <c r="R51" s="80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53"/>
      <c r="E52" s="53"/>
      <c r="F52" s="80"/>
      <c r="G52" s="49">
        <f t="shared" si="0"/>
        <v>0</v>
      </c>
      <c r="H52" s="49">
        <f t="shared" si="1"/>
        <v>0</v>
      </c>
      <c r="I52" s="49">
        <f t="shared" si="2"/>
        <v>0</v>
      </c>
      <c r="J52" s="80"/>
      <c r="K52" s="49">
        <f t="shared" si="3"/>
        <v>0</v>
      </c>
      <c r="L52" s="49">
        <f t="shared" si="4"/>
        <v>0</v>
      </c>
      <c r="M52" s="49">
        <f t="shared" si="5"/>
        <v>0</v>
      </c>
      <c r="N52" s="80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53"/>
      <c r="E53" s="53"/>
      <c r="F53" s="80"/>
      <c r="G53" s="49">
        <f t="shared" si="0"/>
        <v>0</v>
      </c>
      <c r="H53" s="49">
        <f t="shared" si="1"/>
        <v>0</v>
      </c>
      <c r="I53" s="49">
        <f t="shared" si="2"/>
        <v>0</v>
      </c>
      <c r="J53" s="80"/>
      <c r="K53" s="49">
        <f t="shared" si="3"/>
        <v>0</v>
      </c>
      <c r="L53" s="49">
        <f t="shared" si="4"/>
        <v>0</v>
      </c>
      <c r="M53" s="49">
        <f t="shared" si="5"/>
        <v>0</v>
      </c>
      <c r="N53" s="80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80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80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53"/>
      <c r="E56" s="53"/>
      <c r="F56" s="80"/>
      <c r="G56" s="49">
        <f t="shared" si="0"/>
        <v>0</v>
      </c>
      <c r="H56" s="49">
        <f t="shared" si="1"/>
        <v>0</v>
      </c>
      <c r="I56" s="49">
        <f t="shared" si="2"/>
        <v>0</v>
      </c>
      <c r="J56" s="80"/>
      <c r="K56" s="49">
        <f t="shared" si="3"/>
        <v>0</v>
      </c>
      <c r="L56" s="49">
        <f t="shared" si="4"/>
        <v>0</v>
      </c>
      <c r="M56" s="49">
        <f t="shared" si="5"/>
        <v>0</v>
      </c>
      <c r="N56" s="80"/>
      <c r="O56" s="49">
        <f t="shared" si="6"/>
        <v>0</v>
      </c>
      <c r="P56" s="49">
        <f t="shared" si="7"/>
        <v>0</v>
      </c>
      <c r="Q56" s="49">
        <f t="shared" si="8"/>
        <v>0</v>
      </c>
      <c r="R56" s="80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53"/>
      <c r="E57" s="53"/>
      <c r="F57" s="80"/>
      <c r="G57" s="49">
        <f t="shared" si="0"/>
        <v>0</v>
      </c>
      <c r="H57" s="49">
        <f t="shared" si="1"/>
        <v>0</v>
      </c>
      <c r="I57" s="49">
        <f t="shared" si="2"/>
        <v>0</v>
      </c>
      <c r="J57" s="80"/>
      <c r="K57" s="49">
        <f t="shared" si="3"/>
        <v>0</v>
      </c>
      <c r="L57" s="49">
        <f t="shared" si="4"/>
        <v>0</v>
      </c>
      <c r="M57" s="49">
        <f t="shared" si="5"/>
        <v>0</v>
      </c>
      <c r="N57" s="80"/>
      <c r="O57" s="49">
        <f t="shared" si="6"/>
        <v>0</v>
      </c>
      <c r="P57" s="49">
        <f t="shared" si="7"/>
        <v>0</v>
      </c>
      <c r="Q57" s="49">
        <f t="shared" si="8"/>
        <v>0</v>
      </c>
      <c r="R57" s="80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53"/>
      <c r="E58" s="53"/>
      <c r="F58" s="80"/>
      <c r="G58" s="49">
        <f t="shared" si="0"/>
        <v>0</v>
      </c>
      <c r="H58" s="49">
        <f t="shared" si="1"/>
        <v>0</v>
      </c>
      <c r="I58" s="49">
        <f t="shared" si="2"/>
        <v>0</v>
      </c>
      <c r="J58" s="80"/>
      <c r="K58" s="49">
        <f t="shared" si="3"/>
        <v>0</v>
      </c>
      <c r="L58" s="49">
        <f t="shared" si="4"/>
        <v>0</v>
      </c>
      <c r="M58" s="49">
        <f t="shared" si="5"/>
        <v>0</v>
      </c>
      <c r="N58" s="80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53"/>
      <c r="E59" s="53"/>
      <c r="F59" s="80"/>
      <c r="G59" s="49">
        <f t="shared" si="0"/>
        <v>0</v>
      </c>
      <c r="H59" s="49">
        <f t="shared" si="1"/>
        <v>0</v>
      </c>
      <c r="I59" s="49">
        <f t="shared" si="2"/>
        <v>0</v>
      </c>
      <c r="J59" s="80"/>
      <c r="K59" s="49">
        <f t="shared" si="3"/>
        <v>0</v>
      </c>
      <c r="L59" s="49">
        <f t="shared" si="4"/>
        <v>0</v>
      </c>
      <c r="M59" s="49">
        <f t="shared" si="5"/>
        <v>0</v>
      </c>
      <c r="N59" s="80"/>
      <c r="O59" s="49">
        <f t="shared" si="6"/>
        <v>0</v>
      </c>
      <c r="P59" s="49">
        <f t="shared" si="7"/>
        <v>0</v>
      </c>
      <c r="Q59" s="49">
        <f t="shared" si="8"/>
        <v>0</v>
      </c>
      <c r="R59" s="80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53"/>
      <c r="E60" s="53"/>
      <c r="F60" s="80"/>
      <c r="G60" s="49">
        <f t="shared" si="0"/>
        <v>0</v>
      </c>
      <c r="H60" s="49">
        <f t="shared" si="1"/>
        <v>0</v>
      </c>
      <c r="I60" s="49">
        <f t="shared" si="2"/>
        <v>0</v>
      </c>
      <c r="J60" s="80"/>
      <c r="K60" s="49">
        <f t="shared" si="3"/>
        <v>0</v>
      </c>
      <c r="L60" s="49">
        <f t="shared" si="4"/>
        <v>0</v>
      </c>
      <c r="M60" s="49">
        <f t="shared" si="5"/>
        <v>0</v>
      </c>
      <c r="N60" s="80"/>
      <c r="O60" s="49">
        <f t="shared" si="6"/>
        <v>0</v>
      </c>
      <c r="P60" s="49">
        <f t="shared" si="7"/>
        <v>0</v>
      </c>
      <c r="Q60" s="49">
        <f t="shared" si="8"/>
        <v>0</v>
      </c>
      <c r="R60" s="80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53"/>
      <c r="E61" s="53"/>
      <c r="F61" s="80"/>
      <c r="G61" s="49">
        <f t="shared" si="0"/>
        <v>0</v>
      </c>
      <c r="H61" s="49">
        <f t="shared" si="1"/>
        <v>0</v>
      </c>
      <c r="I61" s="49">
        <f t="shared" si="2"/>
        <v>0</v>
      </c>
      <c r="J61" s="80"/>
      <c r="K61" s="49">
        <f t="shared" si="3"/>
        <v>0</v>
      </c>
      <c r="L61" s="49">
        <f t="shared" si="4"/>
        <v>0</v>
      </c>
      <c r="M61" s="49">
        <f t="shared" si="5"/>
        <v>0</v>
      </c>
      <c r="N61" s="80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53"/>
      <c r="E62" s="53"/>
      <c r="F62" s="80"/>
      <c r="G62" s="49">
        <f t="shared" si="0"/>
        <v>0</v>
      </c>
      <c r="H62" s="49">
        <f t="shared" si="1"/>
        <v>0</v>
      </c>
      <c r="I62" s="49">
        <f t="shared" si="2"/>
        <v>0</v>
      </c>
      <c r="J62" s="80"/>
      <c r="K62" s="49">
        <f t="shared" si="3"/>
        <v>0</v>
      </c>
      <c r="L62" s="49">
        <f t="shared" si="4"/>
        <v>0</v>
      </c>
      <c r="M62" s="49">
        <f t="shared" si="5"/>
        <v>0</v>
      </c>
      <c r="N62" s="80"/>
      <c r="O62" s="49">
        <f t="shared" si="6"/>
        <v>0</v>
      </c>
      <c r="P62" s="49">
        <f t="shared" si="7"/>
        <v>0</v>
      </c>
      <c r="Q62" s="49">
        <f t="shared" si="8"/>
        <v>0</v>
      </c>
      <c r="R62" s="80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53"/>
      <c r="E63" s="53"/>
      <c r="F63" s="80"/>
      <c r="G63" s="49">
        <f t="shared" si="0"/>
        <v>0</v>
      </c>
      <c r="H63" s="49">
        <f t="shared" si="1"/>
        <v>0</v>
      </c>
      <c r="I63" s="49">
        <f t="shared" si="2"/>
        <v>0</v>
      </c>
      <c r="J63" s="80"/>
      <c r="K63" s="49">
        <f t="shared" si="3"/>
        <v>0</v>
      </c>
      <c r="L63" s="49">
        <f t="shared" si="4"/>
        <v>0</v>
      </c>
      <c r="M63" s="49">
        <f t="shared" si="5"/>
        <v>0</v>
      </c>
      <c r="N63" s="80"/>
      <c r="O63" s="49">
        <f t="shared" si="6"/>
        <v>0</v>
      </c>
      <c r="P63" s="49">
        <f t="shared" si="7"/>
        <v>0</v>
      </c>
      <c r="Q63" s="49">
        <f t="shared" si="8"/>
        <v>0</v>
      </c>
      <c r="R63" s="80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53"/>
      <c r="E64" s="53"/>
      <c r="F64" s="80"/>
      <c r="G64" s="49">
        <f t="shared" si="0"/>
        <v>0</v>
      </c>
      <c r="H64" s="49">
        <f t="shared" si="1"/>
        <v>0</v>
      </c>
      <c r="I64" s="49">
        <f t="shared" si="2"/>
        <v>0</v>
      </c>
      <c r="J64" s="80"/>
      <c r="K64" s="49">
        <f t="shared" si="3"/>
        <v>0</v>
      </c>
      <c r="L64" s="49">
        <f t="shared" si="4"/>
        <v>0</v>
      </c>
      <c r="M64" s="49">
        <f t="shared" si="5"/>
        <v>0</v>
      </c>
      <c r="N64" s="80"/>
      <c r="O64" s="49">
        <f t="shared" si="6"/>
        <v>0</v>
      </c>
      <c r="P64" s="49">
        <f t="shared" si="7"/>
        <v>0</v>
      </c>
      <c r="Q64" s="49">
        <f t="shared" si="8"/>
        <v>0</v>
      </c>
      <c r="R64" s="80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53"/>
      <c r="E65" s="53"/>
      <c r="F65" s="80"/>
      <c r="G65" s="49">
        <f t="shared" si="0"/>
        <v>0</v>
      </c>
      <c r="H65" s="49">
        <f t="shared" si="1"/>
        <v>0</v>
      </c>
      <c r="I65" s="49">
        <f t="shared" si="2"/>
        <v>0</v>
      </c>
      <c r="J65" s="80"/>
      <c r="K65" s="49">
        <f t="shared" si="3"/>
        <v>0</v>
      </c>
      <c r="L65" s="49">
        <f t="shared" si="4"/>
        <v>0</v>
      </c>
      <c r="M65" s="49">
        <f t="shared" si="5"/>
        <v>0</v>
      </c>
      <c r="N65" s="80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53"/>
      <c r="E67" s="53"/>
      <c r="F67" s="80"/>
      <c r="G67" s="49">
        <f t="shared" si="0"/>
        <v>0</v>
      </c>
      <c r="H67" s="49">
        <f t="shared" si="1"/>
        <v>0</v>
      </c>
      <c r="I67" s="49">
        <f t="shared" si="2"/>
        <v>0</v>
      </c>
      <c r="J67" s="80"/>
      <c r="K67" s="49">
        <f t="shared" si="3"/>
        <v>0</v>
      </c>
      <c r="L67" s="49">
        <f t="shared" si="4"/>
        <v>0</v>
      </c>
      <c r="M67" s="49">
        <f t="shared" si="5"/>
        <v>0</v>
      </c>
      <c r="N67" s="80"/>
      <c r="O67" s="49">
        <f t="shared" si="6"/>
        <v>0</v>
      </c>
      <c r="P67" s="49">
        <f t="shared" si="7"/>
        <v>0</v>
      </c>
      <c r="Q67" s="49">
        <f t="shared" si="8"/>
        <v>0</v>
      </c>
      <c r="R67" s="80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53"/>
      <c r="E69" s="53"/>
      <c r="F69" s="80"/>
      <c r="G69" s="49">
        <f t="shared" si="0"/>
        <v>0</v>
      </c>
      <c r="H69" s="49">
        <f t="shared" si="1"/>
        <v>0</v>
      </c>
      <c r="I69" s="49">
        <f t="shared" si="2"/>
        <v>0</v>
      </c>
      <c r="J69" s="80"/>
      <c r="K69" s="49">
        <f t="shared" si="3"/>
        <v>0</v>
      </c>
      <c r="L69" s="49">
        <f t="shared" si="4"/>
        <v>0</v>
      </c>
      <c r="M69" s="49">
        <f t="shared" si="5"/>
        <v>0</v>
      </c>
      <c r="N69" s="80"/>
      <c r="O69" s="49">
        <f t="shared" si="6"/>
        <v>0</v>
      </c>
      <c r="P69" s="49">
        <f t="shared" si="7"/>
        <v>0</v>
      </c>
      <c r="Q69" s="49">
        <f t="shared" si="8"/>
        <v>0</v>
      </c>
      <c r="R69" s="80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53"/>
      <c r="E70" s="53"/>
      <c r="F70" s="80"/>
      <c r="G70" s="49">
        <f t="shared" si="0"/>
        <v>0</v>
      </c>
      <c r="H70" s="49">
        <f t="shared" si="1"/>
        <v>0</v>
      </c>
      <c r="I70" s="49">
        <f t="shared" si="2"/>
        <v>0</v>
      </c>
      <c r="J70" s="80"/>
      <c r="K70" s="49">
        <f t="shared" si="3"/>
        <v>0</v>
      </c>
      <c r="L70" s="49">
        <f t="shared" si="4"/>
        <v>0</v>
      </c>
      <c r="M70" s="49">
        <f t="shared" si="5"/>
        <v>0</v>
      </c>
      <c r="N70" s="80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53"/>
      <c r="E71" s="53"/>
      <c r="F71" s="80"/>
      <c r="G71" s="49">
        <f t="shared" si="0"/>
        <v>0</v>
      </c>
      <c r="H71" s="49">
        <f t="shared" si="1"/>
        <v>0</v>
      </c>
      <c r="I71" s="49">
        <f t="shared" si="2"/>
        <v>0</v>
      </c>
      <c r="J71" s="80"/>
      <c r="K71" s="49">
        <f t="shared" si="3"/>
        <v>0</v>
      </c>
      <c r="L71" s="49">
        <f t="shared" si="4"/>
        <v>0</v>
      </c>
      <c r="M71" s="49">
        <f t="shared" si="5"/>
        <v>0</v>
      </c>
      <c r="N71" s="80"/>
      <c r="O71" s="49">
        <f t="shared" si="6"/>
        <v>0</v>
      </c>
      <c r="P71" s="49">
        <f t="shared" si="7"/>
        <v>0</v>
      </c>
      <c r="Q71" s="49">
        <f t="shared" si="8"/>
        <v>0</v>
      </c>
      <c r="R71" s="80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53"/>
      <c r="E72" s="53"/>
      <c r="F72" s="80"/>
      <c r="G72" s="49">
        <f t="shared" si="0"/>
        <v>0</v>
      </c>
      <c r="H72" s="49">
        <f t="shared" si="1"/>
        <v>0</v>
      </c>
      <c r="I72" s="49">
        <f t="shared" si="2"/>
        <v>0</v>
      </c>
      <c r="J72" s="80"/>
      <c r="K72" s="49">
        <f t="shared" si="3"/>
        <v>0</v>
      </c>
      <c r="L72" s="49">
        <f t="shared" si="4"/>
        <v>0</v>
      </c>
      <c r="M72" s="49">
        <f t="shared" si="5"/>
        <v>0</v>
      </c>
      <c r="N72" s="80"/>
      <c r="O72" s="49">
        <f t="shared" si="6"/>
        <v>0</v>
      </c>
      <c r="P72" s="49">
        <f t="shared" si="7"/>
        <v>0</v>
      </c>
      <c r="Q72" s="49">
        <f t="shared" si="8"/>
        <v>0</v>
      </c>
      <c r="R72" s="80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53"/>
      <c r="E73" s="53"/>
      <c r="F73" s="80"/>
      <c r="G73" s="49">
        <f t="shared" si="0"/>
        <v>0</v>
      </c>
      <c r="H73" s="49">
        <f t="shared" si="1"/>
        <v>0</v>
      </c>
      <c r="I73" s="49">
        <f t="shared" si="2"/>
        <v>0</v>
      </c>
      <c r="J73" s="80"/>
      <c r="K73" s="49">
        <f t="shared" si="3"/>
        <v>0</v>
      </c>
      <c r="L73" s="49">
        <f t="shared" si="4"/>
        <v>0</v>
      </c>
      <c r="M73" s="49">
        <f t="shared" si="5"/>
        <v>0</v>
      </c>
      <c r="N73" s="80"/>
      <c r="O73" s="49">
        <f t="shared" si="6"/>
        <v>0</v>
      </c>
      <c r="P73" s="49">
        <f t="shared" si="7"/>
        <v>0</v>
      </c>
      <c r="Q73" s="49">
        <f t="shared" si="8"/>
        <v>0</v>
      </c>
      <c r="R73" s="80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53"/>
      <c r="E74" s="53"/>
      <c r="F74" s="80"/>
      <c r="G74" s="49">
        <f t="shared" si="0"/>
        <v>0</v>
      </c>
      <c r="H74" s="49">
        <f t="shared" si="1"/>
        <v>0</v>
      </c>
      <c r="I74" s="49">
        <f t="shared" si="2"/>
        <v>0</v>
      </c>
      <c r="J74" s="80"/>
      <c r="K74" s="49">
        <f t="shared" si="3"/>
        <v>0</v>
      </c>
      <c r="L74" s="49">
        <f t="shared" si="4"/>
        <v>0</v>
      </c>
      <c r="M74" s="49">
        <f t="shared" si="5"/>
        <v>0</v>
      </c>
      <c r="N74" s="80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53"/>
      <c r="E75" s="53"/>
      <c r="F75" s="80"/>
      <c r="G75" s="49">
        <f t="shared" si="0"/>
        <v>0</v>
      </c>
      <c r="H75" s="49">
        <f t="shared" si="1"/>
        <v>0</v>
      </c>
      <c r="I75" s="49">
        <f t="shared" si="2"/>
        <v>0</v>
      </c>
      <c r="J75" s="80"/>
      <c r="K75" s="49">
        <f t="shared" si="3"/>
        <v>0</v>
      </c>
      <c r="L75" s="49">
        <f t="shared" si="4"/>
        <v>0</v>
      </c>
      <c r="M75" s="49">
        <f t="shared" si="5"/>
        <v>0</v>
      </c>
      <c r="N75" s="80"/>
      <c r="O75" s="49">
        <f t="shared" si="6"/>
        <v>0</v>
      </c>
      <c r="P75" s="49">
        <f t="shared" si="7"/>
        <v>0</v>
      </c>
      <c r="Q75" s="49">
        <f t="shared" si="8"/>
        <v>0</v>
      </c>
      <c r="R75" s="80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53"/>
      <c r="E76" s="53"/>
      <c r="F76" s="80"/>
      <c r="G76" s="49">
        <f t="shared" si="0"/>
        <v>0</v>
      </c>
      <c r="H76" s="49">
        <f t="shared" si="1"/>
        <v>0</v>
      </c>
      <c r="I76" s="49">
        <f t="shared" si="2"/>
        <v>0</v>
      </c>
      <c r="J76" s="80"/>
      <c r="K76" s="49">
        <f t="shared" si="3"/>
        <v>0</v>
      </c>
      <c r="L76" s="49">
        <f t="shared" si="4"/>
        <v>0</v>
      </c>
      <c r="M76" s="49">
        <f t="shared" si="5"/>
        <v>0</v>
      </c>
      <c r="N76" s="80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53"/>
      <c r="E77" s="53"/>
      <c r="F77" s="80"/>
      <c r="G77" s="49">
        <f t="shared" si="0"/>
        <v>0</v>
      </c>
      <c r="H77" s="49">
        <f t="shared" si="1"/>
        <v>0</v>
      </c>
      <c r="I77" s="49">
        <f t="shared" si="2"/>
        <v>0</v>
      </c>
      <c r="J77" s="80"/>
      <c r="K77" s="49">
        <f t="shared" si="3"/>
        <v>0</v>
      </c>
      <c r="L77" s="49">
        <f t="shared" si="4"/>
        <v>0</v>
      </c>
      <c r="M77" s="49">
        <f t="shared" si="5"/>
        <v>0</v>
      </c>
      <c r="N77" s="80"/>
      <c r="O77" s="49">
        <f t="shared" si="6"/>
        <v>0</v>
      </c>
      <c r="P77" s="49">
        <f t="shared" si="7"/>
        <v>0</v>
      </c>
      <c r="Q77" s="49">
        <f t="shared" si="8"/>
        <v>0</v>
      </c>
      <c r="R77" s="80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53"/>
      <c r="E79" s="53"/>
      <c r="F79" s="80"/>
      <c r="G79" s="49">
        <f t="shared" si="0"/>
        <v>0</v>
      </c>
      <c r="H79" s="49">
        <f t="shared" si="1"/>
        <v>0</v>
      </c>
      <c r="I79" s="49">
        <f t="shared" si="2"/>
        <v>0</v>
      </c>
      <c r="J79" s="80"/>
      <c r="K79" s="49">
        <f t="shared" si="3"/>
        <v>0</v>
      </c>
      <c r="L79" s="49">
        <f t="shared" si="4"/>
        <v>0</v>
      </c>
      <c r="M79" s="49">
        <f t="shared" si="5"/>
        <v>0</v>
      </c>
      <c r="N79" s="80"/>
      <c r="O79" s="49">
        <f t="shared" si="6"/>
        <v>0</v>
      </c>
      <c r="P79" s="49">
        <f t="shared" si="7"/>
        <v>0</v>
      </c>
      <c r="Q79" s="49">
        <f t="shared" si="8"/>
        <v>0</v>
      </c>
      <c r="R79" s="80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53"/>
      <c r="E80" s="53"/>
      <c r="F80" s="80"/>
      <c r="G80" s="49">
        <f t="shared" si="0"/>
        <v>0</v>
      </c>
      <c r="H80" s="49">
        <f t="shared" si="1"/>
        <v>0</v>
      </c>
      <c r="I80" s="49">
        <f t="shared" si="2"/>
        <v>0</v>
      </c>
      <c r="J80" s="80"/>
      <c r="K80" s="49">
        <f t="shared" si="3"/>
        <v>0</v>
      </c>
      <c r="L80" s="49">
        <f t="shared" si="4"/>
        <v>0</v>
      </c>
      <c r="M80" s="49">
        <f t="shared" si="5"/>
        <v>0</v>
      </c>
      <c r="N80" s="80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80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53"/>
      <c r="E82" s="53"/>
      <c r="F82" s="80"/>
      <c r="G82" s="49">
        <f t="shared" si="0"/>
        <v>0</v>
      </c>
      <c r="H82" s="49">
        <f t="shared" si="1"/>
        <v>0</v>
      </c>
      <c r="I82" s="49">
        <f t="shared" si="2"/>
        <v>0</v>
      </c>
      <c r="J82" s="80"/>
      <c r="K82" s="49">
        <f t="shared" si="3"/>
        <v>0</v>
      </c>
      <c r="L82" s="49">
        <f t="shared" si="4"/>
        <v>0</v>
      </c>
      <c r="M82" s="49">
        <f t="shared" si="5"/>
        <v>0</v>
      </c>
      <c r="N82" s="80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53"/>
      <c r="E83" s="53"/>
      <c r="F83" s="80"/>
      <c r="G83" s="49">
        <f t="shared" si="0"/>
        <v>0</v>
      </c>
      <c r="H83" s="49">
        <f t="shared" si="1"/>
        <v>0</v>
      </c>
      <c r="I83" s="49">
        <f t="shared" si="2"/>
        <v>0</v>
      </c>
      <c r="J83" s="80"/>
      <c r="K83" s="49">
        <f t="shared" si="3"/>
        <v>0</v>
      </c>
      <c r="L83" s="49">
        <f t="shared" si="4"/>
        <v>0</v>
      </c>
      <c r="M83" s="49">
        <f t="shared" si="5"/>
        <v>0</v>
      </c>
      <c r="N83" s="80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53"/>
      <c r="E84" s="53"/>
      <c r="F84" s="80"/>
      <c r="G84" s="49">
        <f t="shared" si="0"/>
        <v>0</v>
      </c>
      <c r="H84" s="49">
        <f t="shared" si="1"/>
        <v>0</v>
      </c>
      <c r="I84" s="49">
        <f t="shared" si="2"/>
        <v>0</v>
      </c>
      <c r="J84" s="80"/>
      <c r="K84" s="49">
        <f t="shared" si="3"/>
        <v>0</v>
      </c>
      <c r="L84" s="49">
        <f t="shared" si="4"/>
        <v>0</v>
      </c>
      <c r="M84" s="49">
        <f t="shared" si="5"/>
        <v>0</v>
      </c>
      <c r="N84" s="80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53"/>
      <c r="E85" s="53"/>
      <c r="F85" s="80"/>
      <c r="G85" s="49">
        <f t="shared" si="0"/>
        <v>0</v>
      </c>
      <c r="H85" s="49">
        <f t="shared" si="1"/>
        <v>0</v>
      </c>
      <c r="I85" s="49">
        <f t="shared" si="2"/>
        <v>0</v>
      </c>
      <c r="J85" s="80"/>
      <c r="K85" s="49">
        <f t="shared" si="3"/>
        <v>0</v>
      </c>
      <c r="L85" s="49">
        <f t="shared" si="4"/>
        <v>0</v>
      </c>
      <c r="M85" s="49">
        <f t="shared" si="5"/>
        <v>0</v>
      </c>
      <c r="N85" s="80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53"/>
      <c r="E86" s="53"/>
      <c r="F86" s="80"/>
      <c r="G86" s="49">
        <f t="shared" si="0"/>
        <v>0</v>
      </c>
      <c r="H86" s="49">
        <f t="shared" si="1"/>
        <v>0</v>
      </c>
      <c r="I86" s="49">
        <f t="shared" si="2"/>
        <v>0</v>
      </c>
      <c r="J86" s="80"/>
      <c r="K86" s="49">
        <f t="shared" si="3"/>
        <v>0</v>
      </c>
      <c r="L86" s="49">
        <f t="shared" si="4"/>
        <v>0</v>
      </c>
      <c r="M86" s="49">
        <f t="shared" si="5"/>
        <v>0</v>
      </c>
      <c r="N86" s="80"/>
      <c r="O86" s="49">
        <f t="shared" si="6"/>
        <v>0</v>
      </c>
      <c r="P86" s="49">
        <f t="shared" si="7"/>
        <v>0</v>
      </c>
      <c r="Q86" s="49">
        <f t="shared" si="8"/>
        <v>0</v>
      </c>
      <c r="R86" s="80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53"/>
      <c r="E87" s="53"/>
      <c r="F87" s="80"/>
      <c r="G87" s="49">
        <f t="shared" si="0"/>
        <v>0</v>
      </c>
      <c r="H87" s="49">
        <f t="shared" si="1"/>
        <v>0</v>
      </c>
      <c r="I87" s="49">
        <f t="shared" si="2"/>
        <v>0</v>
      </c>
      <c r="J87" s="80"/>
      <c r="K87" s="49">
        <f t="shared" si="3"/>
        <v>0</v>
      </c>
      <c r="L87" s="49">
        <f t="shared" si="4"/>
        <v>0</v>
      </c>
      <c r="M87" s="49">
        <f t="shared" si="5"/>
        <v>0</v>
      </c>
      <c r="N87" s="80"/>
      <c r="O87" s="49">
        <f t="shared" si="6"/>
        <v>0</v>
      </c>
      <c r="P87" s="49">
        <f t="shared" si="7"/>
        <v>0</v>
      </c>
      <c r="Q87" s="49">
        <f t="shared" si="8"/>
        <v>0</v>
      </c>
      <c r="R87" s="80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53"/>
      <c r="E88" s="53"/>
      <c r="F88" s="80"/>
      <c r="G88" s="49">
        <f t="shared" si="0"/>
        <v>0</v>
      </c>
      <c r="H88" s="49">
        <f t="shared" si="1"/>
        <v>0</v>
      </c>
      <c r="I88" s="49">
        <f t="shared" si="2"/>
        <v>0</v>
      </c>
      <c r="J88" s="80"/>
      <c r="K88" s="49">
        <f t="shared" si="3"/>
        <v>0</v>
      </c>
      <c r="L88" s="49">
        <f t="shared" si="4"/>
        <v>0</v>
      </c>
      <c r="M88" s="49">
        <f t="shared" si="5"/>
        <v>0</v>
      </c>
      <c r="N88" s="80"/>
      <c r="O88" s="49">
        <f t="shared" si="6"/>
        <v>0</v>
      </c>
      <c r="P88" s="49">
        <f t="shared" si="7"/>
        <v>0</v>
      </c>
      <c r="Q88" s="49">
        <f t="shared" si="8"/>
        <v>0</v>
      </c>
      <c r="R88" s="80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53"/>
      <c r="E89" s="53"/>
      <c r="F89" s="80"/>
      <c r="G89" s="49">
        <f t="shared" si="0"/>
        <v>0</v>
      </c>
      <c r="H89" s="49">
        <f t="shared" si="1"/>
        <v>0</v>
      </c>
      <c r="I89" s="49">
        <f t="shared" si="2"/>
        <v>0</v>
      </c>
      <c r="J89" s="80"/>
      <c r="K89" s="49">
        <f t="shared" si="3"/>
        <v>0</v>
      </c>
      <c r="L89" s="49">
        <f t="shared" si="4"/>
        <v>0</v>
      </c>
      <c r="M89" s="49">
        <f t="shared" si="5"/>
        <v>0</v>
      </c>
      <c r="N89" s="80"/>
      <c r="O89" s="49">
        <f t="shared" si="6"/>
        <v>0</v>
      </c>
      <c r="P89" s="49">
        <f t="shared" si="7"/>
        <v>0</v>
      </c>
      <c r="Q89" s="49">
        <f t="shared" si="8"/>
        <v>0</v>
      </c>
      <c r="R89" s="80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53"/>
      <c r="E90" s="53"/>
      <c r="F90" s="80"/>
      <c r="G90" s="49">
        <f t="shared" si="0"/>
        <v>0</v>
      </c>
      <c r="H90" s="49">
        <f t="shared" si="1"/>
        <v>0</v>
      </c>
      <c r="I90" s="49">
        <f t="shared" si="2"/>
        <v>0</v>
      </c>
      <c r="J90" s="80"/>
      <c r="K90" s="49">
        <f t="shared" si="3"/>
        <v>0</v>
      </c>
      <c r="L90" s="49">
        <f t="shared" si="4"/>
        <v>0</v>
      </c>
      <c r="M90" s="49">
        <f t="shared" si="5"/>
        <v>0</v>
      </c>
      <c r="N90" s="80"/>
      <c r="O90" s="49">
        <f t="shared" si="6"/>
        <v>0</v>
      </c>
      <c r="P90" s="49">
        <f t="shared" si="7"/>
        <v>0</v>
      </c>
      <c r="Q90" s="49">
        <f t="shared" si="8"/>
        <v>0</v>
      </c>
      <c r="R90" s="80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53"/>
      <c r="E91" s="53"/>
      <c r="F91" s="80"/>
      <c r="G91" s="49">
        <f t="shared" si="0"/>
        <v>0</v>
      </c>
      <c r="H91" s="49">
        <f t="shared" si="1"/>
        <v>0</v>
      </c>
      <c r="I91" s="49">
        <f t="shared" si="2"/>
        <v>0</v>
      </c>
      <c r="J91" s="80"/>
      <c r="K91" s="49">
        <f t="shared" si="3"/>
        <v>0</v>
      </c>
      <c r="L91" s="49">
        <f t="shared" si="4"/>
        <v>0</v>
      </c>
      <c r="M91" s="49">
        <f t="shared" si="5"/>
        <v>0</v>
      </c>
      <c r="N91" s="80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80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53"/>
      <c r="E93" s="53"/>
      <c r="F93" s="80"/>
      <c r="G93" s="49">
        <f t="shared" si="0"/>
        <v>0</v>
      </c>
      <c r="H93" s="49">
        <f t="shared" si="1"/>
        <v>0</v>
      </c>
      <c r="I93" s="49">
        <f t="shared" si="2"/>
        <v>0</v>
      </c>
      <c r="J93" s="80"/>
      <c r="K93" s="49">
        <f t="shared" si="3"/>
        <v>0</v>
      </c>
      <c r="L93" s="49">
        <f t="shared" si="4"/>
        <v>0</v>
      </c>
      <c r="M93" s="49">
        <f t="shared" si="5"/>
        <v>0</v>
      </c>
      <c r="N93" s="80"/>
      <c r="O93" s="49">
        <f t="shared" si="6"/>
        <v>0</v>
      </c>
      <c r="P93" s="49">
        <f t="shared" si="7"/>
        <v>0</v>
      </c>
      <c r="Q93" s="49">
        <f t="shared" si="8"/>
        <v>0</v>
      </c>
      <c r="R93" s="80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53"/>
      <c r="E94" s="53"/>
      <c r="F94" s="80"/>
      <c r="G94" s="49">
        <f t="shared" si="0"/>
        <v>0</v>
      </c>
      <c r="H94" s="49">
        <f t="shared" si="1"/>
        <v>0</v>
      </c>
      <c r="I94" s="49">
        <f t="shared" si="2"/>
        <v>0</v>
      </c>
      <c r="J94" s="80"/>
      <c r="K94" s="49">
        <f t="shared" si="3"/>
        <v>0</v>
      </c>
      <c r="L94" s="49">
        <f t="shared" si="4"/>
        <v>0</v>
      </c>
      <c r="M94" s="49">
        <f t="shared" si="5"/>
        <v>0</v>
      </c>
      <c r="N94" s="80"/>
      <c r="O94" s="49">
        <f t="shared" si="6"/>
        <v>0</v>
      </c>
      <c r="P94" s="49">
        <f t="shared" si="7"/>
        <v>0</v>
      </c>
      <c r="Q94" s="49">
        <f t="shared" si="8"/>
        <v>0</v>
      </c>
      <c r="R94" s="80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80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53"/>
      <c r="E96" s="53"/>
      <c r="F96" s="80"/>
      <c r="G96" s="49">
        <f t="shared" si="0"/>
        <v>0</v>
      </c>
      <c r="H96" s="49">
        <f t="shared" si="1"/>
        <v>0</v>
      </c>
      <c r="I96" s="49">
        <f t="shared" si="2"/>
        <v>0</v>
      </c>
      <c r="J96" s="80"/>
      <c r="K96" s="49">
        <f t="shared" si="3"/>
        <v>0</v>
      </c>
      <c r="L96" s="49">
        <f t="shared" si="4"/>
        <v>0</v>
      </c>
      <c r="M96" s="49">
        <f t="shared" si="5"/>
        <v>0</v>
      </c>
      <c r="N96" s="80"/>
      <c r="O96" s="49">
        <f t="shared" si="6"/>
        <v>0</v>
      </c>
      <c r="P96" s="49">
        <f t="shared" si="7"/>
        <v>0</v>
      </c>
      <c r="Q96" s="49">
        <f t="shared" si="8"/>
        <v>0</v>
      </c>
      <c r="R96" s="80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53"/>
      <c r="E97" s="53"/>
      <c r="F97" s="80"/>
      <c r="G97" s="49">
        <f t="shared" si="0"/>
        <v>0</v>
      </c>
      <c r="H97" s="49">
        <f t="shared" si="1"/>
        <v>0</v>
      </c>
      <c r="I97" s="49">
        <f t="shared" si="2"/>
        <v>0</v>
      </c>
      <c r="J97" s="80"/>
      <c r="K97" s="49">
        <f t="shared" si="3"/>
        <v>0</v>
      </c>
      <c r="L97" s="49">
        <f t="shared" si="4"/>
        <v>0</v>
      </c>
      <c r="M97" s="49">
        <f t="shared" si="5"/>
        <v>0</v>
      </c>
      <c r="N97" s="80"/>
      <c r="O97" s="49">
        <f t="shared" si="6"/>
        <v>0</v>
      </c>
      <c r="P97" s="49">
        <f t="shared" si="7"/>
        <v>0</v>
      </c>
      <c r="Q97" s="49">
        <f t="shared" si="8"/>
        <v>0</v>
      </c>
      <c r="R97" s="80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53"/>
      <c r="E98" s="53"/>
      <c r="F98" s="80"/>
      <c r="G98" s="49">
        <f t="shared" si="0"/>
        <v>0</v>
      </c>
      <c r="H98" s="49">
        <f t="shared" si="1"/>
        <v>0</v>
      </c>
      <c r="I98" s="49">
        <f t="shared" si="2"/>
        <v>0</v>
      </c>
      <c r="J98" s="80"/>
      <c r="K98" s="49">
        <f t="shared" si="3"/>
        <v>0</v>
      </c>
      <c r="L98" s="49">
        <f t="shared" si="4"/>
        <v>0</v>
      </c>
      <c r="M98" s="49">
        <f t="shared" si="5"/>
        <v>0</v>
      </c>
      <c r="N98" s="80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53"/>
      <c r="E99" s="53"/>
      <c r="F99" s="80"/>
      <c r="G99" s="49">
        <f t="shared" si="0"/>
        <v>0</v>
      </c>
      <c r="H99" s="49">
        <f t="shared" si="1"/>
        <v>0</v>
      </c>
      <c r="I99" s="49">
        <f t="shared" si="2"/>
        <v>0</v>
      </c>
      <c r="J99" s="80"/>
      <c r="K99" s="49">
        <f t="shared" si="3"/>
        <v>0</v>
      </c>
      <c r="L99" s="49">
        <f t="shared" si="4"/>
        <v>0</v>
      </c>
      <c r="M99" s="49">
        <f t="shared" si="5"/>
        <v>0</v>
      </c>
      <c r="N99" s="80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53"/>
      <c r="E100" s="53"/>
      <c r="F100" s="80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80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80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53"/>
      <c r="E102" s="53"/>
      <c r="F102" s="80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80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80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53"/>
      <c r="E103" s="53"/>
      <c r="F103" s="80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80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80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80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53"/>
      <c r="E106" s="53"/>
      <c r="F106" s="80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80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80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80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53"/>
      <c r="E108" s="53"/>
      <c r="F108" s="80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80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80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80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53"/>
      <c r="E110" s="53"/>
      <c r="F110" s="80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80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80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80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53"/>
      <c r="E111" s="53"/>
      <c r="F111" s="80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80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80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80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80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53"/>
      <c r="E113" s="53"/>
      <c r="F113" s="80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80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80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53"/>
      <c r="E114" s="53"/>
      <c r="F114" s="80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80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80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80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53"/>
      <c r="E115" s="53"/>
      <c r="F115" s="80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80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80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80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53"/>
      <c r="E116" s="53"/>
      <c r="F116" s="80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80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80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80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80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49"/>
      <c r="E118" s="23"/>
      <c r="F118" s="80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80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80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80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49"/>
      <c r="E120" s="23"/>
      <c r="F120" s="80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80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80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49"/>
      <c r="E121" s="23"/>
      <c r="F121" s="80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80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80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49"/>
      <c r="E122" s="23"/>
      <c r="F122" s="80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80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80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80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49"/>
      <c r="E123" s="23"/>
      <c r="F123" s="80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80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80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49"/>
      <c r="E124" s="49"/>
      <c r="F124" s="80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80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80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49"/>
      <c r="E125" s="49"/>
      <c r="F125" s="80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80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80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80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49"/>
      <c r="E126" s="49"/>
      <c r="F126" s="80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80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80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80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80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49"/>
      <c r="E128" s="49"/>
      <c r="F128" s="80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80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80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80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49"/>
      <c r="E130" s="49"/>
      <c r="F130" s="80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80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80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80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49"/>
      <c r="E131" s="49"/>
      <c r="F131" s="80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80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80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80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80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49"/>
      <c r="E134" s="49"/>
      <c r="F134" s="80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80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80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80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80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80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49"/>
      <c r="E137" s="49"/>
      <c r="F137" s="80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80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80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80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49"/>
      <c r="E138" s="49"/>
      <c r="F138" s="80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80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80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80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49"/>
      <c r="E139" s="49"/>
      <c r="F139" s="80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80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80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80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49"/>
      <c r="E140" s="49"/>
      <c r="F140" s="80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80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80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80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49"/>
      <c r="E142" s="49"/>
      <c r="F142" s="80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80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80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80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49"/>
      <c r="E143" s="49"/>
      <c r="F143" s="80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80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80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80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49"/>
      <c r="E144" s="49"/>
      <c r="F144" s="80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80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80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49"/>
      <c r="E145" s="49"/>
      <c r="F145" s="80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80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80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49"/>
      <c r="E146" s="49"/>
      <c r="F146" s="80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80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80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49"/>
      <c r="E147" s="49"/>
      <c r="F147" s="80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80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80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49"/>
      <c r="E148" s="49"/>
      <c r="F148" s="80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80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80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80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80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49"/>
      <c r="E150" s="49"/>
      <c r="F150" s="80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80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80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80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49"/>
      <c r="E151" s="49"/>
      <c r="F151" s="80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80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80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80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49"/>
      <c r="E152" s="49"/>
      <c r="F152" s="80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80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80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80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80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49"/>
      <c r="E155" s="49"/>
      <c r="F155" s="80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80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80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80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49"/>
      <c r="E156" s="49"/>
      <c r="F156" s="80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80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80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49"/>
      <c r="E157" s="49"/>
      <c r="F157" s="80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80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80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80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49"/>
      <c r="E158" s="49"/>
      <c r="F158" s="80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80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80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49"/>
      <c r="E160" s="49"/>
      <c r="F160" s="80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80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80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49"/>
      <c r="E161" s="49"/>
      <c r="F161" s="80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80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80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80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49"/>
      <c r="E162" s="49"/>
      <c r="F162" s="80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80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80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80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49"/>
      <c r="E163" s="49"/>
      <c r="F163" s="80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80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80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49"/>
      <c r="E164" s="49"/>
      <c r="F164" s="80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80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80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80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49"/>
      <c r="E165" s="49"/>
      <c r="F165" s="80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80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80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49"/>
      <c r="E166" s="49"/>
      <c r="F166" s="80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80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80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80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49"/>
      <c r="E167" s="49"/>
      <c r="F167" s="80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80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80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49"/>
      <c r="E168" s="49"/>
      <c r="F168" s="80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80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80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80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49"/>
      <c r="E169" s="49"/>
      <c r="F169" s="80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80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80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80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49"/>
      <c r="E170" s="49"/>
      <c r="F170" s="80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80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80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49"/>
      <c r="E171" s="49"/>
      <c r="F171" s="80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80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80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80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49"/>
      <c r="E172" s="49"/>
      <c r="F172" s="80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80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80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49"/>
      <c r="E173" s="49"/>
      <c r="F173" s="80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80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80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49"/>
      <c r="E174" s="49"/>
      <c r="F174" s="80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80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80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80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49"/>
      <c r="E175" s="49"/>
      <c r="F175" s="80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80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80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80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49"/>
      <c r="E176" s="49"/>
      <c r="F176" s="80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80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80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49"/>
      <c r="E177" s="49"/>
      <c r="F177" s="80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80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80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49"/>
      <c r="E178" s="49"/>
      <c r="F178" s="80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80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80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80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49"/>
      <c r="E179" s="49"/>
      <c r="F179" s="80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80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80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49"/>
      <c r="E180" s="49"/>
      <c r="F180" s="80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80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80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80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49"/>
      <c r="E181" s="49"/>
      <c r="F181" s="80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80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80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49"/>
      <c r="E182" s="49"/>
      <c r="F182" s="80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80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80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80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7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44"/>
      <c r="E183" s="44"/>
      <c r="F183" s="80"/>
      <c r="G183" s="49">
        <f t="shared" ref="G183:G218" si="9">IF(F183&gt;=($F$6*0.5),1,0)</f>
        <v>0</v>
      </c>
      <c r="H183" s="49">
        <f t="shared" ref="H183:H218" si="10">IF(F183&gt;=($F$6*0.6),1,0)</f>
        <v>0</v>
      </c>
      <c r="I183" s="49">
        <f t="shared" ref="I183:I218" si="11">IF(F183&gt;=($F$6*0.7),1,0)</f>
        <v>0</v>
      </c>
      <c r="J183" s="80"/>
      <c r="K183" s="49">
        <f t="shared" ref="K183:K218" si="12">IF(J183&gt;=($J$6*0.7),1,0)</f>
        <v>0</v>
      </c>
      <c r="L183" s="49">
        <f t="shared" ref="L183:L218" si="13">IF(J183&gt;=($J$6*0.8),1,0)</f>
        <v>0</v>
      </c>
      <c r="M183" s="49">
        <f t="shared" ref="M183:M218" si="14">IF(J183&gt;=($J$6*0.9),1,0)</f>
        <v>0</v>
      </c>
      <c r="N183" s="80"/>
      <c r="O183" s="49">
        <f t="shared" ref="O183:O218" si="15">IF(N183&gt;=($N$6*0.7),1,0)</f>
        <v>0</v>
      </c>
      <c r="P183" s="49">
        <f t="shared" ref="P183:P218" si="16">IF(N183&gt;=($N$6*0.8),1,0)</f>
        <v>0</v>
      </c>
      <c r="Q183" s="49">
        <f t="shared" ref="Q183:Q218" si="17">IF(N183&gt;=($N$6*0.9),1,0)</f>
        <v>0</v>
      </c>
      <c r="R183" s="80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7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44"/>
      <c r="E184" s="44"/>
      <c r="F184" s="80"/>
      <c r="G184" s="49">
        <f t="shared" si="9"/>
        <v>0</v>
      </c>
      <c r="H184" s="49">
        <f t="shared" si="10"/>
        <v>0</v>
      </c>
      <c r="I184" s="49">
        <f t="shared" si="11"/>
        <v>0</v>
      </c>
      <c r="J184" s="80"/>
      <c r="K184" s="49">
        <f t="shared" si="12"/>
        <v>0</v>
      </c>
      <c r="L184" s="49">
        <f t="shared" si="13"/>
        <v>0</v>
      </c>
      <c r="M184" s="49">
        <f t="shared" si="14"/>
        <v>0</v>
      </c>
      <c r="N184" s="80"/>
      <c r="O184" s="49">
        <f t="shared" si="15"/>
        <v>0</v>
      </c>
      <c r="P184" s="49">
        <f t="shared" si="16"/>
        <v>0</v>
      </c>
      <c r="Q184" s="49">
        <f t="shared" si="17"/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7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44"/>
      <c r="E185" s="44"/>
      <c r="F185" s="80"/>
      <c r="G185" s="49">
        <f t="shared" si="9"/>
        <v>0</v>
      </c>
      <c r="H185" s="49">
        <f t="shared" si="10"/>
        <v>0</v>
      </c>
      <c r="I185" s="49">
        <f t="shared" si="11"/>
        <v>0</v>
      </c>
      <c r="J185" s="80"/>
      <c r="K185" s="49">
        <f t="shared" si="12"/>
        <v>0</v>
      </c>
      <c r="L185" s="49">
        <f t="shared" si="13"/>
        <v>0</v>
      </c>
      <c r="M185" s="49">
        <f t="shared" si="14"/>
        <v>0</v>
      </c>
      <c r="N185" s="80"/>
      <c r="O185" s="49">
        <f t="shared" si="15"/>
        <v>0</v>
      </c>
      <c r="P185" s="49">
        <f t="shared" si="16"/>
        <v>0</v>
      </c>
      <c r="Q185" s="49">
        <f t="shared" si="17"/>
        <v>0</v>
      </c>
      <c r="R185" s="80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7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44"/>
      <c r="E186" s="44"/>
      <c r="F186" s="80"/>
      <c r="G186" s="49">
        <f t="shared" si="9"/>
        <v>0</v>
      </c>
      <c r="H186" s="49">
        <f t="shared" si="10"/>
        <v>0</v>
      </c>
      <c r="I186" s="49">
        <f t="shared" si="11"/>
        <v>0</v>
      </c>
      <c r="J186" s="80"/>
      <c r="K186" s="49">
        <f t="shared" si="12"/>
        <v>0</v>
      </c>
      <c r="L186" s="49">
        <f t="shared" si="13"/>
        <v>0</v>
      </c>
      <c r="M186" s="49">
        <f t="shared" si="14"/>
        <v>0</v>
      </c>
      <c r="N186" s="80"/>
      <c r="O186" s="49">
        <f t="shared" si="15"/>
        <v>0</v>
      </c>
      <c r="P186" s="49">
        <f t="shared" si="16"/>
        <v>0</v>
      </c>
      <c r="Q186" s="49">
        <f t="shared" si="17"/>
        <v>0</v>
      </c>
      <c r="R186" s="80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7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44"/>
      <c r="E187" s="44"/>
      <c r="F187" s="80"/>
      <c r="G187" s="49">
        <f t="shared" si="9"/>
        <v>0</v>
      </c>
      <c r="H187" s="49">
        <f t="shared" si="10"/>
        <v>0</v>
      </c>
      <c r="I187" s="49">
        <f t="shared" si="11"/>
        <v>0</v>
      </c>
      <c r="J187" s="80"/>
      <c r="K187" s="49">
        <f t="shared" si="12"/>
        <v>0</v>
      </c>
      <c r="L187" s="49">
        <f t="shared" si="13"/>
        <v>0</v>
      </c>
      <c r="M187" s="49">
        <f t="shared" si="14"/>
        <v>0</v>
      </c>
      <c r="N187" s="80"/>
      <c r="O187" s="49">
        <f t="shared" si="15"/>
        <v>0</v>
      </c>
      <c r="P187" s="49">
        <f t="shared" si="16"/>
        <v>0</v>
      </c>
      <c r="Q187" s="49">
        <f t="shared" si="17"/>
        <v>0</v>
      </c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7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44"/>
      <c r="E188" s="44"/>
      <c r="F188" s="80"/>
      <c r="G188" s="49">
        <f t="shared" si="9"/>
        <v>0</v>
      </c>
      <c r="H188" s="49">
        <f t="shared" si="10"/>
        <v>0</v>
      </c>
      <c r="I188" s="49">
        <f t="shared" si="11"/>
        <v>0</v>
      </c>
      <c r="J188" s="80"/>
      <c r="K188" s="49">
        <f t="shared" si="12"/>
        <v>0</v>
      </c>
      <c r="L188" s="49">
        <f t="shared" si="13"/>
        <v>0</v>
      </c>
      <c r="M188" s="49">
        <f t="shared" si="14"/>
        <v>0</v>
      </c>
      <c r="N188" s="80"/>
      <c r="O188" s="49">
        <f t="shared" si="15"/>
        <v>0</v>
      </c>
      <c r="P188" s="49">
        <f t="shared" si="16"/>
        <v>0</v>
      </c>
      <c r="Q188" s="49">
        <f t="shared" si="17"/>
        <v>0</v>
      </c>
      <c r="R188" s="80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7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44"/>
      <c r="E189" s="44"/>
      <c r="F189" s="80"/>
      <c r="G189" s="49">
        <f t="shared" si="9"/>
        <v>0</v>
      </c>
      <c r="H189" s="49">
        <f t="shared" si="10"/>
        <v>0</v>
      </c>
      <c r="I189" s="49">
        <f t="shared" si="11"/>
        <v>0</v>
      </c>
      <c r="J189" s="80"/>
      <c r="K189" s="49">
        <f t="shared" si="12"/>
        <v>0</v>
      </c>
      <c r="L189" s="49">
        <f t="shared" si="13"/>
        <v>0</v>
      </c>
      <c r="M189" s="49">
        <f t="shared" si="14"/>
        <v>0</v>
      </c>
      <c r="N189" s="80"/>
      <c r="O189" s="49">
        <f t="shared" si="15"/>
        <v>0</v>
      </c>
      <c r="P189" s="49">
        <f t="shared" si="16"/>
        <v>0</v>
      </c>
      <c r="Q189" s="49">
        <f t="shared" si="17"/>
        <v>0</v>
      </c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7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44"/>
      <c r="E190" s="44"/>
      <c r="F190" s="80"/>
      <c r="G190" s="49">
        <f t="shared" si="9"/>
        <v>0</v>
      </c>
      <c r="H190" s="49">
        <f t="shared" si="10"/>
        <v>0</v>
      </c>
      <c r="I190" s="49">
        <f t="shared" si="11"/>
        <v>0</v>
      </c>
      <c r="J190" s="80"/>
      <c r="K190" s="49">
        <f t="shared" si="12"/>
        <v>0</v>
      </c>
      <c r="L190" s="49">
        <f t="shared" si="13"/>
        <v>0</v>
      </c>
      <c r="M190" s="49">
        <f t="shared" si="14"/>
        <v>0</v>
      </c>
      <c r="N190" s="80"/>
      <c r="O190" s="49">
        <f t="shared" si="15"/>
        <v>0</v>
      </c>
      <c r="P190" s="49">
        <f t="shared" si="16"/>
        <v>0</v>
      </c>
      <c r="Q190" s="49">
        <f t="shared" si="17"/>
        <v>0</v>
      </c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7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44"/>
      <c r="E191" s="44"/>
      <c r="F191" s="80"/>
      <c r="G191" s="49">
        <f t="shared" si="9"/>
        <v>0</v>
      </c>
      <c r="H191" s="49">
        <f t="shared" si="10"/>
        <v>0</v>
      </c>
      <c r="I191" s="49">
        <f t="shared" si="11"/>
        <v>0</v>
      </c>
      <c r="J191" s="80"/>
      <c r="K191" s="49">
        <f t="shared" si="12"/>
        <v>0</v>
      </c>
      <c r="L191" s="49">
        <f t="shared" si="13"/>
        <v>0</v>
      </c>
      <c r="M191" s="49">
        <f t="shared" si="14"/>
        <v>0</v>
      </c>
      <c r="N191" s="80"/>
      <c r="O191" s="49">
        <f t="shared" si="15"/>
        <v>0</v>
      </c>
      <c r="P191" s="49">
        <f t="shared" si="16"/>
        <v>0</v>
      </c>
      <c r="Q191" s="49">
        <f t="shared" si="17"/>
        <v>0</v>
      </c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7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44"/>
      <c r="E192" s="44"/>
      <c r="F192" s="80"/>
      <c r="G192" s="49">
        <f t="shared" si="9"/>
        <v>0</v>
      </c>
      <c r="H192" s="49">
        <f t="shared" si="10"/>
        <v>0</v>
      </c>
      <c r="I192" s="49">
        <f t="shared" si="11"/>
        <v>0</v>
      </c>
      <c r="J192" s="80"/>
      <c r="K192" s="49">
        <f t="shared" si="12"/>
        <v>0</v>
      </c>
      <c r="L192" s="49">
        <f t="shared" si="13"/>
        <v>0</v>
      </c>
      <c r="M192" s="49">
        <f t="shared" si="14"/>
        <v>0</v>
      </c>
      <c r="N192" s="80"/>
      <c r="O192" s="49">
        <f t="shared" si="15"/>
        <v>0</v>
      </c>
      <c r="P192" s="49">
        <f t="shared" si="16"/>
        <v>0</v>
      </c>
      <c r="Q192" s="49">
        <f t="shared" si="17"/>
        <v>0</v>
      </c>
      <c r="R192" s="80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7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44"/>
      <c r="E193" s="44"/>
      <c r="F193" s="80"/>
      <c r="G193" s="49">
        <f t="shared" si="9"/>
        <v>0</v>
      </c>
      <c r="H193" s="49">
        <f t="shared" si="10"/>
        <v>0</v>
      </c>
      <c r="I193" s="49">
        <f t="shared" si="11"/>
        <v>0</v>
      </c>
      <c r="J193" s="80"/>
      <c r="K193" s="49">
        <f t="shared" si="12"/>
        <v>0</v>
      </c>
      <c r="L193" s="49">
        <f t="shared" si="13"/>
        <v>0</v>
      </c>
      <c r="M193" s="49">
        <f t="shared" si="14"/>
        <v>0</v>
      </c>
      <c r="N193" s="80"/>
      <c r="O193" s="49">
        <f t="shared" si="15"/>
        <v>0</v>
      </c>
      <c r="P193" s="49">
        <f t="shared" si="16"/>
        <v>0</v>
      </c>
      <c r="Q193" s="49">
        <f t="shared" si="17"/>
        <v>0</v>
      </c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7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44"/>
      <c r="E194" s="44"/>
      <c r="F194" s="80"/>
      <c r="G194" s="49">
        <f t="shared" si="9"/>
        <v>0</v>
      </c>
      <c r="H194" s="49">
        <f t="shared" si="10"/>
        <v>0</v>
      </c>
      <c r="I194" s="49">
        <f t="shared" si="11"/>
        <v>0</v>
      </c>
      <c r="J194" s="80"/>
      <c r="K194" s="49">
        <f t="shared" si="12"/>
        <v>0</v>
      </c>
      <c r="L194" s="49">
        <f t="shared" si="13"/>
        <v>0</v>
      </c>
      <c r="M194" s="49">
        <f t="shared" si="14"/>
        <v>0</v>
      </c>
      <c r="N194" s="80"/>
      <c r="O194" s="49">
        <f t="shared" si="15"/>
        <v>0</v>
      </c>
      <c r="P194" s="49">
        <f t="shared" si="16"/>
        <v>0</v>
      </c>
      <c r="Q194" s="49">
        <f t="shared" si="17"/>
        <v>0</v>
      </c>
      <c r="R194" s="80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7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44"/>
      <c r="E195" s="44"/>
      <c r="F195" s="80"/>
      <c r="G195" s="49">
        <f t="shared" si="9"/>
        <v>0</v>
      </c>
      <c r="H195" s="49">
        <f t="shared" si="10"/>
        <v>0</v>
      </c>
      <c r="I195" s="49">
        <f t="shared" si="11"/>
        <v>0</v>
      </c>
      <c r="J195" s="80"/>
      <c r="K195" s="49">
        <f t="shared" si="12"/>
        <v>0</v>
      </c>
      <c r="L195" s="49">
        <f t="shared" si="13"/>
        <v>0</v>
      </c>
      <c r="M195" s="49">
        <f t="shared" si="14"/>
        <v>0</v>
      </c>
      <c r="N195" s="80"/>
      <c r="O195" s="49">
        <f t="shared" si="15"/>
        <v>0</v>
      </c>
      <c r="P195" s="49">
        <f t="shared" si="16"/>
        <v>0</v>
      </c>
      <c r="Q195" s="49">
        <f t="shared" si="17"/>
        <v>0</v>
      </c>
      <c r="R195" s="80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7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44"/>
      <c r="E196" s="44"/>
      <c r="F196" s="80"/>
      <c r="G196" s="49">
        <f t="shared" si="9"/>
        <v>0</v>
      </c>
      <c r="H196" s="49">
        <f t="shared" si="10"/>
        <v>0</v>
      </c>
      <c r="I196" s="49">
        <f t="shared" si="11"/>
        <v>0</v>
      </c>
      <c r="J196" s="80"/>
      <c r="K196" s="49">
        <f t="shared" si="12"/>
        <v>0</v>
      </c>
      <c r="L196" s="49">
        <f t="shared" si="13"/>
        <v>0</v>
      </c>
      <c r="M196" s="49">
        <f t="shared" si="14"/>
        <v>0</v>
      </c>
      <c r="N196" s="80"/>
      <c r="O196" s="49">
        <f t="shared" si="15"/>
        <v>0</v>
      </c>
      <c r="P196" s="49">
        <f t="shared" si="16"/>
        <v>0</v>
      </c>
      <c r="Q196" s="49">
        <f t="shared" si="17"/>
        <v>0</v>
      </c>
      <c r="R196" s="80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7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44"/>
      <c r="E197" s="44"/>
      <c r="F197" s="80"/>
      <c r="G197" s="49">
        <f t="shared" si="9"/>
        <v>0</v>
      </c>
      <c r="H197" s="49">
        <f t="shared" si="10"/>
        <v>0</v>
      </c>
      <c r="I197" s="49">
        <f t="shared" si="11"/>
        <v>0</v>
      </c>
      <c r="J197" s="80"/>
      <c r="K197" s="49">
        <f t="shared" si="12"/>
        <v>0</v>
      </c>
      <c r="L197" s="49">
        <f t="shared" si="13"/>
        <v>0</v>
      </c>
      <c r="M197" s="49">
        <f t="shared" si="14"/>
        <v>0</v>
      </c>
      <c r="N197" s="80"/>
      <c r="O197" s="49">
        <f t="shared" si="15"/>
        <v>0</v>
      </c>
      <c r="P197" s="49">
        <f t="shared" si="16"/>
        <v>0</v>
      </c>
      <c r="Q197" s="49">
        <f t="shared" si="17"/>
        <v>0</v>
      </c>
      <c r="R197" s="80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7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44"/>
      <c r="E198" s="44"/>
      <c r="F198" s="80"/>
      <c r="G198" s="49">
        <f t="shared" si="9"/>
        <v>0</v>
      </c>
      <c r="H198" s="49">
        <f t="shared" si="10"/>
        <v>0</v>
      </c>
      <c r="I198" s="49">
        <f t="shared" si="11"/>
        <v>0</v>
      </c>
      <c r="J198" s="80"/>
      <c r="K198" s="49">
        <f t="shared" si="12"/>
        <v>0</v>
      </c>
      <c r="L198" s="49">
        <f t="shared" si="13"/>
        <v>0</v>
      </c>
      <c r="M198" s="49">
        <f t="shared" si="14"/>
        <v>0</v>
      </c>
      <c r="N198" s="80"/>
      <c r="O198" s="49">
        <f t="shared" si="15"/>
        <v>0</v>
      </c>
      <c r="P198" s="49">
        <f t="shared" si="16"/>
        <v>0</v>
      </c>
      <c r="Q198" s="49">
        <f t="shared" si="17"/>
        <v>0</v>
      </c>
      <c r="R198" s="80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7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44"/>
      <c r="E199" s="44"/>
      <c r="F199" s="80"/>
      <c r="G199" s="49">
        <f t="shared" si="9"/>
        <v>0</v>
      </c>
      <c r="H199" s="49">
        <f t="shared" si="10"/>
        <v>0</v>
      </c>
      <c r="I199" s="49">
        <f t="shared" si="11"/>
        <v>0</v>
      </c>
      <c r="J199" s="80"/>
      <c r="K199" s="49">
        <f t="shared" si="12"/>
        <v>0</v>
      </c>
      <c r="L199" s="49">
        <f t="shared" si="13"/>
        <v>0</v>
      </c>
      <c r="M199" s="49">
        <f t="shared" si="14"/>
        <v>0</v>
      </c>
      <c r="N199" s="80"/>
      <c r="O199" s="49">
        <f t="shared" si="15"/>
        <v>0</v>
      </c>
      <c r="P199" s="49">
        <f t="shared" si="16"/>
        <v>0</v>
      </c>
      <c r="Q199" s="49">
        <f t="shared" si="17"/>
        <v>0</v>
      </c>
      <c r="R199" s="80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7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44"/>
      <c r="E200" s="44"/>
      <c r="F200" s="80"/>
      <c r="G200" s="49">
        <f t="shared" si="9"/>
        <v>0</v>
      </c>
      <c r="H200" s="49">
        <f t="shared" si="10"/>
        <v>0</v>
      </c>
      <c r="I200" s="49">
        <f t="shared" si="11"/>
        <v>0</v>
      </c>
      <c r="J200" s="80"/>
      <c r="K200" s="49">
        <f t="shared" si="12"/>
        <v>0</v>
      </c>
      <c r="L200" s="49">
        <f t="shared" si="13"/>
        <v>0</v>
      </c>
      <c r="M200" s="49">
        <f t="shared" si="14"/>
        <v>0</v>
      </c>
      <c r="N200" s="80"/>
      <c r="O200" s="49">
        <f t="shared" si="15"/>
        <v>0</v>
      </c>
      <c r="P200" s="49">
        <f t="shared" si="16"/>
        <v>0</v>
      </c>
      <c r="Q200" s="49">
        <f t="shared" si="17"/>
        <v>0</v>
      </c>
      <c r="R200" s="80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7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44"/>
      <c r="E201" s="44"/>
      <c r="F201" s="80"/>
      <c r="G201" s="49">
        <f t="shared" si="9"/>
        <v>0</v>
      </c>
      <c r="H201" s="49">
        <f t="shared" si="10"/>
        <v>0</v>
      </c>
      <c r="I201" s="49">
        <f t="shared" si="11"/>
        <v>0</v>
      </c>
      <c r="J201" s="80"/>
      <c r="K201" s="49">
        <f t="shared" si="12"/>
        <v>0</v>
      </c>
      <c r="L201" s="49">
        <f t="shared" si="13"/>
        <v>0</v>
      </c>
      <c r="M201" s="49">
        <f t="shared" si="14"/>
        <v>0</v>
      </c>
      <c r="N201" s="80"/>
      <c r="O201" s="49">
        <f t="shared" si="15"/>
        <v>0</v>
      </c>
      <c r="P201" s="49">
        <f t="shared" si="16"/>
        <v>0</v>
      </c>
      <c r="Q201" s="49">
        <f t="shared" si="17"/>
        <v>0</v>
      </c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7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44"/>
      <c r="E202" s="44"/>
      <c r="F202" s="80"/>
      <c r="G202" s="49">
        <f t="shared" si="9"/>
        <v>0</v>
      </c>
      <c r="H202" s="49">
        <f t="shared" si="10"/>
        <v>0</v>
      </c>
      <c r="I202" s="49">
        <f t="shared" si="11"/>
        <v>0</v>
      </c>
      <c r="J202" s="80"/>
      <c r="K202" s="49">
        <f t="shared" si="12"/>
        <v>0</v>
      </c>
      <c r="L202" s="49">
        <f t="shared" si="13"/>
        <v>0</v>
      </c>
      <c r="M202" s="49">
        <f t="shared" si="14"/>
        <v>0</v>
      </c>
      <c r="N202" s="80"/>
      <c r="O202" s="49">
        <f t="shared" si="15"/>
        <v>0</v>
      </c>
      <c r="P202" s="49">
        <f t="shared" si="16"/>
        <v>0</v>
      </c>
      <c r="Q202" s="49">
        <f t="shared" si="17"/>
        <v>0</v>
      </c>
      <c r="R202" s="80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7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44"/>
      <c r="E203" s="44"/>
      <c r="F203" s="80"/>
      <c r="G203" s="49">
        <f t="shared" si="9"/>
        <v>0</v>
      </c>
      <c r="H203" s="49">
        <f t="shared" si="10"/>
        <v>0</v>
      </c>
      <c r="I203" s="49">
        <f t="shared" si="11"/>
        <v>0</v>
      </c>
      <c r="J203" s="80"/>
      <c r="K203" s="49">
        <f t="shared" si="12"/>
        <v>0</v>
      </c>
      <c r="L203" s="49">
        <f t="shared" si="13"/>
        <v>0</v>
      </c>
      <c r="M203" s="49">
        <f t="shared" si="14"/>
        <v>0</v>
      </c>
      <c r="N203" s="80"/>
      <c r="O203" s="49">
        <f t="shared" si="15"/>
        <v>0</v>
      </c>
      <c r="P203" s="49">
        <f t="shared" si="16"/>
        <v>0</v>
      </c>
      <c r="Q203" s="49">
        <f t="shared" si="17"/>
        <v>0</v>
      </c>
      <c r="R203" s="80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7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D204" s="44"/>
      <c r="E204" s="44"/>
      <c r="G204" s="49">
        <f t="shared" si="9"/>
        <v>0</v>
      </c>
      <c r="H204" s="49">
        <f t="shared" si="10"/>
        <v>0</v>
      </c>
      <c r="I204" s="49">
        <f t="shared" si="11"/>
        <v>0</v>
      </c>
      <c r="K204" s="49">
        <f t="shared" si="12"/>
        <v>0</v>
      </c>
      <c r="L204" s="49">
        <f t="shared" si="13"/>
        <v>0</v>
      </c>
      <c r="M204" s="49">
        <f t="shared" si="14"/>
        <v>0</v>
      </c>
      <c r="O204" s="49">
        <f t="shared" si="15"/>
        <v>0</v>
      </c>
      <c r="P204" s="49">
        <f t="shared" si="16"/>
        <v>0</v>
      </c>
      <c r="Q204" s="49">
        <f t="shared" si="17"/>
        <v>0</v>
      </c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7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44"/>
      <c r="E205" s="44"/>
      <c r="F205" s="80"/>
      <c r="G205" s="49">
        <f t="shared" si="9"/>
        <v>0</v>
      </c>
      <c r="H205" s="49">
        <f t="shared" si="10"/>
        <v>0</v>
      </c>
      <c r="I205" s="49">
        <f t="shared" si="11"/>
        <v>0</v>
      </c>
      <c r="J205" s="80"/>
      <c r="K205" s="49">
        <f t="shared" si="12"/>
        <v>0</v>
      </c>
      <c r="L205" s="49">
        <f t="shared" si="13"/>
        <v>0</v>
      </c>
      <c r="M205" s="49">
        <f t="shared" si="14"/>
        <v>0</v>
      </c>
      <c r="N205" s="80"/>
      <c r="O205" s="49">
        <f t="shared" si="15"/>
        <v>0</v>
      </c>
      <c r="P205" s="49">
        <f t="shared" si="16"/>
        <v>0</v>
      </c>
      <c r="Q205" s="49">
        <f t="shared" si="17"/>
        <v>0</v>
      </c>
      <c r="R205" s="80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7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44"/>
      <c r="E206" s="44"/>
      <c r="F206" s="80"/>
      <c r="G206" s="49">
        <f t="shared" si="9"/>
        <v>0</v>
      </c>
      <c r="H206" s="49">
        <f t="shared" si="10"/>
        <v>0</v>
      </c>
      <c r="I206" s="49">
        <f t="shared" si="11"/>
        <v>0</v>
      </c>
      <c r="J206" s="80"/>
      <c r="K206" s="49">
        <f t="shared" si="12"/>
        <v>0</v>
      </c>
      <c r="L206" s="49">
        <f t="shared" si="13"/>
        <v>0</v>
      </c>
      <c r="M206" s="49">
        <f t="shared" si="14"/>
        <v>0</v>
      </c>
      <c r="N206" s="80"/>
      <c r="O206" s="49">
        <f t="shared" si="15"/>
        <v>0</v>
      </c>
      <c r="P206" s="49">
        <f t="shared" si="16"/>
        <v>0</v>
      </c>
      <c r="Q206" s="49">
        <f t="shared" si="17"/>
        <v>0</v>
      </c>
      <c r="R206" s="80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7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D207" s="44"/>
      <c r="E207" s="44"/>
      <c r="G207" s="49">
        <f t="shared" si="9"/>
        <v>0</v>
      </c>
      <c r="H207" s="49">
        <f t="shared" si="10"/>
        <v>0</v>
      </c>
      <c r="I207" s="49">
        <f t="shared" si="11"/>
        <v>0</v>
      </c>
      <c r="K207" s="49">
        <f t="shared" si="12"/>
        <v>0</v>
      </c>
      <c r="L207" s="49">
        <f t="shared" si="13"/>
        <v>0</v>
      </c>
      <c r="M207" s="49">
        <f t="shared" si="14"/>
        <v>0</v>
      </c>
      <c r="O207" s="49">
        <f t="shared" si="15"/>
        <v>0</v>
      </c>
      <c r="P207" s="49">
        <f t="shared" si="16"/>
        <v>0</v>
      </c>
      <c r="Q207" s="49">
        <f t="shared" si="17"/>
        <v>0</v>
      </c>
      <c r="R207" s="80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7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44"/>
      <c r="E208" s="44"/>
      <c r="F208" s="80"/>
      <c r="G208" s="49">
        <f t="shared" si="9"/>
        <v>0</v>
      </c>
      <c r="H208" s="49">
        <f t="shared" si="10"/>
        <v>0</v>
      </c>
      <c r="I208" s="49">
        <f t="shared" si="11"/>
        <v>0</v>
      </c>
      <c r="J208" s="80"/>
      <c r="K208" s="49">
        <f t="shared" si="12"/>
        <v>0</v>
      </c>
      <c r="L208" s="49">
        <f t="shared" si="13"/>
        <v>0</v>
      </c>
      <c r="M208" s="49">
        <f t="shared" si="14"/>
        <v>0</v>
      </c>
      <c r="N208" s="80"/>
      <c r="O208" s="49">
        <f t="shared" si="15"/>
        <v>0</v>
      </c>
      <c r="P208" s="49">
        <f t="shared" si="16"/>
        <v>0</v>
      </c>
      <c r="Q208" s="49">
        <f t="shared" si="17"/>
        <v>0</v>
      </c>
      <c r="R208" s="80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7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44"/>
      <c r="E209" s="44"/>
      <c r="F209" s="80"/>
      <c r="G209" s="49">
        <f t="shared" si="9"/>
        <v>0</v>
      </c>
      <c r="H209" s="49">
        <f t="shared" si="10"/>
        <v>0</v>
      </c>
      <c r="I209" s="49">
        <f t="shared" si="11"/>
        <v>0</v>
      </c>
      <c r="J209" s="80"/>
      <c r="K209" s="49">
        <f t="shared" si="12"/>
        <v>0</v>
      </c>
      <c r="L209" s="49">
        <f t="shared" si="13"/>
        <v>0</v>
      </c>
      <c r="M209" s="49">
        <f t="shared" si="14"/>
        <v>0</v>
      </c>
      <c r="N209" s="80"/>
      <c r="O209" s="49">
        <f t="shared" si="15"/>
        <v>0</v>
      </c>
      <c r="P209" s="49">
        <f t="shared" si="16"/>
        <v>0</v>
      </c>
      <c r="Q209" s="49">
        <f t="shared" si="17"/>
        <v>0</v>
      </c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7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44"/>
      <c r="E210" s="44"/>
      <c r="F210" s="80"/>
      <c r="G210" s="49">
        <f t="shared" si="9"/>
        <v>0</v>
      </c>
      <c r="H210" s="49">
        <f t="shared" si="10"/>
        <v>0</v>
      </c>
      <c r="I210" s="49">
        <f t="shared" si="11"/>
        <v>0</v>
      </c>
      <c r="J210" s="80"/>
      <c r="K210" s="49">
        <f t="shared" si="12"/>
        <v>0</v>
      </c>
      <c r="L210" s="49">
        <f t="shared" si="13"/>
        <v>0</v>
      </c>
      <c r="M210" s="49">
        <f t="shared" si="14"/>
        <v>0</v>
      </c>
      <c r="N210" s="80"/>
      <c r="O210" s="49">
        <f t="shared" si="15"/>
        <v>0</v>
      </c>
      <c r="P210" s="49">
        <f t="shared" si="16"/>
        <v>0</v>
      </c>
      <c r="Q210" s="49">
        <f t="shared" si="17"/>
        <v>0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7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44"/>
      <c r="E211" s="44"/>
      <c r="F211" s="80"/>
      <c r="G211" s="49">
        <f t="shared" si="9"/>
        <v>0</v>
      </c>
      <c r="H211" s="49">
        <f t="shared" si="10"/>
        <v>0</v>
      </c>
      <c r="I211" s="49">
        <f t="shared" si="11"/>
        <v>0</v>
      </c>
      <c r="J211" s="80"/>
      <c r="K211" s="49">
        <f t="shared" si="12"/>
        <v>0</v>
      </c>
      <c r="L211" s="49">
        <f t="shared" si="13"/>
        <v>0</v>
      </c>
      <c r="M211" s="49">
        <f t="shared" si="14"/>
        <v>0</v>
      </c>
      <c r="N211" s="80"/>
      <c r="O211" s="49">
        <f t="shared" si="15"/>
        <v>0</v>
      </c>
      <c r="P211" s="49">
        <f t="shared" si="16"/>
        <v>0</v>
      </c>
      <c r="Q211" s="49">
        <f t="shared" si="17"/>
        <v>0</v>
      </c>
      <c r="R211" s="80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7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44"/>
      <c r="E212" s="44"/>
      <c r="F212" s="80"/>
      <c r="G212" s="49">
        <f t="shared" si="9"/>
        <v>0</v>
      </c>
      <c r="H212" s="49">
        <f t="shared" si="10"/>
        <v>0</v>
      </c>
      <c r="I212" s="49">
        <f t="shared" si="11"/>
        <v>0</v>
      </c>
      <c r="J212" s="80"/>
      <c r="K212" s="49">
        <f t="shared" si="12"/>
        <v>0</v>
      </c>
      <c r="L212" s="49">
        <f t="shared" si="13"/>
        <v>0</v>
      </c>
      <c r="M212" s="49">
        <f t="shared" si="14"/>
        <v>0</v>
      </c>
      <c r="N212" s="80"/>
      <c r="O212" s="49">
        <f t="shared" si="15"/>
        <v>0</v>
      </c>
      <c r="P212" s="49">
        <f t="shared" si="16"/>
        <v>0</v>
      </c>
      <c r="Q212" s="49">
        <f t="shared" si="17"/>
        <v>0</v>
      </c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7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44"/>
      <c r="E213" s="44"/>
      <c r="F213" s="80"/>
      <c r="G213" s="49">
        <f t="shared" si="9"/>
        <v>0</v>
      </c>
      <c r="H213" s="49">
        <f t="shared" si="10"/>
        <v>0</v>
      </c>
      <c r="I213" s="49">
        <f t="shared" si="11"/>
        <v>0</v>
      </c>
      <c r="J213" s="80"/>
      <c r="K213" s="49">
        <f t="shared" si="12"/>
        <v>0</v>
      </c>
      <c r="L213" s="49">
        <f t="shared" si="13"/>
        <v>0</v>
      </c>
      <c r="M213" s="49">
        <f t="shared" si="14"/>
        <v>0</v>
      </c>
      <c r="N213" s="80"/>
      <c r="O213" s="49">
        <f t="shared" si="15"/>
        <v>0</v>
      </c>
      <c r="P213" s="49">
        <f t="shared" si="16"/>
        <v>0</v>
      </c>
      <c r="Q213" s="49">
        <f t="shared" si="17"/>
        <v>0</v>
      </c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7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D214" s="44"/>
      <c r="E214" s="44"/>
      <c r="G214" s="49">
        <f t="shared" si="9"/>
        <v>0</v>
      </c>
      <c r="H214" s="49">
        <f t="shared" si="10"/>
        <v>0</v>
      </c>
      <c r="I214" s="49">
        <f t="shared" si="11"/>
        <v>0</v>
      </c>
      <c r="K214" s="49">
        <f t="shared" si="12"/>
        <v>0</v>
      </c>
      <c r="L214" s="49">
        <f t="shared" si="13"/>
        <v>0</v>
      </c>
      <c r="M214" s="49">
        <f t="shared" si="14"/>
        <v>0</v>
      </c>
      <c r="O214" s="49">
        <f t="shared" si="15"/>
        <v>0</v>
      </c>
      <c r="P214" s="49">
        <f t="shared" si="16"/>
        <v>0</v>
      </c>
      <c r="Q214" s="49">
        <f t="shared" si="17"/>
        <v>0</v>
      </c>
      <c r="R214" s="80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7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44"/>
      <c r="E215" s="44"/>
      <c r="F215" s="80"/>
      <c r="G215" s="49">
        <f t="shared" si="9"/>
        <v>0</v>
      </c>
      <c r="H215" s="49">
        <f t="shared" si="10"/>
        <v>0</v>
      </c>
      <c r="I215" s="49">
        <f t="shared" si="11"/>
        <v>0</v>
      </c>
      <c r="J215" s="80"/>
      <c r="K215" s="49">
        <f t="shared" si="12"/>
        <v>0</v>
      </c>
      <c r="L215" s="49">
        <f t="shared" si="13"/>
        <v>0</v>
      </c>
      <c r="M215" s="49">
        <f t="shared" si="14"/>
        <v>0</v>
      </c>
      <c r="N215" s="80"/>
      <c r="O215" s="49">
        <f t="shared" si="15"/>
        <v>0</v>
      </c>
      <c r="P215" s="49">
        <f t="shared" si="16"/>
        <v>0</v>
      </c>
      <c r="Q215" s="49">
        <f t="shared" si="17"/>
        <v>0</v>
      </c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7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44"/>
      <c r="E216" s="44"/>
      <c r="F216" s="80"/>
      <c r="G216" s="49">
        <f t="shared" si="9"/>
        <v>0</v>
      </c>
      <c r="H216" s="49">
        <f t="shared" si="10"/>
        <v>0</v>
      </c>
      <c r="I216" s="49">
        <f t="shared" si="11"/>
        <v>0</v>
      </c>
      <c r="J216" s="80"/>
      <c r="K216" s="49">
        <f t="shared" si="12"/>
        <v>0</v>
      </c>
      <c r="L216" s="49">
        <f t="shared" si="13"/>
        <v>0</v>
      </c>
      <c r="M216" s="49">
        <f t="shared" si="14"/>
        <v>0</v>
      </c>
      <c r="N216" s="80"/>
      <c r="O216" s="49">
        <f t="shared" si="15"/>
        <v>0</v>
      </c>
      <c r="P216" s="49">
        <f t="shared" si="16"/>
        <v>0</v>
      </c>
      <c r="Q216" s="49">
        <f t="shared" si="17"/>
        <v>0</v>
      </c>
      <c r="R216" s="80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7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44"/>
      <c r="E217" s="44"/>
      <c r="F217" s="80"/>
      <c r="G217" s="49">
        <f t="shared" si="9"/>
        <v>0</v>
      </c>
      <c r="H217" s="49">
        <f t="shared" si="10"/>
        <v>0</v>
      </c>
      <c r="I217" s="49">
        <f t="shared" si="11"/>
        <v>0</v>
      </c>
      <c r="J217" s="80"/>
      <c r="K217" s="49">
        <f t="shared" si="12"/>
        <v>0</v>
      </c>
      <c r="L217" s="49">
        <f t="shared" si="13"/>
        <v>0</v>
      </c>
      <c r="M217" s="49">
        <f t="shared" si="14"/>
        <v>0</v>
      </c>
      <c r="N217" s="80"/>
      <c r="O217" s="49">
        <f t="shared" si="15"/>
        <v>0</v>
      </c>
      <c r="P217" s="49">
        <f t="shared" si="16"/>
        <v>0</v>
      </c>
      <c r="Q217" s="49">
        <f t="shared" si="17"/>
        <v>0</v>
      </c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7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44"/>
      <c r="E218" s="44"/>
      <c r="F218" s="80"/>
      <c r="G218" s="49">
        <f t="shared" si="9"/>
        <v>0</v>
      </c>
      <c r="H218" s="49">
        <f t="shared" si="10"/>
        <v>0</v>
      </c>
      <c r="I218" s="49">
        <f t="shared" si="11"/>
        <v>0</v>
      </c>
      <c r="J218" s="80"/>
      <c r="K218" s="49">
        <f t="shared" si="12"/>
        <v>0</v>
      </c>
      <c r="L218" s="49">
        <f t="shared" si="13"/>
        <v>0</v>
      </c>
      <c r="M218" s="49">
        <f t="shared" si="14"/>
        <v>0</v>
      </c>
      <c r="N218" s="80"/>
      <c r="O218" s="49">
        <f t="shared" si="15"/>
        <v>0</v>
      </c>
      <c r="P218" s="49">
        <f t="shared" si="16"/>
        <v>0</v>
      </c>
      <c r="Q218" s="49">
        <f t="shared" si="17"/>
        <v>0</v>
      </c>
      <c r="R218" s="80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7">
        <f>'Sessional + End Term Assessment'!A220</f>
        <v>213</v>
      </c>
      <c r="B219" s="81">
        <f>'Sessional + End Term Assessment'!B220</f>
        <v>0</v>
      </c>
      <c r="C219" s="81">
        <f>'Sessional + End Term Assessment'!C220</f>
        <v>0</v>
      </c>
      <c r="D219" s="44"/>
      <c r="E219" s="44"/>
      <c r="F219" s="80"/>
      <c r="G219" s="49">
        <f t="shared" ref="G219:G256" si="18">IF(F219&gt;=($F$6*0.5),1,0)</f>
        <v>0</v>
      </c>
      <c r="H219" s="49">
        <f t="shared" ref="H219:H256" si="19">IF(F219&gt;=($F$6*0.6),1,0)</f>
        <v>0</v>
      </c>
      <c r="I219" s="49">
        <f t="shared" ref="I219:I256" si="20">IF(F219&gt;=($F$6*0.7),1,0)</f>
        <v>0</v>
      </c>
      <c r="J219" s="80"/>
      <c r="K219" s="49">
        <f t="shared" ref="K219:K256" si="21">IF(J219&gt;=($J$6*0.7),1,0)</f>
        <v>0</v>
      </c>
      <c r="L219" s="49">
        <f t="shared" ref="L219:L256" si="22">IF(J219&gt;=($J$6*0.8),1,0)</f>
        <v>0</v>
      </c>
      <c r="M219" s="49">
        <f t="shared" ref="M219:M256" si="23">IF(J219&gt;=($J$6*0.9),1,0)</f>
        <v>0</v>
      </c>
      <c r="N219" s="80"/>
      <c r="O219" s="49">
        <f t="shared" ref="O219:O256" si="24">IF(N219&gt;=($N$6*0.7),1,0)</f>
        <v>0</v>
      </c>
      <c r="P219" s="49">
        <f t="shared" ref="P219:P256" si="25">IF(N219&gt;=($N$6*0.8),1,0)</f>
        <v>0</v>
      </c>
      <c r="Q219" s="49">
        <f t="shared" ref="Q219:Q256" si="26">IF(N219&gt;=($N$6*0.9),1,0)</f>
        <v>0</v>
      </c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7">
        <f>'Sessional + End Term Assessment'!A221</f>
        <v>214</v>
      </c>
      <c r="B220" s="81">
        <f>'Sessional + End Term Assessment'!B221</f>
        <v>0</v>
      </c>
      <c r="C220" s="81">
        <f>'Sessional + End Term Assessment'!C221</f>
        <v>0</v>
      </c>
      <c r="D220" s="44"/>
      <c r="E220" s="44"/>
      <c r="F220" s="80"/>
      <c r="G220" s="49">
        <f t="shared" si="18"/>
        <v>0</v>
      </c>
      <c r="H220" s="49">
        <f t="shared" si="19"/>
        <v>0</v>
      </c>
      <c r="I220" s="49">
        <f t="shared" si="20"/>
        <v>0</v>
      </c>
      <c r="J220" s="80"/>
      <c r="K220" s="49">
        <f t="shared" si="21"/>
        <v>0</v>
      </c>
      <c r="L220" s="49">
        <f t="shared" si="22"/>
        <v>0</v>
      </c>
      <c r="M220" s="49">
        <f t="shared" si="23"/>
        <v>0</v>
      </c>
      <c r="N220" s="80"/>
      <c r="O220" s="49">
        <f t="shared" si="24"/>
        <v>0</v>
      </c>
      <c r="P220" s="49">
        <f t="shared" si="25"/>
        <v>0</v>
      </c>
      <c r="Q220" s="49">
        <f t="shared" si="26"/>
        <v>0</v>
      </c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7">
        <f>'Sessional + End Term Assessment'!A222</f>
        <v>215</v>
      </c>
      <c r="B221" s="81">
        <f>'Sessional + End Term Assessment'!B222</f>
        <v>0</v>
      </c>
      <c r="C221" s="81">
        <f>'Sessional + End Term Assessment'!C222</f>
        <v>0</v>
      </c>
      <c r="D221" s="44"/>
      <c r="E221" s="44"/>
      <c r="F221" s="80"/>
      <c r="G221" s="49">
        <f t="shared" si="18"/>
        <v>0</v>
      </c>
      <c r="H221" s="49">
        <f t="shared" si="19"/>
        <v>0</v>
      </c>
      <c r="I221" s="49">
        <f t="shared" si="20"/>
        <v>0</v>
      </c>
      <c r="J221" s="80"/>
      <c r="K221" s="49">
        <f t="shared" si="21"/>
        <v>0</v>
      </c>
      <c r="L221" s="49">
        <f t="shared" si="22"/>
        <v>0</v>
      </c>
      <c r="M221" s="49">
        <f t="shared" si="23"/>
        <v>0</v>
      </c>
      <c r="N221" s="80"/>
      <c r="O221" s="49">
        <f t="shared" si="24"/>
        <v>0</v>
      </c>
      <c r="P221" s="49">
        <f t="shared" si="25"/>
        <v>0</v>
      </c>
      <c r="Q221" s="49">
        <f t="shared" si="26"/>
        <v>0</v>
      </c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7">
        <f>'Sessional + End Term Assessment'!A223</f>
        <v>216</v>
      </c>
      <c r="B222" s="81">
        <f>'Sessional + End Term Assessment'!B223</f>
        <v>0</v>
      </c>
      <c r="C222" s="81">
        <f>'Sessional + End Term Assessment'!C223</f>
        <v>0</v>
      </c>
      <c r="D222" s="44"/>
      <c r="E222" s="44"/>
      <c r="F222" s="80"/>
      <c r="G222" s="49">
        <f t="shared" si="18"/>
        <v>0</v>
      </c>
      <c r="H222" s="49">
        <f t="shared" si="19"/>
        <v>0</v>
      </c>
      <c r="I222" s="49">
        <f t="shared" si="20"/>
        <v>0</v>
      </c>
      <c r="J222" s="80"/>
      <c r="K222" s="49">
        <f t="shared" si="21"/>
        <v>0</v>
      </c>
      <c r="L222" s="49">
        <f t="shared" si="22"/>
        <v>0</v>
      </c>
      <c r="M222" s="49">
        <f t="shared" si="23"/>
        <v>0</v>
      </c>
      <c r="N222" s="80"/>
      <c r="O222" s="49">
        <f t="shared" si="24"/>
        <v>0</v>
      </c>
      <c r="P222" s="49">
        <f t="shared" si="25"/>
        <v>0</v>
      </c>
      <c r="Q222" s="49">
        <f t="shared" si="26"/>
        <v>0</v>
      </c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7">
        <f>'Sessional + End Term Assessment'!A224</f>
        <v>217</v>
      </c>
      <c r="B223" s="81">
        <f>'Sessional + End Term Assessment'!B224</f>
        <v>0</v>
      </c>
      <c r="C223" s="81">
        <f>'Sessional + End Term Assessment'!C224</f>
        <v>0</v>
      </c>
      <c r="D223" s="44"/>
      <c r="E223" s="44"/>
      <c r="F223" s="80"/>
      <c r="G223" s="49">
        <f t="shared" si="18"/>
        <v>0</v>
      </c>
      <c r="H223" s="49">
        <f t="shared" si="19"/>
        <v>0</v>
      </c>
      <c r="I223" s="49">
        <f t="shared" si="20"/>
        <v>0</v>
      </c>
      <c r="J223" s="80"/>
      <c r="K223" s="49">
        <f t="shared" si="21"/>
        <v>0</v>
      </c>
      <c r="L223" s="49">
        <f t="shared" si="22"/>
        <v>0</v>
      </c>
      <c r="M223" s="49">
        <f t="shared" si="23"/>
        <v>0</v>
      </c>
      <c r="N223" s="80"/>
      <c r="O223" s="49">
        <f t="shared" si="24"/>
        <v>0</v>
      </c>
      <c r="P223" s="49">
        <f t="shared" si="25"/>
        <v>0</v>
      </c>
      <c r="Q223" s="49">
        <f t="shared" si="26"/>
        <v>0</v>
      </c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7">
        <f>'Sessional + End Term Assessment'!A225</f>
        <v>218</v>
      </c>
      <c r="B224" s="81">
        <f>'Sessional + End Term Assessment'!B225</f>
        <v>0</v>
      </c>
      <c r="C224" s="81">
        <f>'Sessional + End Term Assessment'!C225</f>
        <v>0</v>
      </c>
      <c r="D224" s="44"/>
      <c r="E224" s="44"/>
      <c r="F224" s="80"/>
      <c r="G224" s="49">
        <f t="shared" si="18"/>
        <v>0</v>
      </c>
      <c r="H224" s="49">
        <f t="shared" si="19"/>
        <v>0</v>
      </c>
      <c r="I224" s="49">
        <f t="shared" si="20"/>
        <v>0</v>
      </c>
      <c r="J224" s="80"/>
      <c r="K224" s="49">
        <f t="shared" si="21"/>
        <v>0</v>
      </c>
      <c r="L224" s="49">
        <f t="shared" si="22"/>
        <v>0</v>
      </c>
      <c r="M224" s="49">
        <f t="shared" si="23"/>
        <v>0</v>
      </c>
      <c r="N224" s="80"/>
      <c r="O224" s="49">
        <f t="shared" si="24"/>
        <v>0</v>
      </c>
      <c r="P224" s="49">
        <f t="shared" si="25"/>
        <v>0</v>
      </c>
      <c r="Q224" s="49">
        <f t="shared" si="26"/>
        <v>0</v>
      </c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7">
        <f>'Sessional + End Term Assessment'!A226</f>
        <v>219</v>
      </c>
      <c r="B225" s="81">
        <f>'Sessional + End Term Assessment'!B226</f>
        <v>0</v>
      </c>
      <c r="C225" s="81">
        <f>'Sessional + End Term Assessment'!C226</f>
        <v>0</v>
      </c>
      <c r="D225" s="44"/>
      <c r="E225" s="44"/>
      <c r="F225" s="80"/>
      <c r="G225" s="49">
        <f t="shared" si="18"/>
        <v>0</v>
      </c>
      <c r="H225" s="49">
        <f t="shared" si="19"/>
        <v>0</v>
      </c>
      <c r="I225" s="49">
        <f t="shared" si="20"/>
        <v>0</v>
      </c>
      <c r="J225" s="80"/>
      <c r="K225" s="49">
        <f t="shared" si="21"/>
        <v>0</v>
      </c>
      <c r="L225" s="49">
        <f t="shared" si="22"/>
        <v>0</v>
      </c>
      <c r="M225" s="49">
        <f t="shared" si="23"/>
        <v>0</v>
      </c>
      <c r="N225" s="80"/>
      <c r="O225" s="49">
        <f t="shared" si="24"/>
        <v>0</v>
      </c>
      <c r="P225" s="49">
        <f t="shared" si="25"/>
        <v>0</v>
      </c>
      <c r="Q225" s="49">
        <f t="shared" si="26"/>
        <v>0</v>
      </c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7">
        <f>'Sessional + End Term Assessment'!A227</f>
        <v>220</v>
      </c>
      <c r="B226" s="81">
        <f>'Sessional + End Term Assessment'!B227</f>
        <v>0</v>
      </c>
      <c r="C226" s="81">
        <f>'Sessional + End Term Assessment'!C227</f>
        <v>0</v>
      </c>
      <c r="D226" s="44"/>
      <c r="E226" s="44"/>
      <c r="F226" s="80"/>
      <c r="G226" s="49">
        <f t="shared" si="18"/>
        <v>0</v>
      </c>
      <c r="H226" s="49">
        <f t="shared" si="19"/>
        <v>0</v>
      </c>
      <c r="I226" s="49">
        <f t="shared" si="20"/>
        <v>0</v>
      </c>
      <c r="J226" s="80"/>
      <c r="K226" s="49">
        <f t="shared" si="21"/>
        <v>0</v>
      </c>
      <c r="L226" s="49">
        <f t="shared" si="22"/>
        <v>0</v>
      </c>
      <c r="M226" s="49">
        <f t="shared" si="23"/>
        <v>0</v>
      </c>
      <c r="N226" s="80"/>
      <c r="O226" s="49">
        <f t="shared" si="24"/>
        <v>0</v>
      </c>
      <c r="P226" s="49">
        <f t="shared" si="25"/>
        <v>0</v>
      </c>
      <c r="Q226" s="49">
        <f t="shared" si="26"/>
        <v>0</v>
      </c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7">
        <f>'Sessional + End Term Assessment'!A228</f>
        <v>221</v>
      </c>
      <c r="B227" s="81">
        <f>'Sessional + End Term Assessment'!B228</f>
        <v>0</v>
      </c>
      <c r="C227" s="81">
        <f>'Sessional + End Term Assessment'!C228</f>
        <v>0</v>
      </c>
      <c r="D227" s="44"/>
      <c r="E227" s="44"/>
      <c r="F227" s="80"/>
      <c r="G227" s="49">
        <f t="shared" si="18"/>
        <v>0</v>
      </c>
      <c r="H227" s="49">
        <f t="shared" si="19"/>
        <v>0</v>
      </c>
      <c r="I227" s="49">
        <f t="shared" si="20"/>
        <v>0</v>
      </c>
      <c r="J227" s="80"/>
      <c r="K227" s="49">
        <f t="shared" si="21"/>
        <v>0</v>
      </c>
      <c r="L227" s="49">
        <f t="shared" si="22"/>
        <v>0</v>
      </c>
      <c r="M227" s="49">
        <f t="shared" si="23"/>
        <v>0</v>
      </c>
      <c r="N227" s="80"/>
      <c r="O227" s="49">
        <f t="shared" si="24"/>
        <v>0</v>
      </c>
      <c r="P227" s="49">
        <f t="shared" si="25"/>
        <v>0</v>
      </c>
      <c r="Q227" s="49">
        <f t="shared" si="26"/>
        <v>0</v>
      </c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7">
        <f>'Sessional + End Term Assessment'!A229</f>
        <v>222</v>
      </c>
      <c r="B228" s="81">
        <f>'Sessional + End Term Assessment'!B229</f>
        <v>0</v>
      </c>
      <c r="C228" s="81">
        <f>'Sessional + End Term Assessment'!C229</f>
        <v>0</v>
      </c>
      <c r="D228" s="44"/>
      <c r="E228" s="44"/>
      <c r="F228" s="80"/>
      <c r="G228" s="49">
        <f t="shared" si="18"/>
        <v>0</v>
      </c>
      <c r="H228" s="49">
        <f t="shared" si="19"/>
        <v>0</v>
      </c>
      <c r="I228" s="49">
        <f t="shared" si="20"/>
        <v>0</v>
      </c>
      <c r="J228" s="80"/>
      <c r="K228" s="49">
        <f t="shared" si="21"/>
        <v>0</v>
      </c>
      <c r="L228" s="49">
        <f t="shared" si="22"/>
        <v>0</v>
      </c>
      <c r="M228" s="49">
        <f t="shared" si="23"/>
        <v>0</v>
      </c>
      <c r="N228" s="80"/>
      <c r="O228" s="49">
        <f t="shared" si="24"/>
        <v>0</v>
      </c>
      <c r="P228" s="49">
        <f t="shared" si="25"/>
        <v>0</v>
      </c>
      <c r="Q228" s="49">
        <f t="shared" si="26"/>
        <v>0</v>
      </c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>
      <c r="A229" s="47">
        <f>'Sessional + End Term Assessment'!A230</f>
        <v>223</v>
      </c>
      <c r="B229" s="81">
        <f>'Sessional + End Term Assessment'!B230</f>
        <v>0</v>
      </c>
      <c r="C229" s="81">
        <f>'Sessional + End Term Assessment'!C230</f>
        <v>0</v>
      </c>
      <c r="D229" s="44"/>
      <c r="E229" s="44"/>
      <c r="F229" s="80"/>
      <c r="G229" s="49">
        <f t="shared" si="18"/>
        <v>0</v>
      </c>
      <c r="H229" s="49">
        <f t="shared" si="19"/>
        <v>0</v>
      </c>
      <c r="I229" s="49">
        <f t="shared" si="20"/>
        <v>0</v>
      </c>
      <c r="J229" s="80"/>
      <c r="K229" s="49">
        <f t="shared" si="21"/>
        <v>0</v>
      </c>
      <c r="L229" s="49">
        <f t="shared" si="22"/>
        <v>0</v>
      </c>
      <c r="M229" s="49">
        <f t="shared" si="23"/>
        <v>0</v>
      </c>
      <c r="N229" s="80"/>
      <c r="O229" s="49">
        <f t="shared" si="24"/>
        <v>0</v>
      </c>
      <c r="P229" s="49">
        <f t="shared" si="25"/>
        <v>0</v>
      </c>
      <c r="Q229" s="49">
        <f t="shared" si="26"/>
        <v>0</v>
      </c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spans="1:30" ht="15.75" customHeight="1" x14ac:dyDescent="0.25">
      <c r="A230" s="47">
        <f>'Sessional + End Term Assessment'!A231</f>
        <v>224</v>
      </c>
      <c r="B230" s="81">
        <f>'Sessional + End Term Assessment'!B231</f>
        <v>0</v>
      </c>
      <c r="C230" s="81">
        <f>'Sessional + End Term Assessment'!C231</f>
        <v>0</v>
      </c>
      <c r="D230" s="44"/>
      <c r="E230" s="44"/>
      <c r="F230" s="80"/>
      <c r="G230" s="49">
        <f t="shared" si="18"/>
        <v>0</v>
      </c>
      <c r="H230" s="49">
        <f t="shared" si="19"/>
        <v>0</v>
      </c>
      <c r="I230" s="49">
        <f t="shared" si="20"/>
        <v>0</v>
      </c>
      <c r="J230" s="80"/>
      <c r="K230" s="49">
        <f t="shared" si="21"/>
        <v>0</v>
      </c>
      <c r="L230" s="49">
        <f t="shared" si="22"/>
        <v>0</v>
      </c>
      <c r="M230" s="49">
        <f t="shared" si="23"/>
        <v>0</v>
      </c>
      <c r="N230" s="80"/>
      <c r="O230" s="49">
        <f t="shared" si="24"/>
        <v>0</v>
      </c>
      <c r="P230" s="49">
        <f t="shared" si="25"/>
        <v>0</v>
      </c>
      <c r="Q230" s="49">
        <f t="shared" si="26"/>
        <v>0</v>
      </c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spans="1:30" ht="15.75" customHeight="1" x14ac:dyDescent="0.25">
      <c r="A231" s="47">
        <f>'Sessional + End Term Assessment'!A232</f>
        <v>225</v>
      </c>
      <c r="B231" s="81">
        <f>'Sessional + End Term Assessment'!B232</f>
        <v>0</v>
      </c>
      <c r="C231" s="81">
        <f>'Sessional + End Term Assessment'!C232</f>
        <v>0</v>
      </c>
      <c r="D231" s="44"/>
      <c r="E231" s="44"/>
      <c r="F231" s="80"/>
      <c r="G231" s="49">
        <f t="shared" si="18"/>
        <v>0</v>
      </c>
      <c r="H231" s="49">
        <f t="shared" si="19"/>
        <v>0</v>
      </c>
      <c r="I231" s="49">
        <f t="shared" si="20"/>
        <v>0</v>
      </c>
      <c r="J231" s="80"/>
      <c r="K231" s="49">
        <f t="shared" si="21"/>
        <v>0</v>
      </c>
      <c r="L231" s="49">
        <f t="shared" si="22"/>
        <v>0</v>
      </c>
      <c r="M231" s="49">
        <f t="shared" si="23"/>
        <v>0</v>
      </c>
      <c r="N231" s="80"/>
      <c r="O231" s="49">
        <f t="shared" si="24"/>
        <v>0</v>
      </c>
      <c r="P231" s="49">
        <f t="shared" si="25"/>
        <v>0</v>
      </c>
      <c r="Q231" s="49">
        <f t="shared" si="26"/>
        <v>0</v>
      </c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spans="1:30" ht="15.75" customHeight="1" x14ac:dyDescent="0.25">
      <c r="A232" s="47">
        <f>'Sessional + End Term Assessment'!A233</f>
        <v>226</v>
      </c>
      <c r="B232" s="81">
        <f>'Sessional + End Term Assessment'!B233</f>
        <v>0</v>
      </c>
      <c r="C232" s="81">
        <f>'Sessional + End Term Assessment'!C233</f>
        <v>0</v>
      </c>
      <c r="D232" s="44"/>
      <c r="E232" s="44"/>
      <c r="F232" s="80"/>
      <c r="G232" s="49">
        <f t="shared" si="18"/>
        <v>0</v>
      </c>
      <c r="H232" s="49">
        <f t="shared" si="19"/>
        <v>0</v>
      </c>
      <c r="I232" s="49">
        <f t="shared" si="20"/>
        <v>0</v>
      </c>
      <c r="J232" s="80"/>
      <c r="K232" s="49">
        <f t="shared" si="21"/>
        <v>0</v>
      </c>
      <c r="L232" s="49">
        <f t="shared" si="22"/>
        <v>0</v>
      </c>
      <c r="M232" s="49">
        <f t="shared" si="23"/>
        <v>0</v>
      </c>
      <c r="N232" s="80"/>
      <c r="O232" s="49">
        <f t="shared" si="24"/>
        <v>0</v>
      </c>
      <c r="P232" s="49">
        <f t="shared" si="25"/>
        <v>0</v>
      </c>
      <c r="Q232" s="49">
        <f t="shared" si="26"/>
        <v>0</v>
      </c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spans="1:30" ht="15.75" customHeight="1" x14ac:dyDescent="0.25">
      <c r="A233" s="47">
        <f>'Sessional + End Term Assessment'!A234</f>
        <v>227</v>
      </c>
      <c r="B233" s="81">
        <f>'Sessional + End Term Assessment'!B234</f>
        <v>0</v>
      </c>
      <c r="C233" s="81">
        <f>'Sessional + End Term Assessment'!C234</f>
        <v>0</v>
      </c>
      <c r="D233" s="44"/>
      <c r="E233" s="44"/>
      <c r="F233" s="80"/>
      <c r="G233" s="49">
        <f t="shared" si="18"/>
        <v>0</v>
      </c>
      <c r="H233" s="49">
        <f t="shared" si="19"/>
        <v>0</v>
      </c>
      <c r="I233" s="49">
        <f t="shared" si="20"/>
        <v>0</v>
      </c>
      <c r="J233" s="80"/>
      <c r="K233" s="49">
        <f t="shared" si="21"/>
        <v>0</v>
      </c>
      <c r="L233" s="49">
        <f t="shared" si="22"/>
        <v>0</v>
      </c>
      <c r="M233" s="49">
        <f t="shared" si="23"/>
        <v>0</v>
      </c>
      <c r="N233" s="80"/>
      <c r="O233" s="49">
        <f t="shared" si="24"/>
        <v>0</v>
      </c>
      <c r="P233" s="49">
        <f t="shared" si="25"/>
        <v>0</v>
      </c>
      <c r="Q233" s="49">
        <f t="shared" si="26"/>
        <v>0</v>
      </c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spans="1:30" ht="15.75" customHeight="1" x14ac:dyDescent="0.25">
      <c r="A234" s="47">
        <f>'Sessional + End Term Assessment'!A235</f>
        <v>228</v>
      </c>
      <c r="B234" s="81">
        <f>'Sessional + End Term Assessment'!B235</f>
        <v>0</v>
      </c>
      <c r="C234" s="81">
        <f>'Sessional + End Term Assessment'!C235</f>
        <v>0</v>
      </c>
      <c r="D234" s="44"/>
      <c r="E234" s="44"/>
      <c r="F234" s="80"/>
      <c r="G234" s="49">
        <f t="shared" si="18"/>
        <v>0</v>
      </c>
      <c r="H234" s="49">
        <f t="shared" si="19"/>
        <v>0</v>
      </c>
      <c r="I234" s="49">
        <f t="shared" si="20"/>
        <v>0</v>
      </c>
      <c r="J234" s="80"/>
      <c r="K234" s="49">
        <f t="shared" si="21"/>
        <v>0</v>
      </c>
      <c r="L234" s="49">
        <f t="shared" si="22"/>
        <v>0</v>
      </c>
      <c r="M234" s="49">
        <f t="shared" si="23"/>
        <v>0</v>
      </c>
      <c r="N234" s="80"/>
      <c r="O234" s="49">
        <f t="shared" si="24"/>
        <v>0</v>
      </c>
      <c r="P234" s="49">
        <f t="shared" si="25"/>
        <v>0</v>
      </c>
      <c r="Q234" s="49">
        <f t="shared" si="26"/>
        <v>0</v>
      </c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 spans="1:30" ht="15.75" customHeight="1" x14ac:dyDescent="0.25">
      <c r="A235" s="47">
        <f>'Sessional + End Term Assessment'!A236</f>
        <v>229</v>
      </c>
      <c r="B235" s="81">
        <f>'Sessional + End Term Assessment'!B236</f>
        <v>0</v>
      </c>
      <c r="C235" s="81">
        <f>'Sessional + End Term Assessment'!C236</f>
        <v>0</v>
      </c>
      <c r="D235" s="44"/>
      <c r="E235" s="44"/>
      <c r="F235" s="80"/>
      <c r="G235" s="49">
        <f t="shared" si="18"/>
        <v>0</v>
      </c>
      <c r="H235" s="49">
        <f t="shared" si="19"/>
        <v>0</v>
      </c>
      <c r="I235" s="49">
        <f t="shared" si="20"/>
        <v>0</v>
      </c>
      <c r="J235" s="80"/>
      <c r="K235" s="49">
        <f t="shared" si="21"/>
        <v>0</v>
      </c>
      <c r="L235" s="49">
        <f t="shared" si="22"/>
        <v>0</v>
      </c>
      <c r="M235" s="49">
        <f t="shared" si="23"/>
        <v>0</v>
      </c>
      <c r="N235" s="80"/>
      <c r="O235" s="49">
        <f t="shared" si="24"/>
        <v>0</v>
      </c>
      <c r="P235" s="49">
        <f t="shared" si="25"/>
        <v>0</v>
      </c>
      <c r="Q235" s="49">
        <f t="shared" si="26"/>
        <v>0</v>
      </c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 spans="1:30" ht="15.75" customHeight="1" x14ac:dyDescent="0.25">
      <c r="A236" s="47">
        <f>'Sessional + End Term Assessment'!A237</f>
        <v>230</v>
      </c>
      <c r="B236" s="81">
        <f>'Sessional + End Term Assessment'!B237</f>
        <v>0</v>
      </c>
      <c r="C236" s="81">
        <f>'Sessional + End Term Assessment'!C237</f>
        <v>0</v>
      </c>
      <c r="D236" s="44"/>
      <c r="E236" s="44"/>
      <c r="F236" s="80"/>
      <c r="G236" s="49">
        <f t="shared" si="18"/>
        <v>0</v>
      </c>
      <c r="H236" s="49">
        <f t="shared" si="19"/>
        <v>0</v>
      </c>
      <c r="I236" s="49">
        <f t="shared" si="20"/>
        <v>0</v>
      </c>
      <c r="J236" s="80"/>
      <c r="K236" s="49">
        <f t="shared" si="21"/>
        <v>0</v>
      </c>
      <c r="L236" s="49">
        <f t="shared" si="22"/>
        <v>0</v>
      </c>
      <c r="M236" s="49">
        <f t="shared" si="23"/>
        <v>0</v>
      </c>
      <c r="N236" s="80"/>
      <c r="O236" s="49">
        <f t="shared" si="24"/>
        <v>0</v>
      </c>
      <c r="P236" s="49">
        <f t="shared" si="25"/>
        <v>0</v>
      </c>
      <c r="Q236" s="49">
        <f t="shared" si="26"/>
        <v>0</v>
      </c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 spans="1:30" ht="15.75" customHeight="1" x14ac:dyDescent="0.25">
      <c r="A237" s="47">
        <f>'Sessional + End Term Assessment'!A238</f>
        <v>231</v>
      </c>
      <c r="B237" s="81">
        <f>'Sessional + End Term Assessment'!B238</f>
        <v>0</v>
      </c>
      <c r="C237" s="81">
        <f>'Sessional + End Term Assessment'!C238</f>
        <v>0</v>
      </c>
      <c r="D237" s="44"/>
      <c r="E237" s="44"/>
      <c r="F237" s="80"/>
      <c r="G237" s="49">
        <f t="shared" si="18"/>
        <v>0</v>
      </c>
      <c r="H237" s="49">
        <f t="shared" si="19"/>
        <v>0</v>
      </c>
      <c r="I237" s="49">
        <f t="shared" si="20"/>
        <v>0</v>
      </c>
      <c r="J237" s="80"/>
      <c r="K237" s="49">
        <f t="shared" si="21"/>
        <v>0</v>
      </c>
      <c r="L237" s="49">
        <f t="shared" si="22"/>
        <v>0</v>
      </c>
      <c r="M237" s="49">
        <f t="shared" si="23"/>
        <v>0</v>
      </c>
      <c r="N237" s="80"/>
      <c r="O237" s="49">
        <f t="shared" si="24"/>
        <v>0</v>
      </c>
      <c r="P237" s="49">
        <f t="shared" si="25"/>
        <v>0</v>
      </c>
      <c r="Q237" s="49">
        <f t="shared" si="26"/>
        <v>0</v>
      </c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 spans="1:30" ht="15.75" customHeight="1" x14ac:dyDescent="0.25">
      <c r="A238" s="47">
        <f>'Sessional + End Term Assessment'!A239</f>
        <v>232</v>
      </c>
      <c r="B238" s="81">
        <f>'Sessional + End Term Assessment'!B239</f>
        <v>0</v>
      </c>
      <c r="C238" s="81">
        <f>'Sessional + End Term Assessment'!C239</f>
        <v>0</v>
      </c>
      <c r="D238" s="44"/>
      <c r="E238" s="44"/>
      <c r="F238" s="80"/>
      <c r="G238" s="49">
        <f t="shared" si="18"/>
        <v>0</v>
      </c>
      <c r="H238" s="49">
        <f t="shared" si="19"/>
        <v>0</v>
      </c>
      <c r="I238" s="49">
        <f t="shared" si="20"/>
        <v>0</v>
      </c>
      <c r="J238" s="80"/>
      <c r="K238" s="49">
        <f t="shared" si="21"/>
        <v>0</v>
      </c>
      <c r="L238" s="49">
        <f t="shared" si="22"/>
        <v>0</v>
      </c>
      <c r="M238" s="49">
        <f t="shared" si="23"/>
        <v>0</v>
      </c>
      <c r="N238" s="80"/>
      <c r="O238" s="49">
        <f t="shared" si="24"/>
        <v>0</v>
      </c>
      <c r="P238" s="49">
        <f t="shared" si="25"/>
        <v>0</v>
      </c>
      <c r="Q238" s="49">
        <f t="shared" si="26"/>
        <v>0</v>
      </c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 spans="1:30" ht="15.75" customHeight="1" x14ac:dyDescent="0.25">
      <c r="A239" s="47">
        <f>'Sessional + End Term Assessment'!A240</f>
        <v>233</v>
      </c>
      <c r="B239" s="81">
        <f>'Sessional + End Term Assessment'!B240</f>
        <v>0</v>
      </c>
      <c r="C239" s="81">
        <f>'Sessional + End Term Assessment'!C240</f>
        <v>0</v>
      </c>
      <c r="D239" s="44"/>
      <c r="E239" s="44"/>
      <c r="F239" s="80"/>
      <c r="G239" s="49">
        <f t="shared" si="18"/>
        <v>0</v>
      </c>
      <c r="H239" s="49">
        <f t="shared" si="19"/>
        <v>0</v>
      </c>
      <c r="I239" s="49">
        <f t="shared" si="20"/>
        <v>0</v>
      </c>
      <c r="J239" s="80"/>
      <c r="K239" s="49">
        <f t="shared" si="21"/>
        <v>0</v>
      </c>
      <c r="L239" s="49">
        <f t="shared" si="22"/>
        <v>0</v>
      </c>
      <c r="M239" s="49">
        <f t="shared" si="23"/>
        <v>0</v>
      </c>
      <c r="N239" s="80"/>
      <c r="O239" s="49">
        <f t="shared" si="24"/>
        <v>0</v>
      </c>
      <c r="P239" s="49">
        <f t="shared" si="25"/>
        <v>0</v>
      </c>
      <c r="Q239" s="49">
        <f t="shared" si="26"/>
        <v>0</v>
      </c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 spans="1:30" ht="15.75" customHeight="1" x14ac:dyDescent="0.25">
      <c r="A240" s="47">
        <f>'Sessional + End Term Assessment'!A241</f>
        <v>234</v>
      </c>
      <c r="B240" s="81">
        <f>'Sessional + End Term Assessment'!B241</f>
        <v>0</v>
      </c>
      <c r="C240" s="81">
        <f>'Sessional + End Term Assessment'!C241</f>
        <v>0</v>
      </c>
      <c r="D240" s="44"/>
      <c r="E240" s="44"/>
      <c r="F240" s="80"/>
      <c r="G240" s="49">
        <f t="shared" si="18"/>
        <v>0</v>
      </c>
      <c r="H240" s="49">
        <f t="shared" si="19"/>
        <v>0</v>
      </c>
      <c r="I240" s="49">
        <f t="shared" si="20"/>
        <v>0</v>
      </c>
      <c r="J240" s="80"/>
      <c r="K240" s="49">
        <f t="shared" si="21"/>
        <v>0</v>
      </c>
      <c r="L240" s="49">
        <f t="shared" si="22"/>
        <v>0</v>
      </c>
      <c r="M240" s="49">
        <f t="shared" si="23"/>
        <v>0</v>
      </c>
      <c r="N240" s="80"/>
      <c r="O240" s="49">
        <f t="shared" si="24"/>
        <v>0</v>
      </c>
      <c r="P240" s="49">
        <f t="shared" si="25"/>
        <v>0</v>
      </c>
      <c r="Q240" s="49">
        <f t="shared" si="26"/>
        <v>0</v>
      </c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 spans="1:30" ht="15.75" customHeight="1" x14ac:dyDescent="0.25">
      <c r="A241" s="47">
        <f>'Sessional + End Term Assessment'!A242</f>
        <v>235</v>
      </c>
      <c r="B241" s="81">
        <f>'Sessional + End Term Assessment'!B242</f>
        <v>0</v>
      </c>
      <c r="C241" s="81">
        <f>'Sessional + End Term Assessment'!C242</f>
        <v>0</v>
      </c>
      <c r="D241" s="44"/>
      <c r="E241" s="44"/>
      <c r="F241" s="80"/>
      <c r="G241" s="49">
        <f t="shared" si="18"/>
        <v>0</v>
      </c>
      <c r="H241" s="49">
        <f t="shared" si="19"/>
        <v>0</v>
      </c>
      <c r="I241" s="49">
        <f t="shared" si="20"/>
        <v>0</v>
      </c>
      <c r="J241" s="80"/>
      <c r="K241" s="49">
        <f t="shared" si="21"/>
        <v>0</v>
      </c>
      <c r="L241" s="49">
        <f t="shared" si="22"/>
        <v>0</v>
      </c>
      <c r="M241" s="49">
        <f t="shared" si="23"/>
        <v>0</v>
      </c>
      <c r="N241" s="80"/>
      <c r="O241" s="49">
        <f t="shared" si="24"/>
        <v>0</v>
      </c>
      <c r="P241" s="49">
        <f t="shared" si="25"/>
        <v>0</v>
      </c>
      <c r="Q241" s="49">
        <f t="shared" si="26"/>
        <v>0</v>
      </c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 spans="1:30" ht="15.75" customHeight="1" x14ac:dyDescent="0.25">
      <c r="A242" s="47">
        <f>'Sessional + End Term Assessment'!A243</f>
        <v>236</v>
      </c>
      <c r="B242" s="81">
        <f>'Sessional + End Term Assessment'!B243</f>
        <v>0</v>
      </c>
      <c r="C242" s="81">
        <f>'Sessional + End Term Assessment'!C243</f>
        <v>0</v>
      </c>
      <c r="D242" s="44"/>
      <c r="E242" s="44"/>
      <c r="F242" s="80"/>
      <c r="G242" s="49">
        <f t="shared" si="18"/>
        <v>0</v>
      </c>
      <c r="H242" s="49">
        <f t="shared" si="19"/>
        <v>0</v>
      </c>
      <c r="I242" s="49">
        <f t="shared" si="20"/>
        <v>0</v>
      </c>
      <c r="J242" s="80"/>
      <c r="K242" s="49">
        <f t="shared" si="21"/>
        <v>0</v>
      </c>
      <c r="L242" s="49">
        <f t="shared" si="22"/>
        <v>0</v>
      </c>
      <c r="M242" s="49">
        <f t="shared" si="23"/>
        <v>0</v>
      </c>
      <c r="N242" s="80"/>
      <c r="O242" s="49">
        <f t="shared" si="24"/>
        <v>0</v>
      </c>
      <c r="P242" s="49">
        <f t="shared" si="25"/>
        <v>0</v>
      </c>
      <c r="Q242" s="49">
        <f t="shared" si="26"/>
        <v>0</v>
      </c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 spans="1:30" ht="15.75" customHeight="1" x14ac:dyDescent="0.25">
      <c r="A243" s="47">
        <f>'Sessional + End Term Assessment'!A244</f>
        <v>237</v>
      </c>
      <c r="B243" s="81">
        <f>'Sessional + End Term Assessment'!B244</f>
        <v>0</v>
      </c>
      <c r="C243" s="81">
        <f>'Sessional + End Term Assessment'!C244</f>
        <v>0</v>
      </c>
      <c r="D243" s="44"/>
      <c r="E243" s="44"/>
      <c r="F243" s="80"/>
      <c r="G243" s="49">
        <f t="shared" si="18"/>
        <v>0</v>
      </c>
      <c r="H243" s="49">
        <f t="shared" si="19"/>
        <v>0</v>
      </c>
      <c r="I243" s="49">
        <f t="shared" si="20"/>
        <v>0</v>
      </c>
      <c r="J243" s="80"/>
      <c r="K243" s="49">
        <f t="shared" si="21"/>
        <v>0</v>
      </c>
      <c r="L243" s="49">
        <f t="shared" si="22"/>
        <v>0</v>
      </c>
      <c r="M243" s="49">
        <f t="shared" si="23"/>
        <v>0</v>
      </c>
      <c r="N243" s="80"/>
      <c r="O243" s="49">
        <f t="shared" si="24"/>
        <v>0</v>
      </c>
      <c r="P243" s="49">
        <f t="shared" si="25"/>
        <v>0</v>
      </c>
      <c r="Q243" s="49">
        <f t="shared" si="26"/>
        <v>0</v>
      </c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 spans="1:30" ht="15.75" customHeight="1" x14ac:dyDescent="0.25">
      <c r="A244" s="47">
        <f>'Sessional + End Term Assessment'!A245</f>
        <v>238</v>
      </c>
      <c r="B244" s="81">
        <f>'Sessional + End Term Assessment'!B245</f>
        <v>0</v>
      </c>
      <c r="C244" s="81">
        <f>'Sessional + End Term Assessment'!C245</f>
        <v>0</v>
      </c>
      <c r="D244" s="44"/>
      <c r="E244" s="44"/>
      <c r="F244" s="80"/>
      <c r="G244" s="49">
        <f t="shared" si="18"/>
        <v>0</v>
      </c>
      <c r="H244" s="49">
        <f t="shared" si="19"/>
        <v>0</v>
      </c>
      <c r="I244" s="49">
        <f t="shared" si="20"/>
        <v>0</v>
      </c>
      <c r="J244" s="80"/>
      <c r="K244" s="49">
        <f t="shared" si="21"/>
        <v>0</v>
      </c>
      <c r="L244" s="49">
        <f t="shared" si="22"/>
        <v>0</v>
      </c>
      <c r="M244" s="49">
        <f t="shared" si="23"/>
        <v>0</v>
      </c>
      <c r="N244" s="80"/>
      <c r="O244" s="49">
        <f t="shared" si="24"/>
        <v>0</v>
      </c>
      <c r="P244" s="49">
        <f t="shared" si="25"/>
        <v>0</v>
      </c>
      <c r="Q244" s="49">
        <f t="shared" si="26"/>
        <v>0</v>
      </c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 spans="1:30" ht="15.75" customHeight="1" x14ac:dyDescent="0.25">
      <c r="A245" s="47">
        <f>'Sessional + End Term Assessment'!A246</f>
        <v>239</v>
      </c>
      <c r="B245" s="81">
        <f>'Sessional + End Term Assessment'!B246</f>
        <v>0</v>
      </c>
      <c r="C245" s="81">
        <f>'Sessional + End Term Assessment'!C246</f>
        <v>0</v>
      </c>
      <c r="D245" s="44"/>
      <c r="E245" s="44"/>
      <c r="F245" s="80"/>
      <c r="G245" s="49">
        <f t="shared" si="18"/>
        <v>0</v>
      </c>
      <c r="H245" s="49">
        <f t="shared" si="19"/>
        <v>0</v>
      </c>
      <c r="I245" s="49">
        <f t="shared" si="20"/>
        <v>0</v>
      </c>
      <c r="J245" s="80"/>
      <c r="K245" s="49">
        <f t="shared" si="21"/>
        <v>0</v>
      </c>
      <c r="L245" s="49">
        <f t="shared" si="22"/>
        <v>0</v>
      </c>
      <c r="M245" s="49">
        <f t="shared" si="23"/>
        <v>0</v>
      </c>
      <c r="N245" s="80"/>
      <c r="O245" s="49">
        <f t="shared" si="24"/>
        <v>0</v>
      </c>
      <c r="P245" s="49">
        <f t="shared" si="25"/>
        <v>0</v>
      </c>
      <c r="Q245" s="49">
        <f t="shared" si="26"/>
        <v>0</v>
      </c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 spans="1:30" ht="15.75" customHeight="1" x14ac:dyDescent="0.25">
      <c r="A246" s="47">
        <f>'Sessional + End Term Assessment'!A247</f>
        <v>240</v>
      </c>
      <c r="B246" s="81">
        <f>'Sessional + End Term Assessment'!B247</f>
        <v>0</v>
      </c>
      <c r="C246" s="81">
        <f>'Sessional + End Term Assessment'!C247</f>
        <v>0</v>
      </c>
      <c r="D246" s="44"/>
      <c r="E246" s="44"/>
      <c r="F246" s="80"/>
      <c r="G246" s="49">
        <f t="shared" si="18"/>
        <v>0</v>
      </c>
      <c r="H246" s="49">
        <f t="shared" si="19"/>
        <v>0</v>
      </c>
      <c r="I246" s="49">
        <f t="shared" si="20"/>
        <v>0</v>
      </c>
      <c r="J246" s="80"/>
      <c r="K246" s="49">
        <f t="shared" si="21"/>
        <v>0</v>
      </c>
      <c r="L246" s="49">
        <f t="shared" si="22"/>
        <v>0</v>
      </c>
      <c r="M246" s="49">
        <f t="shared" si="23"/>
        <v>0</v>
      </c>
      <c r="N246" s="80"/>
      <c r="O246" s="49">
        <f t="shared" si="24"/>
        <v>0</v>
      </c>
      <c r="P246" s="49">
        <f t="shared" si="25"/>
        <v>0</v>
      </c>
      <c r="Q246" s="49">
        <f t="shared" si="26"/>
        <v>0</v>
      </c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 spans="1:30" ht="15.75" customHeight="1" x14ac:dyDescent="0.25">
      <c r="A247" s="47">
        <f>'Sessional + End Term Assessment'!A248</f>
        <v>241</v>
      </c>
      <c r="B247" s="81">
        <f>'Sessional + End Term Assessment'!B248</f>
        <v>0</v>
      </c>
      <c r="C247" s="81">
        <f>'Sessional + End Term Assessment'!C248</f>
        <v>0</v>
      </c>
      <c r="D247" s="44"/>
      <c r="E247" s="44"/>
      <c r="F247" s="80"/>
      <c r="G247" s="49">
        <f t="shared" si="18"/>
        <v>0</v>
      </c>
      <c r="H247" s="49">
        <f t="shared" si="19"/>
        <v>0</v>
      </c>
      <c r="I247" s="49">
        <f t="shared" si="20"/>
        <v>0</v>
      </c>
      <c r="J247" s="80"/>
      <c r="K247" s="49">
        <f t="shared" si="21"/>
        <v>0</v>
      </c>
      <c r="L247" s="49">
        <f t="shared" si="22"/>
        <v>0</v>
      </c>
      <c r="M247" s="49">
        <f t="shared" si="23"/>
        <v>0</v>
      </c>
      <c r="N247" s="80"/>
      <c r="O247" s="49">
        <f t="shared" si="24"/>
        <v>0</v>
      </c>
      <c r="P247" s="49">
        <f t="shared" si="25"/>
        <v>0</v>
      </c>
      <c r="Q247" s="49">
        <f t="shared" si="26"/>
        <v>0</v>
      </c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 spans="1:30" ht="15.75" customHeight="1" x14ac:dyDescent="0.25">
      <c r="A248" s="47">
        <f>'Sessional + End Term Assessment'!A249</f>
        <v>242</v>
      </c>
      <c r="B248" s="81">
        <f>'Sessional + End Term Assessment'!B249</f>
        <v>0</v>
      </c>
      <c r="C248" s="81">
        <f>'Sessional + End Term Assessment'!C249</f>
        <v>0</v>
      </c>
      <c r="D248" s="44"/>
      <c r="E248" s="44"/>
      <c r="F248" s="80"/>
      <c r="G248" s="49">
        <f t="shared" si="18"/>
        <v>0</v>
      </c>
      <c r="H248" s="49">
        <f t="shared" si="19"/>
        <v>0</v>
      </c>
      <c r="I248" s="49">
        <f t="shared" si="20"/>
        <v>0</v>
      </c>
      <c r="J248" s="80"/>
      <c r="K248" s="49">
        <f t="shared" si="21"/>
        <v>0</v>
      </c>
      <c r="L248" s="49">
        <f t="shared" si="22"/>
        <v>0</v>
      </c>
      <c r="M248" s="49">
        <f t="shared" si="23"/>
        <v>0</v>
      </c>
      <c r="N248" s="80"/>
      <c r="O248" s="49">
        <f t="shared" si="24"/>
        <v>0</v>
      </c>
      <c r="P248" s="49">
        <f t="shared" si="25"/>
        <v>0</v>
      </c>
      <c r="Q248" s="49">
        <f t="shared" si="26"/>
        <v>0</v>
      </c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 spans="1:30" ht="15.75" customHeight="1" x14ac:dyDescent="0.25">
      <c r="A249" s="47">
        <f>'Sessional + End Term Assessment'!A250</f>
        <v>243</v>
      </c>
      <c r="B249" s="81">
        <f>'Sessional + End Term Assessment'!B250</f>
        <v>0</v>
      </c>
      <c r="C249" s="81">
        <f>'Sessional + End Term Assessment'!C250</f>
        <v>0</v>
      </c>
      <c r="D249" s="44"/>
      <c r="E249" s="44"/>
      <c r="F249" s="80"/>
      <c r="G249" s="49">
        <f t="shared" si="18"/>
        <v>0</v>
      </c>
      <c r="H249" s="49">
        <f t="shared" si="19"/>
        <v>0</v>
      </c>
      <c r="I249" s="49">
        <f t="shared" si="20"/>
        <v>0</v>
      </c>
      <c r="J249" s="80"/>
      <c r="K249" s="49">
        <f t="shared" si="21"/>
        <v>0</v>
      </c>
      <c r="L249" s="49">
        <f t="shared" si="22"/>
        <v>0</v>
      </c>
      <c r="M249" s="49">
        <f t="shared" si="23"/>
        <v>0</v>
      </c>
      <c r="N249" s="80"/>
      <c r="O249" s="49">
        <f t="shared" si="24"/>
        <v>0</v>
      </c>
      <c r="P249" s="49">
        <f t="shared" si="25"/>
        <v>0</v>
      </c>
      <c r="Q249" s="49">
        <f t="shared" si="26"/>
        <v>0</v>
      </c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 spans="1:30" ht="15.75" customHeight="1" x14ac:dyDescent="0.25">
      <c r="A250" s="47">
        <f>'Sessional + End Term Assessment'!A251</f>
        <v>244</v>
      </c>
      <c r="B250" s="81">
        <f>'Sessional + End Term Assessment'!B251</f>
        <v>0</v>
      </c>
      <c r="C250" s="81">
        <f>'Sessional + End Term Assessment'!C251</f>
        <v>0</v>
      </c>
      <c r="D250" s="44"/>
      <c r="E250" s="44"/>
      <c r="F250" s="80"/>
      <c r="G250" s="49">
        <f t="shared" si="18"/>
        <v>0</v>
      </c>
      <c r="H250" s="49">
        <f t="shared" si="19"/>
        <v>0</v>
      </c>
      <c r="I250" s="49">
        <f t="shared" si="20"/>
        <v>0</v>
      </c>
      <c r="J250" s="80"/>
      <c r="K250" s="49">
        <f t="shared" si="21"/>
        <v>0</v>
      </c>
      <c r="L250" s="49">
        <f t="shared" si="22"/>
        <v>0</v>
      </c>
      <c r="M250" s="49">
        <f t="shared" si="23"/>
        <v>0</v>
      </c>
      <c r="N250" s="80"/>
      <c r="O250" s="49">
        <f t="shared" si="24"/>
        <v>0</v>
      </c>
      <c r="P250" s="49">
        <f t="shared" si="25"/>
        <v>0</v>
      </c>
      <c r="Q250" s="49">
        <f t="shared" si="26"/>
        <v>0</v>
      </c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 spans="1:30" ht="15.75" customHeight="1" x14ac:dyDescent="0.25">
      <c r="A251" s="47">
        <f>'Sessional + End Term Assessment'!A252</f>
        <v>245</v>
      </c>
      <c r="B251" s="81">
        <f>'Sessional + End Term Assessment'!B252</f>
        <v>0</v>
      </c>
      <c r="C251" s="81">
        <f>'Sessional + End Term Assessment'!C252</f>
        <v>0</v>
      </c>
      <c r="D251" s="44"/>
      <c r="E251" s="44"/>
      <c r="F251" s="80"/>
      <c r="G251" s="49">
        <f t="shared" si="18"/>
        <v>0</v>
      </c>
      <c r="H251" s="49">
        <f t="shared" si="19"/>
        <v>0</v>
      </c>
      <c r="I251" s="49">
        <f t="shared" si="20"/>
        <v>0</v>
      </c>
      <c r="J251" s="80"/>
      <c r="K251" s="49">
        <f t="shared" si="21"/>
        <v>0</v>
      </c>
      <c r="L251" s="49">
        <f t="shared" si="22"/>
        <v>0</v>
      </c>
      <c r="M251" s="49">
        <f t="shared" si="23"/>
        <v>0</v>
      </c>
      <c r="N251" s="80"/>
      <c r="O251" s="49">
        <f t="shared" si="24"/>
        <v>0</v>
      </c>
      <c r="P251" s="49">
        <f t="shared" si="25"/>
        <v>0</v>
      </c>
      <c r="Q251" s="49">
        <f t="shared" si="26"/>
        <v>0</v>
      </c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 spans="1:30" ht="15.75" customHeight="1" x14ac:dyDescent="0.25">
      <c r="A252" s="47">
        <f>'Sessional + End Term Assessment'!A253</f>
        <v>246</v>
      </c>
      <c r="B252" s="81">
        <f>'Sessional + End Term Assessment'!B253</f>
        <v>0</v>
      </c>
      <c r="C252" s="81">
        <f>'Sessional + End Term Assessment'!C253</f>
        <v>0</v>
      </c>
      <c r="D252" s="44"/>
      <c r="E252" s="44"/>
      <c r="F252" s="80"/>
      <c r="G252" s="49">
        <f t="shared" si="18"/>
        <v>0</v>
      </c>
      <c r="H252" s="49">
        <f t="shared" si="19"/>
        <v>0</v>
      </c>
      <c r="I252" s="49">
        <f t="shared" si="20"/>
        <v>0</v>
      </c>
      <c r="J252" s="80"/>
      <c r="K252" s="49">
        <f t="shared" si="21"/>
        <v>0</v>
      </c>
      <c r="L252" s="49">
        <f t="shared" si="22"/>
        <v>0</v>
      </c>
      <c r="M252" s="49">
        <f t="shared" si="23"/>
        <v>0</v>
      </c>
      <c r="N252" s="80"/>
      <c r="O252" s="49">
        <f t="shared" si="24"/>
        <v>0</v>
      </c>
      <c r="P252" s="49">
        <f t="shared" si="25"/>
        <v>0</v>
      </c>
      <c r="Q252" s="49">
        <f t="shared" si="26"/>
        <v>0</v>
      </c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 spans="1:30" ht="15.75" customHeight="1" x14ac:dyDescent="0.25">
      <c r="A253" s="47">
        <f>'Sessional + End Term Assessment'!A254</f>
        <v>247</v>
      </c>
      <c r="B253" s="81">
        <f>'Sessional + End Term Assessment'!B254</f>
        <v>0</v>
      </c>
      <c r="C253" s="81">
        <f>'Sessional + End Term Assessment'!C254</f>
        <v>0</v>
      </c>
      <c r="D253" s="44"/>
      <c r="E253" s="44"/>
      <c r="F253" s="80"/>
      <c r="G253" s="49">
        <f t="shared" si="18"/>
        <v>0</v>
      </c>
      <c r="H253" s="49">
        <f t="shared" si="19"/>
        <v>0</v>
      </c>
      <c r="I253" s="49">
        <f t="shared" si="20"/>
        <v>0</v>
      </c>
      <c r="J253" s="80"/>
      <c r="K253" s="49">
        <f t="shared" si="21"/>
        <v>0</v>
      </c>
      <c r="L253" s="49">
        <f t="shared" si="22"/>
        <v>0</v>
      </c>
      <c r="M253" s="49">
        <f t="shared" si="23"/>
        <v>0</v>
      </c>
      <c r="N253" s="80"/>
      <c r="O253" s="49">
        <f t="shared" si="24"/>
        <v>0</v>
      </c>
      <c r="P253" s="49">
        <f t="shared" si="25"/>
        <v>0</v>
      </c>
      <c r="Q253" s="49">
        <f t="shared" si="26"/>
        <v>0</v>
      </c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 spans="1:30" ht="15.75" customHeight="1" x14ac:dyDescent="0.25">
      <c r="A254" s="47">
        <f>'Sessional + End Term Assessment'!A255</f>
        <v>248</v>
      </c>
      <c r="B254" s="81">
        <f>'Sessional + End Term Assessment'!B255</f>
        <v>0</v>
      </c>
      <c r="C254" s="81">
        <f>'Sessional + End Term Assessment'!C255</f>
        <v>0</v>
      </c>
      <c r="D254" s="44"/>
      <c r="E254" s="44"/>
      <c r="F254" s="80"/>
      <c r="G254" s="49">
        <f t="shared" si="18"/>
        <v>0</v>
      </c>
      <c r="H254" s="49">
        <f t="shared" si="19"/>
        <v>0</v>
      </c>
      <c r="I254" s="49">
        <f t="shared" si="20"/>
        <v>0</v>
      </c>
      <c r="J254" s="80"/>
      <c r="K254" s="49">
        <f t="shared" si="21"/>
        <v>0</v>
      </c>
      <c r="L254" s="49">
        <f t="shared" si="22"/>
        <v>0</v>
      </c>
      <c r="M254" s="49">
        <f t="shared" si="23"/>
        <v>0</v>
      </c>
      <c r="N254" s="80"/>
      <c r="O254" s="49">
        <f t="shared" si="24"/>
        <v>0</v>
      </c>
      <c r="P254" s="49">
        <f t="shared" si="25"/>
        <v>0</v>
      </c>
      <c r="Q254" s="49">
        <f t="shared" si="26"/>
        <v>0</v>
      </c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 spans="1:30" ht="15.75" customHeight="1" x14ac:dyDescent="0.25">
      <c r="A255" s="47">
        <f>'Sessional + End Term Assessment'!A256</f>
        <v>249</v>
      </c>
      <c r="B255" s="81">
        <f>'Sessional + End Term Assessment'!B256</f>
        <v>0</v>
      </c>
      <c r="C255" s="81">
        <f>'Sessional + End Term Assessment'!C256</f>
        <v>0</v>
      </c>
      <c r="D255" s="44"/>
      <c r="E255" s="44"/>
      <c r="F255" s="80"/>
      <c r="G255" s="49">
        <f t="shared" si="18"/>
        <v>0</v>
      </c>
      <c r="H255" s="49">
        <f t="shared" si="19"/>
        <v>0</v>
      </c>
      <c r="I255" s="49">
        <f t="shared" si="20"/>
        <v>0</v>
      </c>
      <c r="J255" s="80"/>
      <c r="K255" s="49">
        <f t="shared" si="21"/>
        <v>0</v>
      </c>
      <c r="L255" s="49">
        <f t="shared" si="22"/>
        <v>0</v>
      </c>
      <c r="M255" s="49">
        <f t="shared" si="23"/>
        <v>0</v>
      </c>
      <c r="N255" s="80"/>
      <c r="O255" s="49">
        <f t="shared" si="24"/>
        <v>0</v>
      </c>
      <c r="P255" s="49">
        <f t="shared" si="25"/>
        <v>0</v>
      </c>
      <c r="Q255" s="49">
        <f t="shared" si="26"/>
        <v>0</v>
      </c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 spans="1:30" ht="15.75" customHeight="1" x14ac:dyDescent="0.25">
      <c r="A256" s="47">
        <f>'Sessional + End Term Assessment'!A257</f>
        <v>250</v>
      </c>
      <c r="B256" s="81">
        <f>'Sessional + End Term Assessment'!B257</f>
        <v>0</v>
      </c>
      <c r="C256" s="81">
        <f>'Sessional + End Term Assessment'!C257</f>
        <v>0</v>
      </c>
      <c r="D256" s="44"/>
      <c r="E256" s="44"/>
      <c r="F256" s="80"/>
      <c r="G256" s="49">
        <f t="shared" si="18"/>
        <v>0</v>
      </c>
      <c r="H256" s="49">
        <f t="shared" si="19"/>
        <v>0</v>
      </c>
      <c r="I256" s="49">
        <f t="shared" si="20"/>
        <v>0</v>
      </c>
      <c r="J256" s="80"/>
      <c r="K256" s="49">
        <f t="shared" si="21"/>
        <v>0</v>
      </c>
      <c r="L256" s="49">
        <f t="shared" si="22"/>
        <v>0</v>
      </c>
      <c r="M256" s="49">
        <f t="shared" si="23"/>
        <v>0</v>
      </c>
      <c r="N256" s="80"/>
      <c r="O256" s="49">
        <f t="shared" si="24"/>
        <v>0</v>
      </c>
      <c r="P256" s="49">
        <f t="shared" si="25"/>
        <v>0</v>
      </c>
      <c r="Q256" s="49">
        <f t="shared" si="26"/>
        <v>0</v>
      </c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</sheetData>
  <mergeCells count="17"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  <mergeCell ref="I5:I6"/>
    <mergeCell ref="K5:K6"/>
  </mergeCells>
  <phoneticPr fontId="32" type="noConversion"/>
  <conditionalFormatting sqref="G7:I256 K7:M256 O7:Q256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topLeftCell="A207" workbookViewId="0">
      <selection activeCell="A218" sqref="A218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3" t="s">
        <v>76</v>
      </c>
      <c r="B1" s="124"/>
      <c r="C1" s="124"/>
      <c r="D1" s="124"/>
      <c r="E1" s="1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thickBot="1" x14ac:dyDescent="0.3">
      <c r="A179" s="61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2'!R183</f>
        <v>0</v>
      </c>
      <c r="E179" s="63" t="str">
        <f t="shared" ref="E179:E214" si="1">IF(D179&lt;=35,"Y","N")</f>
        <v>Y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thickBot="1" x14ac:dyDescent="0.3">
      <c r="A180" s="61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2'!R184</f>
        <v>0</v>
      </c>
      <c r="E180" s="63" t="str">
        <f t="shared" si="1"/>
        <v>Y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thickBot="1" x14ac:dyDescent="0.3">
      <c r="A181" s="61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2'!R185</f>
        <v>0</v>
      </c>
      <c r="E181" s="63" t="str">
        <f t="shared" si="1"/>
        <v>Y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thickBot="1" x14ac:dyDescent="0.3">
      <c r="A182" s="61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2'!R186</f>
        <v>0</v>
      </c>
      <c r="E182" s="63" t="str">
        <f t="shared" si="1"/>
        <v>Y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thickBot="1" x14ac:dyDescent="0.3">
      <c r="A183" s="61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2'!R187</f>
        <v>0</v>
      </c>
      <c r="E183" s="63" t="str">
        <f t="shared" si="1"/>
        <v>Y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thickBot="1" x14ac:dyDescent="0.3">
      <c r="A184" s="61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2'!R188</f>
        <v>0</v>
      </c>
      <c r="E184" s="63" t="str">
        <f t="shared" si="1"/>
        <v>Y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thickBot="1" x14ac:dyDescent="0.3">
      <c r="A185" s="61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2'!R189</f>
        <v>0</v>
      </c>
      <c r="E185" s="63" t="str">
        <f t="shared" si="1"/>
        <v>Y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thickBot="1" x14ac:dyDescent="0.3">
      <c r="A186" s="61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2'!R190</f>
        <v>0</v>
      </c>
      <c r="E186" s="63" t="str">
        <f t="shared" si="1"/>
        <v>Y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thickBot="1" x14ac:dyDescent="0.3">
      <c r="A187" s="61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2'!R191</f>
        <v>0</v>
      </c>
      <c r="E187" s="63" t="str">
        <f t="shared" si="1"/>
        <v>Y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thickBot="1" x14ac:dyDescent="0.3">
      <c r="A188" s="61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2'!R192</f>
        <v>0</v>
      </c>
      <c r="E188" s="63" t="str">
        <f t="shared" si="1"/>
        <v>Y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thickBot="1" x14ac:dyDescent="0.3">
      <c r="A189" s="61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2'!R193</f>
        <v>0</v>
      </c>
      <c r="E189" s="63" t="str">
        <f t="shared" si="1"/>
        <v>Y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thickBot="1" x14ac:dyDescent="0.3">
      <c r="A190" s="61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2'!R194</f>
        <v>0</v>
      </c>
      <c r="E190" s="63" t="str">
        <f t="shared" si="1"/>
        <v>Y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thickBot="1" x14ac:dyDescent="0.3">
      <c r="A191" s="61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2'!R195</f>
        <v>0</v>
      </c>
      <c r="E191" s="63" t="str">
        <f t="shared" si="1"/>
        <v>Y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thickBot="1" x14ac:dyDescent="0.3">
      <c r="A192" s="61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2'!R196</f>
        <v>0</v>
      </c>
      <c r="E192" s="63" t="str">
        <f t="shared" si="1"/>
        <v>Y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thickBot="1" x14ac:dyDescent="0.3">
      <c r="A193" s="61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2'!R197</f>
        <v>0</v>
      </c>
      <c r="E193" s="63" t="str">
        <f t="shared" si="1"/>
        <v>Y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thickBot="1" x14ac:dyDescent="0.3">
      <c r="A194" s="61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2'!R198</f>
        <v>0</v>
      </c>
      <c r="E194" s="63" t="str">
        <f t="shared" si="1"/>
        <v>Y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thickBot="1" x14ac:dyDescent="0.3">
      <c r="A195" s="61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2'!R199</f>
        <v>0</v>
      </c>
      <c r="E195" s="63" t="str">
        <f t="shared" si="1"/>
        <v>Y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thickBot="1" x14ac:dyDescent="0.3">
      <c r="A196" s="61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2'!R200</f>
        <v>0</v>
      </c>
      <c r="E196" s="63" t="str">
        <f t="shared" si="1"/>
        <v>Y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thickBot="1" x14ac:dyDescent="0.3">
      <c r="A197" s="61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2'!R201</f>
        <v>0</v>
      </c>
      <c r="E197" s="63" t="str">
        <f t="shared" si="1"/>
        <v>Y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thickBot="1" x14ac:dyDescent="0.3">
      <c r="A198" s="61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2'!R202</f>
        <v>0</v>
      </c>
      <c r="E198" s="63" t="str">
        <f t="shared" si="1"/>
        <v>Y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thickBot="1" x14ac:dyDescent="0.3">
      <c r="A199" s="61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2'!R203</f>
        <v>0</v>
      </c>
      <c r="E199" s="63" t="str">
        <f t="shared" si="1"/>
        <v>Y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thickBot="1" x14ac:dyDescent="0.3">
      <c r="A200" s="61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2'!R204</f>
        <v>0</v>
      </c>
      <c r="E200" s="63" t="str">
        <f t="shared" si="1"/>
        <v>Y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thickBot="1" x14ac:dyDescent="0.3">
      <c r="A201" s="61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2'!R205</f>
        <v>0</v>
      </c>
      <c r="E201" s="63" t="str">
        <f t="shared" si="1"/>
        <v>Y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thickBot="1" x14ac:dyDescent="0.3">
      <c r="A202" s="61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2'!R206</f>
        <v>0</v>
      </c>
      <c r="E202" s="63" t="str">
        <f t="shared" si="1"/>
        <v>Y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thickBot="1" x14ac:dyDescent="0.3">
      <c r="A203" s="61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2'!R207</f>
        <v>0</v>
      </c>
      <c r="E203" s="63" t="str">
        <f t="shared" si="1"/>
        <v>Y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thickBot="1" x14ac:dyDescent="0.3">
      <c r="A204" s="61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2'!R208</f>
        <v>0</v>
      </c>
      <c r="E204" s="63" t="str">
        <f t="shared" si="1"/>
        <v>Y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thickBot="1" x14ac:dyDescent="0.3">
      <c r="A205" s="61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2'!R209</f>
        <v>0</v>
      </c>
      <c r="E205" s="63" t="str">
        <f t="shared" si="1"/>
        <v>Y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thickBot="1" x14ac:dyDescent="0.3">
      <c r="A206" s="61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2'!R210</f>
        <v>0</v>
      </c>
      <c r="E206" s="63" t="str">
        <f t="shared" si="1"/>
        <v>Y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thickBot="1" x14ac:dyDescent="0.3">
      <c r="A207" s="61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2'!R211</f>
        <v>0</v>
      </c>
      <c r="E207" s="63" t="str">
        <f t="shared" si="1"/>
        <v>Y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thickBot="1" x14ac:dyDescent="0.3">
      <c r="A208" s="61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2'!R212</f>
        <v>0</v>
      </c>
      <c r="E208" s="63" t="str">
        <f t="shared" si="1"/>
        <v>Y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thickBot="1" x14ac:dyDescent="0.3">
      <c r="A209" s="61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2'!R213</f>
        <v>0</v>
      </c>
      <c r="E209" s="63" t="str">
        <f t="shared" si="1"/>
        <v>Y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thickBot="1" x14ac:dyDescent="0.3">
      <c r="A210" s="61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2'!R214</f>
        <v>0</v>
      </c>
      <c r="E210" s="63" t="str">
        <f t="shared" si="1"/>
        <v>Y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thickBot="1" x14ac:dyDescent="0.3">
      <c r="A211" s="61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2'!R215</f>
        <v>0</v>
      </c>
      <c r="E211" s="63" t="str">
        <f t="shared" si="1"/>
        <v>Y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thickBot="1" x14ac:dyDescent="0.3">
      <c r="A212" s="61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2'!R216</f>
        <v>0</v>
      </c>
      <c r="E212" s="63" t="str">
        <f t="shared" si="1"/>
        <v>Y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thickBot="1" x14ac:dyDescent="0.3">
      <c r="A213" s="61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2'!R217</f>
        <v>0</v>
      </c>
      <c r="E213" s="63" t="str">
        <f t="shared" si="1"/>
        <v>Y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thickBot="1" x14ac:dyDescent="0.3">
      <c r="A214" s="61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2'!R218</f>
        <v>0</v>
      </c>
      <c r="E214" s="63" t="str">
        <f t="shared" si="1"/>
        <v>Y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thickBot="1" x14ac:dyDescent="0.3">
      <c r="A215" s="61">
        <f>'Sessional + End Term Assessment'!A220</f>
        <v>213</v>
      </c>
      <c r="B215" s="81">
        <f>'Sessional + End Term Assessment'!B220</f>
        <v>0</v>
      </c>
      <c r="C215" s="81">
        <f>'Sessional + End Term Assessment'!C220</f>
        <v>0</v>
      </c>
      <c r="D215" s="62">
        <f>'MID Term 2'!R219</f>
        <v>0</v>
      </c>
      <c r="E215" s="63" t="str">
        <f t="shared" ref="E215:E252" si="2">IF(D215&lt;=35,"Y","N")</f>
        <v>Y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thickBot="1" x14ac:dyDescent="0.3">
      <c r="A216" s="61">
        <f>'Sessional + End Term Assessment'!A221</f>
        <v>214</v>
      </c>
      <c r="B216" s="81">
        <f>'Sessional + End Term Assessment'!B221</f>
        <v>0</v>
      </c>
      <c r="C216" s="81">
        <f>'Sessional + End Term Assessment'!C221</f>
        <v>0</v>
      </c>
      <c r="D216" s="62">
        <f>'MID Term 2'!R220</f>
        <v>0</v>
      </c>
      <c r="E216" s="63" t="str">
        <f t="shared" si="2"/>
        <v>Y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thickBot="1" x14ac:dyDescent="0.3">
      <c r="A217" s="61">
        <f>'Sessional + End Term Assessment'!A222</f>
        <v>215</v>
      </c>
      <c r="B217" s="81">
        <f>'Sessional + End Term Assessment'!B222</f>
        <v>0</v>
      </c>
      <c r="C217" s="81">
        <f>'Sessional + End Term Assessment'!C222</f>
        <v>0</v>
      </c>
      <c r="D217" s="62">
        <f>'MID Term 2'!R221</f>
        <v>0</v>
      </c>
      <c r="E217" s="63" t="str">
        <f t="shared" si="2"/>
        <v>Y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thickBot="1" x14ac:dyDescent="0.3">
      <c r="A218" s="61">
        <f>'Sessional + End Term Assessment'!A223</f>
        <v>216</v>
      </c>
      <c r="B218" s="81">
        <f>'Sessional + End Term Assessment'!B223</f>
        <v>0</v>
      </c>
      <c r="C218" s="81">
        <f>'Sessional + End Term Assessment'!C223</f>
        <v>0</v>
      </c>
      <c r="D218" s="62">
        <f>'MID Term 2'!R222</f>
        <v>0</v>
      </c>
      <c r="E218" s="63" t="str">
        <f t="shared" si="2"/>
        <v>Y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thickBot="1" x14ac:dyDescent="0.3">
      <c r="A219" s="61">
        <f>'Sessional + End Term Assessment'!A224</f>
        <v>217</v>
      </c>
      <c r="B219" s="81">
        <f>'Sessional + End Term Assessment'!B224</f>
        <v>0</v>
      </c>
      <c r="C219" s="81">
        <f>'Sessional + End Term Assessment'!C224</f>
        <v>0</v>
      </c>
      <c r="D219" s="62">
        <f>'MID Term 2'!R223</f>
        <v>0</v>
      </c>
      <c r="E219" s="63" t="str">
        <f t="shared" si="2"/>
        <v>Y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thickBot="1" x14ac:dyDescent="0.3">
      <c r="A220" s="61">
        <f>'Sessional + End Term Assessment'!A225</f>
        <v>218</v>
      </c>
      <c r="B220" s="81">
        <f>'Sessional + End Term Assessment'!B225</f>
        <v>0</v>
      </c>
      <c r="C220" s="81">
        <f>'Sessional + End Term Assessment'!C225</f>
        <v>0</v>
      </c>
      <c r="D220" s="62">
        <f>'MID Term 2'!R224</f>
        <v>0</v>
      </c>
      <c r="E220" s="63" t="str">
        <f t="shared" si="2"/>
        <v>Y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thickBot="1" x14ac:dyDescent="0.3">
      <c r="A221" s="61">
        <f>'Sessional + End Term Assessment'!A226</f>
        <v>219</v>
      </c>
      <c r="B221" s="81">
        <f>'Sessional + End Term Assessment'!B226</f>
        <v>0</v>
      </c>
      <c r="C221" s="81">
        <f>'Sessional + End Term Assessment'!C226</f>
        <v>0</v>
      </c>
      <c r="D221" s="62">
        <f>'MID Term 2'!R225</f>
        <v>0</v>
      </c>
      <c r="E221" s="63" t="str">
        <f t="shared" si="2"/>
        <v>Y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thickBot="1" x14ac:dyDescent="0.3">
      <c r="A222" s="61">
        <f>'Sessional + End Term Assessment'!A227</f>
        <v>220</v>
      </c>
      <c r="B222" s="81">
        <f>'Sessional + End Term Assessment'!B227</f>
        <v>0</v>
      </c>
      <c r="C222" s="81">
        <f>'Sessional + End Term Assessment'!C227</f>
        <v>0</v>
      </c>
      <c r="D222" s="62">
        <f>'MID Term 2'!R226</f>
        <v>0</v>
      </c>
      <c r="E222" s="63" t="str">
        <f t="shared" si="2"/>
        <v>Y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thickBot="1" x14ac:dyDescent="0.3">
      <c r="A223" s="61">
        <f>'Sessional + End Term Assessment'!A228</f>
        <v>221</v>
      </c>
      <c r="B223" s="81">
        <f>'Sessional + End Term Assessment'!B228</f>
        <v>0</v>
      </c>
      <c r="C223" s="81">
        <f>'Sessional + End Term Assessment'!C228</f>
        <v>0</v>
      </c>
      <c r="D223" s="62">
        <f>'MID Term 2'!R227</f>
        <v>0</v>
      </c>
      <c r="E223" s="63" t="str">
        <f t="shared" si="2"/>
        <v>Y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thickBot="1" x14ac:dyDescent="0.3">
      <c r="A224" s="61">
        <f>'Sessional + End Term Assessment'!A229</f>
        <v>222</v>
      </c>
      <c r="B224" s="81">
        <f>'Sessional + End Term Assessment'!B229</f>
        <v>0</v>
      </c>
      <c r="C224" s="81">
        <f>'Sessional + End Term Assessment'!C229</f>
        <v>0</v>
      </c>
      <c r="D224" s="62">
        <f>'MID Term 2'!R228</f>
        <v>0</v>
      </c>
      <c r="E224" s="63" t="str">
        <f t="shared" si="2"/>
        <v>Y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thickBot="1" x14ac:dyDescent="0.3">
      <c r="A225" s="61">
        <f>'Sessional + End Term Assessment'!A230</f>
        <v>223</v>
      </c>
      <c r="B225" s="81">
        <f>'Sessional + End Term Assessment'!B230</f>
        <v>0</v>
      </c>
      <c r="C225" s="81">
        <f>'Sessional + End Term Assessment'!C230</f>
        <v>0</v>
      </c>
      <c r="D225" s="62">
        <f>'MID Term 2'!R229</f>
        <v>0</v>
      </c>
      <c r="E225" s="63" t="str">
        <f t="shared" si="2"/>
        <v>Y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thickBot="1" x14ac:dyDescent="0.3">
      <c r="A226" s="61">
        <f>'Sessional + End Term Assessment'!A231</f>
        <v>224</v>
      </c>
      <c r="B226" s="81">
        <f>'Sessional + End Term Assessment'!B231</f>
        <v>0</v>
      </c>
      <c r="C226" s="81">
        <f>'Sessional + End Term Assessment'!C231</f>
        <v>0</v>
      </c>
      <c r="D226" s="62">
        <f>'MID Term 2'!R230</f>
        <v>0</v>
      </c>
      <c r="E226" s="63" t="str">
        <f t="shared" si="2"/>
        <v>Y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thickBot="1" x14ac:dyDescent="0.3">
      <c r="A227" s="61">
        <f>'Sessional + End Term Assessment'!A232</f>
        <v>225</v>
      </c>
      <c r="B227" s="81">
        <f>'Sessional + End Term Assessment'!B232</f>
        <v>0</v>
      </c>
      <c r="C227" s="81">
        <f>'Sessional + End Term Assessment'!C232</f>
        <v>0</v>
      </c>
      <c r="D227" s="62">
        <f>'MID Term 2'!R231</f>
        <v>0</v>
      </c>
      <c r="E227" s="63" t="str">
        <f t="shared" si="2"/>
        <v>Y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thickBot="1" x14ac:dyDescent="0.3">
      <c r="A228" s="61">
        <f>'Sessional + End Term Assessment'!A233</f>
        <v>226</v>
      </c>
      <c r="B228" s="81">
        <f>'Sessional + End Term Assessment'!B233</f>
        <v>0</v>
      </c>
      <c r="C228" s="81">
        <f>'Sessional + End Term Assessment'!C233</f>
        <v>0</v>
      </c>
      <c r="D228" s="62">
        <f>'MID Term 2'!R232</f>
        <v>0</v>
      </c>
      <c r="E228" s="63" t="str">
        <f t="shared" si="2"/>
        <v>Y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thickBot="1" x14ac:dyDescent="0.3">
      <c r="A229" s="61">
        <f>'Sessional + End Term Assessment'!A234</f>
        <v>227</v>
      </c>
      <c r="B229" s="81">
        <f>'Sessional + End Term Assessment'!B234</f>
        <v>0</v>
      </c>
      <c r="C229" s="81">
        <f>'Sessional + End Term Assessment'!C234</f>
        <v>0</v>
      </c>
      <c r="D229" s="62">
        <f>'MID Term 2'!R233</f>
        <v>0</v>
      </c>
      <c r="E229" s="63" t="str">
        <f t="shared" si="2"/>
        <v>Y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thickBot="1" x14ac:dyDescent="0.3">
      <c r="A230" s="61">
        <f>'Sessional + End Term Assessment'!A235</f>
        <v>228</v>
      </c>
      <c r="B230" s="81">
        <f>'Sessional + End Term Assessment'!B235</f>
        <v>0</v>
      </c>
      <c r="C230" s="81">
        <f>'Sessional + End Term Assessment'!C235</f>
        <v>0</v>
      </c>
      <c r="D230" s="62">
        <f>'MID Term 2'!R234</f>
        <v>0</v>
      </c>
      <c r="E230" s="63" t="str">
        <f t="shared" si="2"/>
        <v>Y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thickBot="1" x14ac:dyDescent="0.3">
      <c r="A231" s="61">
        <f>'Sessional + End Term Assessment'!A236</f>
        <v>229</v>
      </c>
      <c r="B231" s="81">
        <f>'Sessional + End Term Assessment'!B236</f>
        <v>0</v>
      </c>
      <c r="C231" s="81">
        <f>'Sessional + End Term Assessment'!C236</f>
        <v>0</v>
      </c>
      <c r="D231" s="62">
        <f>'MID Term 2'!R235</f>
        <v>0</v>
      </c>
      <c r="E231" s="63" t="str">
        <f t="shared" si="2"/>
        <v>Y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thickBot="1" x14ac:dyDescent="0.3">
      <c r="A232" s="61">
        <f>'Sessional + End Term Assessment'!A237</f>
        <v>230</v>
      </c>
      <c r="B232" s="81">
        <f>'Sessional + End Term Assessment'!B237</f>
        <v>0</v>
      </c>
      <c r="C232" s="81">
        <f>'Sessional + End Term Assessment'!C237</f>
        <v>0</v>
      </c>
      <c r="D232" s="62">
        <f>'MID Term 2'!R236</f>
        <v>0</v>
      </c>
      <c r="E232" s="63" t="str">
        <f t="shared" si="2"/>
        <v>Y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thickBot="1" x14ac:dyDescent="0.3">
      <c r="A233" s="61">
        <f>'Sessional + End Term Assessment'!A238</f>
        <v>231</v>
      </c>
      <c r="B233" s="81">
        <f>'Sessional + End Term Assessment'!B238</f>
        <v>0</v>
      </c>
      <c r="C233" s="81">
        <f>'Sessional + End Term Assessment'!C238</f>
        <v>0</v>
      </c>
      <c r="D233" s="62">
        <f>'MID Term 2'!R237</f>
        <v>0</v>
      </c>
      <c r="E233" s="63" t="str">
        <f t="shared" si="2"/>
        <v>Y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thickBot="1" x14ac:dyDescent="0.3">
      <c r="A234" s="61">
        <f>'Sessional + End Term Assessment'!A239</f>
        <v>232</v>
      </c>
      <c r="B234" s="81">
        <f>'Sessional + End Term Assessment'!B239</f>
        <v>0</v>
      </c>
      <c r="C234" s="81">
        <f>'Sessional + End Term Assessment'!C239</f>
        <v>0</v>
      </c>
      <c r="D234" s="62">
        <f>'MID Term 2'!R238</f>
        <v>0</v>
      </c>
      <c r="E234" s="63" t="str">
        <f t="shared" si="2"/>
        <v>Y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thickBot="1" x14ac:dyDescent="0.3">
      <c r="A235" s="61">
        <f>'Sessional + End Term Assessment'!A240</f>
        <v>233</v>
      </c>
      <c r="B235" s="81">
        <f>'Sessional + End Term Assessment'!B240</f>
        <v>0</v>
      </c>
      <c r="C235" s="81">
        <f>'Sessional + End Term Assessment'!C240</f>
        <v>0</v>
      </c>
      <c r="D235" s="62">
        <f>'MID Term 2'!R239</f>
        <v>0</v>
      </c>
      <c r="E235" s="63" t="str">
        <f t="shared" si="2"/>
        <v>Y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thickBot="1" x14ac:dyDescent="0.3">
      <c r="A236" s="61">
        <f>'Sessional + End Term Assessment'!A241</f>
        <v>234</v>
      </c>
      <c r="B236" s="81">
        <f>'Sessional + End Term Assessment'!B241</f>
        <v>0</v>
      </c>
      <c r="C236" s="81">
        <f>'Sessional + End Term Assessment'!C241</f>
        <v>0</v>
      </c>
      <c r="D236" s="62">
        <f>'MID Term 2'!R240</f>
        <v>0</v>
      </c>
      <c r="E236" s="63" t="str">
        <f t="shared" si="2"/>
        <v>Y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thickBot="1" x14ac:dyDescent="0.3">
      <c r="A237" s="61">
        <f>'Sessional + End Term Assessment'!A242</f>
        <v>235</v>
      </c>
      <c r="B237" s="81">
        <f>'Sessional + End Term Assessment'!B242</f>
        <v>0</v>
      </c>
      <c r="C237" s="81">
        <f>'Sessional + End Term Assessment'!C242</f>
        <v>0</v>
      </c>
      <c r="D237" s="62">
        <f>'MID Term 2'!R241</f>
        <v>0</v>
      </c>
      <c r="E237" s="63" t="str">
        <f t="shared" si="2"/>
        <v>Y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thickBot="1" x14ac:dyDescent="0.3">
      <c r="A238" s="61">
        <f>'Sessional + End Term Assessment'!A243</f>
        <v>236</v>
      </c>
      <c r="B238" s="81">
        <f>'Sessional + End Term Assessment'!B243</f>
        <v>0</v>
      </c>
      <c r="C238" s="81">
        <f>'Sessional + End Term Assessment'!C243</f>
        <v>0</v>
      </c>
      <c r="D238" s="62">
        <f>'MID Term 2'!R242</f>
        <v>0</v>
      </c>
      <c r="E238" s="63" t="str">
        <f t="shared" si="2"/>
        <v>Y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thickBot="1" x14ac:dyDescent="0.3">
      <c r="A239" s="61">
        <f>'Sessional + End Term Assessment'!A244</f>
        <v>237</v>
      </c>
      <c r="B239" s="81">
        <f>'Sessional + End Term Assessment'!B244</f>
        <v>0</v>
      </c>
      <c r="C239" s="81">
        <f>'Sessional + End Term Assessment'!C244</f>
        <v>0</v>
      </c>
      <c r="D239" s="62">
        <f>'MID Term 2'!R243</f>
        <v>0</v>
      </c>
      <c r="E239" s="63" t="str">
        <f t="shared" si="2"/>
        <v>Y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thickBot="1" x14ac:dyDescent="0.3">
      <c r="A240" s="61">
        <f>'Sessional + End Term Assessment'!A245</f>
        <v>238</v>
      </c>
      <c r="B240" s="81">
        <f>'Sessional + End Term Assessment'!B245</f>
        <v>0</v>
      </c>
      <c r="C240" s="81">
        <f>'Sessional + End Term Assessment'!C245</f>
        <v>0</v>
      </c>
      <c r="D240" s="62">
        <f>'MID Term 2'!R244</f>
        <v>0</v>
      </c>
      <c r="E240" s="63" t="str">
        <f t="shared" si="2"/>
        <v>Y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thickBot="1" x14ac:dyDescent="0.3">
      <c r="A241" s="61">
        <f>'Sessional + End Term Assessment'!A246</f>
        <v>239</v>
      </c>
      <c r="B241" s="81">
        <f>'Sessional + End Term Assessment'!B246</f>
        <v>0</v>
      </c>
      <c r="C241" s="81">
        <f>'Sessional + End Term Assessment'!C246</f>
        <v>0</v>
      </c>
      <c r="D241" s="62">
        <f>'MID Term 2'!R245</f>
        <v>0</v>
      </c>
      <c r="E241" s="63" t="str">
        <f t="shared" si="2"/>
        <v>Y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thickBot="1" x14ac:dyDescent="0.3">
      <c r="A242" s="61">
        <f>'Sessional + End Term Assessment'!A247</f>
        <v>240</v>
      </c>
      <c r="B242" s="81">
        <f>'Sessional + End Term Assessment'!B247</f>
        <v>0</v>
      </c>
      <c r="C242" s="81">
        <f>'Sessional + End Term Assessment'!C247</f>
        <v>0</v>
      </c>
      <c r="D242" s="62">
        <f>'MID Term 2'!R246</f>
        <v>0</v>
      </c>
      <c r="E242" s="63" t="str">
        <f t="shared" si="2"/>
        <v>Y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thickBot="1" x14ac:dyDescent="0.3">
      <c r="A243" s="61">
        <f>'Sessional + End Term Assessment'!A248</f>
        <v>241</v>
      </c>
      <c r="B243" s="81">
        <f>'Sessional + End Term Assessment'!B248</f>
        <v>0</v>
      </c>
      <c r="C243" s="81">
        <f>'Sessional + End Term Assessment'!C248</f>
        <v>0</v>
      </c>
      <c r="D243" s="62">
        <f>'MID Term 2'!R247</f>
        <v>0</v>
      </c>
      <c r="E243" s="63" t="str">
        <f t="shared" si="2"/>
        <v>Y</v>
      </c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thickBot="1" x14ac:dyDescent="0.3">
      <c r="A244" s="61">
        <f>'Sessional + End Term Assessment'!A249</f>
        <v>242</v>
      </c>
      <c r="B244" s="81">
        <f>'Sessional + End Term Assessment'!B249</f>
        <v>0</v>
      </c>
      <c r="C244" s="81">
        <f>'Sessional + End Term Assessment'!C249</f>
        <v>0</v>
      </c>
      <c r="D244" s="62">
        <f>'MID Term 2'!R248</f>
        <v>0</v>
      </c>
      <c r="E244" s="63" t="str">
        <f t="shared" si="2"/>
        <v>Y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thickBot="1" x14ac:dyDescent="0.3">
      <c r="A245" s="61">
        <f>'Sessional + End Term Assessment'!A250</f>
        <v>243</v>
      </c>
      <c r="B245" s="81">
        <f>'Sessional + End Term Assessment'!B250</f>
        <v>0</v>
      </c>
      <c r="C245" s="81">
        <f>'Sessional + End Term Assessment'!C250</f>
        <v>0</v>
      </c>
      <c r="D245" s="62">
        <f>'MID Term 2'!R249</f>
        <v>0</v>
      </c>
      <c r="E245" s="63" t="str">
        <f t="shared" si="2"/>
        <v>Y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thickBot="1" x14ac:dyDescent="0.3">
      <c r="A246" s="61">
        <f>'Sessional + End Term Assessment'!A251</f>
        <v>244</v>
      </c>
      <c r="B246" s="81">
        <f>'Sessional + End Term Assessment'!B251</f>
        <v>0</v>
      </c>
      <c r="C246" s="81">
        <f>'Sessional + End Term Assessment'!C251</f>
        <v>0</v>
      </c>
      <c r="D246" s="62">
        <f>'MID Term 2'!R250</f>
        <v>0</v>
      </c>
      <c r="E246" s="63" t="str">
        <f t="shared" si="2"/>
        <v>Y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thickBot="1" x14ac:dyDescent="0.3">
      <c r="A247" s="61">
        <f>'Sessional + End Term Assessment'!A252</f>
        <v>245</v>
      </c>
      <c r="B247" s="81">
        <f>'Sessional + End Term Assessment'!B252</f>
        <v>0</v>
      </c>
      <c r="C247" s="81">
        <f>'Sessional + End Term Assessment'!C252</f>
        <v>0</v>
      </c>
      <c r="D247" s="62">
        <f>'MID Term 2'!R251</f>
        <v>0</v>
      </c>
      <c r="E247" s="63" t="str">
        <f t="shared" si="2"/>
        <v>Y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thickBot="1" x14ac:dyDescent="0.3">
      <c r="A248" s="61">
        <f>'Sessional + End Term Assessment'!A253</f>
        <v>246</v>
      </c>
      <c r="B248" s="81">
        <f>'Sessional + End Term Assessment'!B253</f>
        <v>0</v>
      </c>
      <c r="C248" s="81">
        <f>'Sessional + End Term Assessment'!C253</f>
        <v>0</v>
      </c>
      <c r="D248" s="62">
        <f>'MID Term 2'!R252</f>
        <v>0</v>
      </c>
      <c r="E248" s="63" t="str">
        <f t="shared" si="2"/>
        <v>Y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thickBot="1" x14ac:dyDescent="0.3">
      <c r="A249" s="61">
        <f>'Sessional + End Term Assessment'!A254</f>
        <v>247</v>
      </c>
      <c r="B249" s="81">
        <f>'Sessional + End Term Assessment'!B254</f>
        <v>0</v>
      </c>
      <c r="C249" s="81">
        <f>'Sessional + End Term Assessment'!C254</f>
        <v>0</v>
      </c>
      <c r="D249" s="62">
        <f>'MID Term 2'!R253</f>
        <v>0</v>
      </c>
      <c r="E249" s="63" t="str">
        <f t="shared" si="2"/>
        <v>Y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thickBot="1" x14ac:dyDescent="0.3">
      <c r="A250" s="61">
        <f>'Sessional + End Term Assessment'!A255</f>
        <v>248</v>
      </c>
      <c r="B250" s="81">
        <f>'Sessional + End Term Assessment'!B255</f>
        <v>0</v>
      </c>
      <c r="C250" s="81">
        <f>'Sessional + End Term Assessment'!C255</f>
        <v>0</v>
      </c>
      <c r="D250" s="62">
        <f>'MID Term 2'!R254</f>
        <v>0</v>
      </c>
      <c r="E250" s="63" t="str">
        <f t="shared" si="2"/>
        <v>Y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thickBot="1" x14ac:dyDescent="0.3">
      <c r="A251" s="61">
        <f>'Sessional + End Term Assessment'!A256</f>
        <v>249</v>
      </c>
      <c r="B251" s="81">
        <f>'Sessional + End Term Assessment'!B256</f>
        <v>0</v>
      </c>
      <c r="C251" s="81">
        <f>'Sessional + End Term Assessment'!C256</f>
        <v>0</v>
      </c>
      <c r="D251" s="62">
        <f>'MID Term 2'!R255</f>
        <v>0</v>
      </c>
      <c r="E251" s="63" t="str">
        <f t="shared" si="2"/>
        <v>Y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thickBot="1" x14ac:dyDescent="0.3">
      <c r="A252" s="61">
        <f>'Sessional + End Term Assessment'!A257</f>
        <v>250</v>
      </c>
      <c r="B252" s="81">
        <f>'Sessional + End Term Assessment'!B257</f>
        <v>0</v>
      </c>
      <c r="C252" s="81">
        <f>'Sessional + End Term Assessment'!C257</f>
        <v>0</v>
      </c>
      <c r="D252" s="62">
        <f>'MID Term 2'!R256</f>
        <v>0</v>
      </c>
      <c r="E252" s="63" t="str">
        <f t="shared" si="2"/>
        <v>Y</v>
      </c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252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72"/>
  <sheetViews>
    <sheetView tabSelected="1" topLeftCell="A260" workbookViewId="0">
      <selection activeCell="G281" sqref="G281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91"/>
    </row>
    <row r="2" spans="1:25" ht="19.5" customHeight="1" x14ac:dyDescent="0.25">
      <c r="A2" s="87" t="s">
        <v>78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91"/>
    </row>
    <row r="3" spans="1:25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91"/>
    </row>
    <row r="4" spans="1:25" ht="19.5" customHeight="1" x14ac:dyDescent="0.3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91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3" t="s">
        <v>27</v>
      </c>
      <c r="B5" s="90" t="s">
        <v>28</v>
      </c>
      <c r="C5" s="15" t="s">
        <v>29</v>
      </c>
      <c r="D5" s="83" t="s">
        <v>18</v>
      </c>
      <c r="E5" s="83" t="s">
        <v>19</v>
      </c>
      <c r="F5" s="83" t="s">
        <v>20</v>
      </c>
      <c r="G5" s="83" t="s">
        <v>21</v>
      </c>
      <c r="H5" s="83" t="s">
        <v>22</v>
      </c>
      <c r="I5" s="87" t="s">
        <v>79</v>
      </c>
      <c r="J5" s="88"/>
      <c r="K5" s="88"/>
      <c r="L5" s="88"/>
      <c r="M5" s="89"/>
      <c r="N5" s="83" t="s">
        <v>32</v>
      </c>
      <c r="O5" s="83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84"/>
      <c r="B6" s="84"/>
      <c r="C6" s="15" t="s">
        <v>57</v>
      </c>
      <c r="D6" s="85"/>
      <c r="E6" s="85"/>
      <c r="F6" s="85"/>
      <c r="G6" s="85"/>
      <c r="H6" s="85"/>
      <c r="I6" s="83" t="s">
        <v>18</v>
      </c>
      <c r="J6" s="83" t="s">
        <v>19</v>
      </c>
      <c r="K6" s="83" t="s">
        <v>20</v>
      </c>
      <c r="L6" s="83" t="s">
        <v>21</v>
      </c>
      <c r="M6" s="83" t="s">
        <v>22</v>
      </c>
      <c r="N6" s="84"/>
      <c r="O6" s="84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84"/>
      <c r="B7" s="84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5"/>
      <c r="J7" s="85"/>
      <c r="K7" s="85"/>
      <c r="L7" s="85"/>
      <c r="M7" s="85"/>
      <c r="N7" s="85"/>
      <c r="O7" s="85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5"/>
      <c r="B8" s="85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86">
        <v>0.75</v>
      </c>
      <c r="J8" s="86">
        <v>0.75</v>
      </c>
      <c r="K8" s="86">
        <v>0.75</v>
      </c>
      <c r="L8" s="86">
        <v>0.75</v>
      </c>
      <c r="M8" s="86">
        <v>0.75</v>
      </c>
      <c r="N8" s="83">
        <f>SUM(D8:H8)</f>
        <v>140</v>
      </c>
      <c r="O8" s="83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7" t="s">
        <v>35</v>
      </c>
      <c r="B9" s="88"/>
      <c r="C9" s="89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5"/>
      <c r="J9" s="85"/>
      <c r="K9" s="85"/>
      <c r="L9" s="85"/>
      <c r="M9" s="85"/>
      <c r="N9" s="85"/>
      <c r="O9" s="85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v>1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v>2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v>3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v>4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v>5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v>6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v>7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v>8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v>9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v>10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v>11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v>12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v>13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v>14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v>15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v>16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v>17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v>18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v>19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v>20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v>21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v>22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v>23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v>24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v>25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v>26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v>27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v>28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v>29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v>30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v>31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v>32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v>33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v>34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v>35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v>36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v>37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v>38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v>39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v>40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v>41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v>42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v>43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v>44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v>45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v>46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v>47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v>48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v>49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v>50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v>51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v>52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v>53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v>54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v>55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v>56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v>57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v>58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v>59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v>60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v>61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v>62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v>63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v>64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v>65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v>66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v>67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v>68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v>69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v>70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v>71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v>72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v>73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v>74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v>75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v>76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v>77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v>78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v>79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v>80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v>81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v>82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v>83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v>84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v>85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v>86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v>87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v>88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v>89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v>90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v>91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v>92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v>93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v>94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v>95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v>96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v>97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v>98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v>99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v>100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v>101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v>102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v>103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v>104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v>105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v>106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v>107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v>108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v>109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v>110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v>111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v>112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v>113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v>114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v>115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v>116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v>117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v>118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v>119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v>120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v>121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v>122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v>123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v>124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v>125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v>126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v>127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v>128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v>129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v>130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v>131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v>132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v>133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v>134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v>135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v>136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v>137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v>138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v>139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v>140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v>141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v>142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v>143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v>144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v>145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v>146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v>147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v>148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v>149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v>150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v>151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v>152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v>153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v>154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v>155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v>156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v>157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v>158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v>159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v>160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v>161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v>162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v>163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v>164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v>165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v>166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v>167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v>168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v>169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v>170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v>171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v>172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v>173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v>174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v>175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v>176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47">
        <v>177</v>
      </c>
      <c r="B186" s="74">
        <f>'Sessional + End Term Assessment'!B184</f>
        <v>0</v>
      </c>
      <c r="C186" s="74">
        <f>'Sessional + End Term Assessment'!C184</f>
        <v>0</v>
      </c>
      <c r="D186" s="21">
        <f>'MID Term 1'!D183+'MID Term 2'!D183</f>
        <v>0</v>
      </c>
      <c r="E186" s="21">
        <f>'MID Term 1'!H183+'MID Term 2'!E183</f>
        <v>0</v>
      </c>
      <c r="F186" s="21">
        <f>'MID Term 1'!L183+'MID Term 2'!F183</f>
        <v>0</v>
      </c>
      <c r="G186" s="21">
        <f>'MID Term 1'!P183+'MID Term 2'!J183</f>
        <v>0</v>
      </c>
      <c r="H186" s="21">
        <f>'MID Term 1'!Q183+'MID Term 2'!N183</f>
        <v>0</v>
      </c>
      <c r="I186" s="23">
        <f t="shared" ref="I186:I221" si="7">IF((D186/$D$8)&gt;=$I$8,1,0)</f>
        <v>0</v>
      </c>
      <c r="J186" s="23">
        <f t="shared" ref="J186:J221" si="8">IF((E186/$E$8)&gt;=$J$8,1,0)</f>
        <v>0</v>
      </c>
      <c r="K186" s="23">
        <f t="shared" ref="K186:K221" si="9">IF((F186/$F$8)&gt;=$K$8,1,0)</f>
        <v>0</v>
      </c>
      <c r="L186" s="23">
        <f t="shared" ref="L186:L221" si="10">IF((G186/$G$8)&gt;=$L$8,1,0)</f>
        <v>0</v>
      </c>
      <c r="M186" s="23">
        <f t="shared" ref="M186:M221" si="11">IF((H186/$H$8)&gt;=$M$8,1,0)</f>
        <v>0</v>
      </c>
      <c r="N186" s="21">
        <f t="shared" ref="N186:N221" si="12">SUM(D186:H186)</f>
        <v>0</v>
      </c>
      <c r="O186" s="23">
        <f t="shared" ref="O186:O221" si="13">ROUND(N186/2,0)</f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4"/>
    </row>
    <row r="187" spans="1:26" ht="19.5" customHeight="1" x14ac:dyDescent="0.3">
      <c r="A187" s="47">
        <v>178</v>
      </c>
      <c r="B187" s="74">
        <f>'Sessional + End Term Assessment'!B185</f>
        <v>0</v>
      </c>
      <c r="C187" s="74">
        <f>'Sessional + End Term Assessment'!C185</f>
        <v>0</v>
      </c>
      <c r="D187" s="21">
        <f>'MID Term 1'!D184+'MID Term 2'!D184</f>
        <v>0</v>
      </c>
      <c r="E187" s="21">
        <f>'MID Term 1'!H184+'MID Term 2'!E184</f>
        <v>0</v>
      </c>
      <c r="F187" s="21">
        <f>'MID Term 1'!L184+'MID Term 2'!F184</f>
        <v>0</v>
      </c>
      <c r="G187" s="21">
        <f>'MID Term 1'!P184+'MID Term 2'!J184</f>
        <v>0</v>
      </c>
      <c r="H187" s="21">
        <f>'MID Term 1'!Q184+'MID Term 2'!N184</f>
        <v>0</v>
      </c>
      <c r="I187" s="23">
        <f t="shared" si="7"/>
        <v>0</v>
      </c>
      <c r="J187" s="23">
        <f t="shared" si="8"/>
        <v>0</v>
      </c>
      <c r="K187" s="23">
        <f t="shared" si="9"/>
        <v>0</v>
      </c>
      <c r="L187" s="23">
        <f t="shared" si="10"/>
        <v>0</v>
      </c>
      <c r="M187" s="23">
        <f t="shared" si="11"/>
        <v>0</v>
      </c>
      <c r="N187" s="21">
        <f t="shared" si="12"/>
        <v>0</v>
      </c>
      <c r="O187" s="23">
        <f t="shared" si="13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4"/>
    </row>
    <row r="188" spans="1:26" ht="19.5" customHeight="1" x14ac:dyDescent="0.3">
      <c r="A188" s="47">
        <v>179</v>
      </c>
      <c r="B188" s="74">
        <f>'Sessional + End Term Assessment'!B186</f>
        <v>0</v>
      </c>
      <c r="C188" s="74">
        <f>'Sessional + End Term Assessment'!C186</f>
        <v>0</v>
      </c>
      <c r="D188" s="21">
        <f>'MID Term 1'!D185+'MID Term 2'!D185</f>
        <v>0</v>
      </c>
      <c r="E188" s="21">
        <f>'MID Term 1'!H185+'MID Term 2'!E185</f>
        <v>0</v>
      </c>
      <c r="F188" s="21">
        <f>'MID Term 1'!L185+'MID Term 2'!F185</f>
        <v>0</v>
      </c>
      <c r="G188" s="21">
        <f>'MID Term 1'!P185+'MID Term 2'!J185</f>
        <v>0</v>
      </c>
      <c r="H188" s="21">
        <f>'MID Term 1'!Q185+'MID Term 2'!N185</f>
        <v>0</v>
      </c>
      <c r="I188" s="23">
        <f t="shared" si="7"/>
        <v>0</v>
      </c>
      <c r="J188" s="23">
        <f t="shared" si="8"/>
        <v>0</v>
      </c>
      <c r="K188" s="23">
        <f t="shared" si="9"/>
        <v>0</v>
      </c>
      <c r="L188" s="23">
        <f t="shared" si="10"/>
        <v>0</v>
      </c>
      <c r="M188" s="23">
        <f t="shared" si="11"/>
        <v>0</v>
      </c>
      <c r="N188" s="21">
        <f t="shared" si="12"/>
        <v>0</v>
      </c>
      <c r="O188" s="23">
        <f t="shared" si="13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4"/>
    </row>
    <row r="189" spans="1:26" ht="19.5" customHeight="1" x14ac:dyDescent="0.3">
      <c r="A189" s="47">
        <v>180</v>
      </c>
      <c r="B189" s="74">
        <f>'Sessional + End Term Assessment'!B187</f>
        <v>0</v>
      </c>
      <c r="C189" s="74">
        <f>'Sessional + End Term Assessment'!C187</f>
        <v>0</v>
      </c>
      <c r="D189" s="21">
        <f>'MID Term 1'!D186+'MID Term 2'!D186</f>
        <v>0</v>
      </c>
      <c r="E189" s="21">
        <f>'MID Term 1'!H186+'MID Term 2'!E186</f>
        <v>0</v>
      </c>
      <c r="F189" s="21">
        <f>'MID Term 1'!L186+'MID Term 2'!F186</f>
        <v>0</v>
      </c>
      <c r="G189" s="21">
        <f>'MID Term 1'!P186+'MID Term 2'!J186</f>
        <v>0</v>
      </c>
      <c r="H189" s="21">
        <f>'MID Term 1'!Q186+'MID Term 2'!N186</f>
        <v>0</v>
      </c>
      <c r="I189" s="23">
        <f t="shared" si="7"/>
        <v>0</v>
      </c>
      <c r="J189" s="23">
        <f t="shared" si="8"/>
        <v>0</v>
      </c>
      <c r="K189" s="23">
        <f t="shared" si="9"/>
        <v>0</v>
      </c>
      <c r="L189" s="23">
        <f t="shared" si="10"/>
        <v>0</v>
      </c>
      <c r="M189" s="23">
        <f t="shared" si="11"/>
        <v>0</v>
      </c>
      <c r="N189" s="21">
        <f t="shared" si="12"/>
        <v>0</v>
      </c>
      <c r="O189" s="23">
        <f t="shared" si="13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4"/>
    </row>
    <row r="190" spans="1:26" ht="19.5" customHeight="1" x14ac:dyDescent="0.3">
      <c r="A190" s="47">
        <v>181</v>
      </c>
      <c r="B190" s="74">
        <f>'Sessional + End Term Assessment'!B188</f>
        <v>0</v>
      </c>
      <c r="C190" s="74">
        <f>'Sessional + End Term Assessment'!C188</f>
        <v>0</v>
      </c>
      <c r="D190" s="21">
        <f>'MID Term 1'!D187+'MID Term 2'!D187</f>
        <v>0</v>
      </c>
      <c r="E190" s="21">
        <f>'MID Term 1'!H187+'MID Term 2'!E187</f>
        <v>0</v>
      </c>
      <c r="F190" s="21">
        <f>'MID Term 1'!L187+'MID Term 2'!F187</f>
        <v>0</v>
      </c>
      <c r="G190" s="21">
        <f>'MID Term 1'!P187+'MID Term 2'!J187</f>
        <v>0</v>
      </c>
      <c r="H190" s="21">
        <f>'MID Term 1'!Q187+'MID Term 2'!N187</f>
        <v>0</v>
      </c>
      <c r="I190" s="23">
        <f t="shared" si="7"/>
        <v>0</v>
      </c>
      <c r="J190" s="23">
        <f t="shared" si="8"/>
        <v>0</v>
      </c>
      <c r="K190" s="23">
        <f t="shared" si="9"/>
        <v>0</v>
      </c>
      <c r="L190" s="23">
        <f t="shared" si="10"/>
        <v>0</v>
      </c>
      <c r="M190" s="23">
        <f t="shared" si="11"/>
        <v>0</v>
      </c>
      <c r="N190" s="21">
        <f t="shared" si="12"/>
        <v>0</v>
      </c>
      <c r="O190" s="23">
        <f t="shared" si="13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4"/>
    </row>
    <row r="191" spans="1:26" ht="19.5" customHeight="1" x14ac:dyDescent="0.3">
      <c r="A191" s="47">
        <v>182</v>
      </c>
      <c r="B191" s="74">
        <f>'Sessional + End Term Assessment'!B189</f>
        <v>0</v>
      </c>
      <c r="C191" s="74">
        <f>'Sessional + End Term Assessment'!C189</f>
        <v>0</v>
      </c>
      <c r="D191" s="21">
        <f>'MID Term 1'!D188+'MID Term 2'!D188</f>
        <v>0</v>
      </c>
      <c r="E191" s="21">
        <f>'MID Term 1'!H188+'MID Term 2'!E188</f>
        <v>0</v>
      </c>
      <c r="F191" s="21">
        <f>'MID Term 1'!L188+'MID Term 2'!F188</f>
        <v>0</v>
      </c>
      <c r="G191" s="21">
        <f>'MID Term 1'!P188+'MID Term 2'!J188</f>
        <v>0</v>
      </c>
      <c r="H191" s="21">
        <f>'MID Term 1'!Q188+'MID Term 2'!N188</f>
        <v>0</v>
      </c>
      <c r="I191" s="23">
        <f t="shared" si="7"/>
        <v>0</v>
      </c>
      <c r="J191" s="23">
        <f t="shared" si="8"/>
        <v>0</v>
      </c>
      <c r="K191" s="23">
        <f t="shared" si="9"/>
        <v>0</v>
      </c>
      <c r="L191" s="23">
        <f t="shared" si="10"/>
        <v>0</v>
      </c>
      <c r="M191" s="23">
        <f t="shared" si="11"/>
        <v>0</v>
      </c>
      <c r="N191" s="21">
        <f t="shared" si="12"/>
        <v>0</v>
      </c>
      <c r="O191" s="23">
        <f t="shared" si="13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4"/>
    </row>
    <row r="192" spans="1:26" ht="19.5" customHeight="1" x14ac:dyDescent="0.3">
      <c r="A192" s="47">
        <v>183</v>
      </c>
      <c r="B192" s="74">
        <f>'Sessional + End Term Assessment'!B190</f>
        <v>0</v>
      </c>
      <c r="C192" s="74">
        <f>'Sessional + End Term Assessment'!C190</f>
        <v>0</v>
      </c>
      <c r="D192" s="21">
        <f>'MID Term 1'!D189+'MID Term 2'!D189</f>
        <v>0</v>
      </c>
      <c r="E192" s="21">
        <f>'MID Term 1'!H189+'MID Term 2'!E189</f>
        <v>0</v>
      </c>
      <c r="F192" s="21">
        <f>'MID Term 1'!L189+'MID Term 2'!F189</f>
        <v>0</v>
      </c>
      <c r="G192" s="21">
        <f>'MID Term 1'!P189+'MID Term 2'!J189</f>
        <v>0</v>
      </c>
      <c r="H192" s="21">
        <f>'MID Term 1'!Q189+'MID Term 2'!N189</f>
        <v>0</v>
      </c>
      <c r="I192" s="23">
        <f t="shared" si="7"/>
        <v>0</v>
      </c>
      <c r="J192" s="23">
        <f t="shared" si="8"/>
        <v>0</v>
      </c>
      <c r="K192" s="23">
        <f t="shared" si="9"/>
        <v>0</v>
      </c>
      <c r="L192" s="23">
        <f t="shared" si="10"/>
        <v>0</v>
      </c>
      <c r="M192" s="23">
        <f t="shared" si="11"/>
        <v>0</v>
      </c>
      <c r="N192" s="21">
        <f t="shared" si="12"/>
        <v>0</v>
      </c>
      <c r="O192" s="23">
        <f t="shared" si="13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4"/>
    </row>
    <row r="193" spans="1:26" ht="19.5" customHeight="1" x14ac:dyDescent="0.3">
      <c r="A193" s="47">
        <v>184</v>
      </c>
      <c r="B193" s="74">
        <f>'Sessional + End Term Assessment'!B191</f>
        <v>0</v>
      </c>
      <c r="C193" s="74">
        <f>'Sessional + End Term Assessment'!C191</f>
        <v>0</v>
      </c>
      <c r="D193" s="21">
        <f>'MID Term 1'!D190+'MID Term 2'!D190</f>
        <v>0</v>
      </c>
      <c r="E193" s="21">
        <f>'MID Term 1'!H190+'MID Term 2'!E190</f>
        <v>0</v>
      </c>
      <c r="F193" s="21">
        <f>'MID Term 1'!L190+'MID Term 2'!F190</f>
        <v>0</v>
      </c>
      <c r="G193" s="21">
        <f>'MID Term 1'!P190+'MID Term 2'!J190</f>
        <v>0</v>
      </c>
      <c r="H193" s="21">
        <f>'MID Term 1'!Q190+'MID Term 2'!N190</f>
        <v>0</v>
      </c>
      <c r="I193" s="23">
        <f t="shared" si="7"/>
        <v>0</v>
      </c>
      <c r="J193" s="23">
        <f t="shared" si="8"/>
        <v>0</v>
      </c>
      <c r="K193" s="23">
        <f t="shared" si="9"/>
        <v>0</v>
      </c>
      <c r="L193" s="23">
        <f t="shared" si="10"/>
        <v>0</v>
      </c>
      <c r="M193" s="23">
        <f t="shared" si="11"/>
        <v>0</v>
      </c>
      <c r="N193" s="21">
        <f t="shared" si="12"/>
        <v>0</v>
      </c>
      <c r="O193" s="23">
        <f t="shared" si="13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4"/>
    </row>
    <row r="194" spans="1:26" ht="19.5" customHeight="1" x14ac:dyDescent="0.3">
      <c r="A194" s="47">
        <v>185</v>
      </c>
      <c r="B194" s="74">
        <f>'Sessional + End Term Assessment'!B192</f>
        <v>0</v>
      </c>
      <c r="C194" s="74">
        <f>'Sessional + End Term Assessment'!C192</f>
        <v>0</v>
      </c>
      <c r="D194" s="21">
        <f>'MID Term 1'!D191+'MID Term 2'!D191</f>
        <v>0</v>
      </c>
      <c r="E194" s="21">
        <f>'MID Term 1'!H191+'MID Term 2'!E191</f>
        <v>0</v>
      </c>
      <c r="F194" s="21">
        <f>'MID Term 1'!L191+'MID Term 2'!F191</f>
        <v>0</v>
      </c>
      <c r="G194" s="21">
        <f>'MID Term 1'!P191+'MID Term 2'!J191</f>
        <v>0</v>
      </c>
      <c r="H194" s="21">
        <f>'MID Term 1'!Q191+'MID Term 2'!N191</f>
        <v>0</v>
      </c>
      <c r="I194" s="23">
        <f t="shared" si="7"/>
        <v>0</v>
      </c>
      <c r="J194" s="23">
        <f t="shared" si="8"/>
        <v>0</v>
      </c>
      <c r="K194" s="23">
        <f t="shared" si="9"/>
        <v>0</v>
      </c>
      <c r="L194" s="23">
        <f t="shared" si="10"/>
        <v>0</v>
      </c>
      <c r="M194" s="23">
        <f t="shared" si="11"/>
        <v>0</v>
      </c>
      <c r="N194" s="21">
        <f t="shared" si="12"/>
        <v>0</v>
      </c>
      <c r="O194" s="23">
        <f t="shared" si="13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4"/>
    </row>
    <row r="195" spans="1:26" ht="19.5" customHeight="1" x14ac:dyDescent="0.3">
      <c r="A195" s="47">
        <v>186</v>
      </c>
      <c r="B195" s="74">
        <f>'Sessional + End Term Assessment'!B193</f>
        <v>0</v>
      </c>
      <c r="C195" s="74">
        <f>'Sessional + End Term Assessment'!C193</f>
        <v>0</v>
      </c>
      <c r="D195" s="21">
        <f>'MID Term 1'!D192+'MID Term 2'!D192</f>
        <v>0</v>
      </c>
      <c r="E195" s="21">
        <f>'MID Term 1'!H192+'MID Term 2'!E192</f>
        <v>0</v>
      </c>
      <c r="F195" s="21">
        <f>'MID Term 1'!L192+'MID Term 2'!F192</f>
        <v>0</v>
      </c>
      <c r="G195" s="21">
        <f>'MID Term 1'!P192+'MID Term 2'!J192</f>
        <v>0</v>
      </c>
      <c r="H195" s="21">
        <f>'MID Term 1'!Q192+'MID Term 2'!N192</f>
        <v>0</v>
      </c>
      <c r="I195" s="23">
        <f t="shared" si="7"/>
        <v>0</v>
      </c>
      <c r="J195" s="23">
        <f t="shared" si="8"/>
        <v>0</v>
      </c>
      <c r="K195" s="23">
        <f t="shared" si="9"/>
        <v>0</v>
      </c>
      <c r="L195" s="23">
        <f t="shared" si="10"/>
        <v>0</v>
      </c>
      <c r="M195" s="23">
        <f t="shared" si="11"/>
        <v>0</v>
      </c>
      <c r="N195" s="21">
        <f t="shared" si="12"/>
        <v>0</v>
      </c>
      <c r="O195" s="23">
        <f t="shared" si="13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4"/>
    </row>
    <row r="196" spans="1:26" ht="19.5" customHeight="1" x14ac:dyDescent="0.3">
      <c r="A196" s="47">
        <v>187</v>
      </c>
      <c r="B196" s="74">
        <f>'Sessional + End Term Assessment'!B194</f>
        <v>0</v>
      </c>
      <c r="C196" s="74">
        <f>'Sessional + End Term Assessment'!C194</f>
        <v>0</v>
      </c>
      <c r="D196" s="21">
        <f>'MID Term 1'!D193+'MID Term 2'!D193</f>
        <v>0</v>
      </c>
      <c r="E196" s="21">
        <f>'MID Term 1'!H193+'MID Term 2'!E193</f>
        <v>0</v>
      </c>
      <c r="F196" s="21">
        <f>'MID Term 1'!L193+'MID Term 2'!F193</f>
        <v>0</v>
      </c>
      <c r="G196" s="21">
        <f>'MID Term 1'!P193+'MID Term 2'!J193</f>
        <v>0</v>
      </c>
      <c r="H196" s="21">
        <f>'MID Term 1'!Q193+'MID Term 2'!N193</f>
        <v>0</v>
      </c>
      <c r="I196" s="23">
        <f t="shared" si="7"/>
        <v>0</v>
      </c>
      <c r="J196" s="23">
        <f t="shared" si="8"/>
        <v>0</v>
      </c>
      <c r="K196" s="23">
        <f t="shared" si="9"/>
        <v>0</v>
      </c>
      <c r="L196" s="23">
        <f t="shared" si="10"/>
        <v>0</v>
      </c>
      <c r="M196" s="23">
        <f t="shared" si="11"/>
        <v>0</v>
      </c>
      <c r="N196" s="21">
        <f t="shared" si="12"/>
        <v>0</v>
      </c>
      <c r="O196" s="23">
        <f t="shared" si="13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4"/>
    </row>
    <row r="197" spans="1:26" ht="19.5" customHeight="1" x14ac:dyDescent="0.3">
      <c r="A197" s="47">
        <v>188</v>
      </c>
      <c r="B197" s="74">
        <f>'Sessional + End Term Assessment'!B195</f>
        <v>0</v>
      </c>
      <c r="C197" s="74">
        <f>'Sessional + End Term Assessment'!C195</f>
        <v>0</v>
      </c>
      <c r="D197" s="21">
        <f>'MID Term 1'!D194+'MID Term 2'!D194</f>
        <v>0</v>
      </c>
      <c r="E197" s="21">
        <f>'MID Term 1'!H194+'MID Term 2'!E194</f>
        <v>0</v>
      </c>
      <c r="F197" s="21">
        <f>'MID Term 1'!L194+'MID Term 2'!F194</f>
        <v>0</v>
      </c>
      <c r="G197" s="21">
        <f>'MID Term 1'!P194+'MID Term 2'!J194</f>
        <v>0</v>
      </c>
      <c r="H197" s="21">
        <f>'MID Term 1'!Q194+'MID Term 2'!N194</f>
        <v>0</v>
      </c>
      <c r="I197" s="23">
        <f t="shared" si="7"/>
        <v>0</v>
      </c>
      <c r="J197" s="23">
        <f t="shared" si="8"/>
        <v>0</v>
      </c>
      <c r="K197" s="23">
        <f t="shared" si="9"/>
        <v>0</v>
      </c>
      <c r="L197" s="23">
        <f t="shared" si="10"/>
        <v>0</v>
      </c>
      <c r="M197" s="23">
        <f t="shared" si="11"/>
        <v>0</v>
      </c>
      <c r="N197" s="21">
        <f t="shared" si="12"/>
        <v>0</v>
      </c>
      <c r="O197" s="23">
        <f t="shared" si="13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4"/>
    </row>
    <row r="198" spans="1:26" ht="19.5" customHeight="1" x14ac:dyDescent="0.3">
      <c r="A198" s="47">
        <v>189</v>
      </c>
      <c r="B198" s="74">
        <f>'Sessional + End Term Assessment'!B196</f>
        <v>0</v>
      </c>
      <c r="C198" s="74">
        <f>'Sessional + End Term Assessment'!C196</f>
        <v>0</v>
      </c>
      <c r="D198" s="21">
        <f>'MID Term 1'!D195+'MID Term 2'!D195</f>
        <v>0</v>
      </c>
      <c r="E198" s="21">
        <f>'MID Term 1'!H195+'MID Term 2'!E195</f>
        <v>0</v>
      </c>
      <c r="F198" s="21">
        <f>'MID Term 1'!L195+'MID Term 2'!F195</f>
        <v>0</v>
      </c>
      <c r="G198" s="21">
        <f>'MID Term 1'!P195+'MID Term 2'!J195</f>
        <v>0</v>
      </c>
      <c r="H198" s="21">
        <f>'MID Term 1'!Q195+'MID Term 2'!N195</f>
        <v>0</v>
      </c>
      <c r="I198" s="23">
        <f t="shared" si="7"/>
        <v>0</v>
      </c>
      <c r="J198" s="23">
        <f t="shared" si="8"/>
        <v>0</v>
      </c>
      <c r="K198" s="23">
        <f t="shared" si="9"/>
        <v>0</v>
      </c>
      <c r="L198" s="23">
        <f t="shared" si="10"/>
        <v>0</v>
      </c>
      <c r="M198" s="23">
        <f t="shared" si="11"/>
        <v>0</v>
      </c>
      <c r="N198" s="21">
        <f t="shared" si="12"/>
        <v>0</v>
      </c>
      <c r="O198" s="23">
        <f t="shared" si="13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4"/>
    </row>
    <row r="199" spans="1:26" ht="19.5" customHeight="1" x14ac:dyDescent="0.3">
      <c r="A199" s="47">
        <v>190</v>
      </c>
      <c r="B199" s="74">
        <f>'Sessional + End Term Assessment'!B197</f>
        <v>0</v>
      </c>
      <c r="C199" s="74">
        <f>'Sessional + End Term Assessment'!C197</f>
        <v>0</v>
      </c>
      <c r="D199" s="21">
        <f>'MID Term 1'!D196+'MID Term 2'!D196</f>
        <v>0</v>
      </c>
      <c r="E199" s="21">
        <f>'MID Term 1'!H196+'MID Term 2'!E196</f>
        <v>0</v>
      </c>
      <c r="F199" s="21">
        <f>'MID Term 1'!L196+'MID Term 2'!F196</f>
        <v>0</v>
      </c>
      <c r="G199" s="21">
        <f>'MID Term 1'!P196+'MID Term 2'!J196</f>
        <v>0</v>
      </c>
      <c r="H199" s="21">
        <f>'MID Term 1'!Q196+'MID Term 2'!N196</f>
        <v>0</v>
      </c>
      <c r="I199" s="23">
        <f t="shared" si="7"/>
        <v>0</v>
      </c>
      <c r="J199" s="23">
        <f t="shared" si="8"/>
        <v>0</v>
      </c>
      <c r="K199" s="23">
        <f t="shared" si="9"/>
        <v>0</v>
      </c>
      <c r="L199" s="23">
        <f t="shared" si="10"/>
        <v>0</v>
      </c>
      <c r="M199" s="23">
        <f t="shared" si="11"/>
        <v>0</v>
      </c>
      <c r="N199" s="21">
        <f t="shared" si="12"/>
        <v>0</v>
      </c>
      <c r="O199" s="23">
        <f t="shared" si="13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4"/>
    </row>
    <row r="200" spans="1:26" ht="19.5" customHeight="1" x14ac:dyDescent="0.3">
      <c r="A200" s="47">
        <v>191</v>
      </c>
      <c r="B200" s="74">
        <f>'Sessional + End Term Assessment'!B198</f>
        <v>0</v>
      </c>
      <c r="C200" s="74">
        <f>'Sessional + End Term Assessment'!C198</f>
        <v>0</v>
      </c>
      <c r="D200" s="21">
        <f>'MID Term 1'!D197+'MID Term 2'!D197</f>
        <v>0</v>
      </c>
      <c r="E200" s="21">
        <f>'MID Term 1'!H197+'MID Term 2'!E197</f>
        <v>0</v>
      </c>
      <c r="F200" s="21">
        <f>'MID Term 1'!L197+'MID Term 2'!F197</f>
        <v>0</v>
      </c>
      <c r="G200" s="21">
        <f>'MID Term 1'!P197+'MID Term 2'!J197</f>
        <v>0</v>
      </c>
      <c r="H200" s="21">
        <f>'MID Term 1'!Q197+'MID Term 2'!N197</f>
        <v>0</v>
      </c>
      <c r="I200" s="23">
        <f t="shared" si="7"/>
        <v>0</v>
      </c>
      <c r="J200" s="23">
        <f t="shared" si="8"/>
        <v>0</v>
      </c>
      <c r="K200" s="23">
        <f t="shared" si="9"/>
        <v>0</v>
      </c>
      <c r="L200" s="23">
        <f t="shared" si="10"/>
        <v>0</v>
      </c>
      <c r="M200" s="23">
        <f t="shared" si="11"/>
        <v>0</v>
      </c>
      <c r="N200" s="21">
        <f t="shared" si="12"/>
        <v>0</v>
      </c>
      <c r="O200" s="23">
        <f t="shared" si="13"/>
        <v>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4"/>
    </row>
    <row r="201" spans="1:26" ht="19.5" customHeight="1" x14ac:dyDescent="0.3">
      <c r="A201" s="47">
        <v>192</v>
      </c>
      <c r="B201" s="74">
        <f>'Sessional + End Term Assessment'!B199</f>
        <v>0</v>
      </c>
      <c r="C201" s="74">
        <f>'Sessional + End Term Assessment'!C199</f>
        <v>0</v>
      </c>
      <c r="D201" s="21">
        <f>'MID Term 1'!D198+'MID Term 2'!D198</f>
        <v>0</v>
      </c>
      <c r="E201" s="21">
        <f>'MID Term 1'!H198+'MID Term 2'!E198</f>
        <v>0</v>
      </c>
      <c r="F201" s="21">
        <f>'MID Term 1'!L198+'MID Term 2'!F198</f>
        <v>0</v>
      </c>
      <c r="G201" s="21">
        <f>'MID Term 1'!P198+'MID Term 2'!J198</f>
        <v>0</v>
      </c>
      <c r="H201" s="21">
        <f>'MID Term 1'!Q198+'MID Term 2'!N198</f>
        <v>0</v>
      </c>
      <c r="I201" s="23">
        <f t="shared" si="7"/>
        <v>0</v>
      </c>
      <c r="J201" s="23">
        <f t="shared" si="8"/>
        <v>0</v>
      </c>
      <c r="K201" s="23">
        <f t="shared" si="9"/>
        <v>0</v>
      </c>
      <c r="L201" s="23">
        <f t="shared" si="10"/>
        <v>0</v>
      </c>
      <c r="M201" s="23">
        <f t="shared" si="11"/>
        <v>0</v>
      </c>
      <c r="N201" s="21">
        <f t="shared" si="12"/>
        <v>0</v>
      </c>
      <c r="O201" s="23">
        <f t="shared" si="13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4"/>
    </row>
    <row r="202" spans="1:26" ht="19.5" customHeight="1" x14ac:dyDescent="0.3">
      <c r="A202" s="47">
        <v>193</v>
      </c>
      <c r="B202" s="74">
        <f>'Sessional + End Term Assessment'!B200</f>
        <v>0</v>
      </c>
      <c r="C202" s="74">
        <f>'Sessional + End Term Assessment'!C200</f>
        <v>0</v>
      </c>
      <c r="D202" s="21">
        <f>'MID Term 1'!D199+'MID Term 2'!D199</f>
        <v>0</v>
      </c>
      <c r="E202" s="21">
        <f>'MID Term 1'!H199+'MID Term 2'!E199</f>
        <v>0</v>
      </c>
      <c r="F202" s="21">
        <f>'MID Term 1'!L199+'MID Term 2'!F199</f>
        <v>0</v>
      </c>
      <c r="G202" s="21">
        <f>'MID Term 1'!P199+'MID Term 2'!J199</f>
        <v>0</v>
      </c>
      <c r="H202" s="21">
        <f>'MID Term 1'!Q199+'MID Term 2'!N199</f>
        <v>0</v>
      </c>
      <c r="I202" s="23">
        <f t="shared" si="7"/>
        <v>0</v>
      </c>
      <c r="J202" s="23">
        <f t="shared" si="8"/>
        <v>0</v>
      </c>
      <c r="K202" s="23">
        <f t="shared" si="9"/>
        <v>0</v>
      </c>
      <c r="L202" s="23">
        <f t="shared" si="10"/>
        <v>0</v>
      </c>
      <c r="M202" s="23">
        <f t="shared" si="11"/>
        <v>0</v>
      </c>
      <c r="N202" s="21">
        <f t="shared" si="12"/>
        <v>0</v>
      </c>
      <c r="O202" s="23">
        <f t="shared" si="13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4"/>
    </row>
    <row r="203" spans="1:26" ht="19.5" customHeight="1" x14ac:dyDescent="0.3">
      <c r="A203" s="47">
        <v>194</v>
      </c>
      <c r="B203" s="74">
        <f>'Sessional + End Term Assessment'!B201</f>
        <v>0</v>
      </c>
      <c r="C203" s="74">
        <f>'Sessional + End Term Assessment'!C201</f>
        <v>0</v>
      </c>
      <c r="D203" s="21">
        <f>'MID Term 1'!D200+'MID Term 2'!D200</f>
        <v>0</v>
      </c>
      <c r="E203" s="21">
        <f>'MID Term 1'!H200+'MID Term 2'!E200</f>
        <v>0</v>
      </c>
      <c r="F203" s="21">
        <f>'MID Term 1'!L200+'MID Term 2'!F200</f>
        <v>0</v>
      </c>
      <c r="G203" s="21">
        <f>'MID Term 1'!P200+'MID Term 2'!J200</f>
        <v>0</v>
      </c>
      <c r="H203" s="21">
        <f>'MID Term 1'!Q200+'MID Term 2'!N200</f>
        <v>0</v>
      </c>
      <c r="I203" s="23">
        <f t="shared" si="7"/>
        <v>0</v>
      </c>
      <c r="J203" s="23">
        <f t="shared" si="8"/>
        <v>0</v>
      </c>
      <c r="K203" s="23">
        <f t="shared" si="9"/>
        <v>0</v>
      </c>
      <c r="L203" s="23">
        <f t="shared" si="10"/>
        <v>0</v>
      </c>
      <c r="M203" s="23">
        <f t="shared" si="11"/>
        <v>0</v>
      </c>
      <c r="N203" s="21">
        <f t="shared" si="12"/>
        <v>0</v>
      </c>
      <c r="O203" s="23">
        <f t="shared" si="13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4"/>
    </row>
    <row r="204" spans="1:26" ht="19.5" customHeight="1" x14ac:dyDescent="0.3">
      <c r="A204" s="47">
        <v>195</v>
      </c>
      <c r="B204" s="74">
        <f>'Sessional + End Term Assessment'!B202</f>
        <v>0</v>
      </c>
      <c r="C204" s="74">
        <f>'Sessional + End Term Assessment'!C202</f>
        <v>0</v>
      </c>
      <c r="D204" s="21">
        <f>'MID Term 1'!D201+'MID Term 2'!D201</f>
        <v>0</v>
      </c>
      <c r="E204" s="21">
        <f>'MID Term 1'!H201+'MID Term 2'!E201</f>
        <v>0</v>
      </c>
      <c r="F204" s="21">
        <f>'MID Term 1'!L201+'MID Term 2'!F201</f>
        <v>0</v>
      </c>
      <c r="G204" s="21">
        <f>'MID Term 1'!P201+'MID Term 2'!J201</f>
        <v>0</v>
      </c>
      <c r="H204" s="21">
        <f>'MID Term 1'!Q201+'MID Term 2'!N201</f>
        <v>0</v>
      </c>
      <c r="I204" s="23">
        <f t="shared" si="7"/>
        <v>0</v>
      </c>
      <c r="J204" s="23">
        <f t="shared" si="8"/>
        <v>0</v>
      </c>
      <c r="K204" s="23">
        <f t="shared" si="9"/>
        <v>0</v>
      </c>
      <c r="L204" s="23">
        <f t="shared" si="10"/>
        <v>0</v>
      </c>
      <c r="M204" s="23">
        <f t="shared" si="11"/>
        <v>0</v>
      </c>
      <c r="N204" s="21">
        <f t="shared" si="12"/>
        <v>0</v>
      </c>
      <c r="O204" s="23">
        <f t="shared" si="13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4"/>
    </row>
    <row r="205" spans="1:26" ht="19.5" customHeight="1" x14ac:dyDescent="0.3">
      <c r="A205" s="47">
        <v>196</v>
      </c>
      <c r="B205" s="74">
        <f>'Sessional + End Term Assessment'!B203</f>
        <v>0</v>
      </c>
      <c r="C205" s="74">
        <f>'Sessional + End Term Assessment'!C203</f>
        <v>0</v>
      </c>
      <c r="D205" s="21">
        <f>'MID Term 1'!D202+'MID Term 2'!D202</f>
        <v>0</v>
      </c>
      <c r="E205" s="21">
        <f>'MID Term 1'!H202+'MID Term 2'!E202</f>
        <v>0</v>
      </c>
      <c r="F205" s="21">
        <f>'MID Term 1'!L202+'MID Term 2'!F202</f>
        <v>0</v>
      </c>
      <c r="G205" s="21">
        <f>'MID Term 1'!P202+'MID Term 2'!J202</f>
        <v>0</v>
      </c>
      <c r="H205" s="21">
        <f>'MID Term 1'!Q202+'MID Term 2'!N202</f>
        <v>0</v>
      </c>
      <c r="I205" s="23">
        <f t="shared" si="7"/>
        <v>0</v>
      </c>
      <c r="J205" s="23">
        <f t="shared" si="8"/>
        <v>0</v>
      </c>
      <c r="K205" s="23">
        <f t="shared" si="9"/>
        <v>0</v>
      </c>
      <c r="L205" s="23">
        <f t="shared" si="10"/>
        <v>0</v>
      </c>
      <c r="M205" s="23">
        <f t="shared" si="11"/>
        <v>0</v>
      </c>
      <c r="N205" s="21">
        <f t="shared" si="12"/>
        <v>0</v>
      </c>
      <c r="O205" s="23">
        <f t="shared" si="13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4"/>
    </row>
    <row r="206" spans="1:26" ht="19.5" customHeight="1" x14ac:dyDescent="0.3">
      <c r="A206" s="47">
        <v>197</v>
      </c>
      <c r="B206" s="74">
        <f>'Sessional + End Term Assessment'!B204</f>
        <v>0</v>
      </c>
      <c r="C206" s="74">
        <f>'Sessional + End Term Assessment'!C204</f>
        <v>0</v>
      </c>
      <c r="D206" s="21">
        <f>'MID Term 1'!D203+'MID Term 2'!D203</f>
        <v>0</v>
      </c>
      <c r="E206" s="21">
        <f>'MID Term 1'!H203+'MID Term 2'!E203</f>
        <v>0</v>
      </c>
      <c r="F206" s="21">
        <f>'MID Term 1'!L203+'MID Term 2'!F203</f>
        <v>0</v>
      </c>
      <c r="G206" s="21">
        <f>'MID Term 1'!P203+'MID Term 2'!J203</f>
        <v>0</v>
      </c>
      <c r="H206" s="21">
        <f>'MID Term 1'!Q203+'MID Term 2'!N203</f>
        <v>0</v>
      </c>
      <c r="I206" s="23">
        <f t="shared" si="7"/>
        <v>0</v>
      </c>
      <c r="J206" s="23">
        <f t="shared" si="8"/>
        <v>0</v>
      </c>
      <c r="K206" s="23">
        <f t="shared" si="9"/>
        <v>0</v>
      </c>
      <c r="L206" s="23">
        <f t="shared" si="10"/>
        <v>0</v>
      </c>
      <c r="M206" s="23">
        <f t="shared" si="11"/>
        <v>0</v>
      </c>
      <c r="N206" s="21">
        <f t="shared" si="12"/>
        <v>0</v>
      </c>
      <c r="O206" s="23">
        <f t="shared" si="13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4"/>
    </row>
    <row r="207" spans="1:26" ht="19.5" customHeight="1" x14ac:dyDescent="0.3">
      <c r="A207" s="47">
        <v>198</v>
      </c>
      <c r="B207" s="74">
        <f>'Sessional + End Term Assessment'!B205</f>
        <v>0</v>
      </c>
      <c r="C207" s="74">
        <f>'Sessional + End Term Assessment'!C205</f>
        <v>0</v>
      </c>
      <c r="D207" s="21">
        <f>'MID Term 1'!D204+'MID Term 2'!D204</f>
        <v>0</v>
      </c>
      <c r="E207" s="21">
        <f>'MID Term 1'!H204+'MID Term 2'!E204</f>
        <v>0</v>
      </c>
      <c r="F207" s="21">
        <f>'MID Term 1'!L204+'MID Term 2'!F204</f>
        <v>0</v>
      </c>
      <c r="G207" s="21">
        <f>'MID Term 1'!P204+'MID Term 2'!J204</f>
        <v>0</v>
      </c>
      <c r="H207" s="21">
        <f>'MID Term 1'!Q204+'MID Term 2'!N204</f>
        <v>0</v>
      </c>
      <c r="I207" s="23">
        <f t="shared" si="7"/>
        <v>0</v>
      </c>
      <c r="J207" s="23">
        <f t="shared" si="8"/>
        <v>0</v>
      </c>
      <c r="K207" s="23">
        <f t="shared" si="9"/>
        <v>0</v>
      </c>
      <c r="L207" s="23">
        <f t="shared" si="10"/>
        <v>0</v>
      </c>
      <c r="M207" s="23">
        <f t="shared" si="11"/>
        <v>0</v>
      </c>
      <c r="N207" s="21">
        <f t="shared" si="12"/>
        <v>0</v>
      </c>
      <c r="O207" s="23">
        <f t="shared" si="13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4"/>
    </row>
    <row r="208" spans="1:26" ht="19.5" customHeight="1" x14ac:dyDescent="0.3">
      <c r="A208" s="47">
        <v>199</v>
      </c>
      <c r="B208" s="74">
        <f>'Sessional + End Term Assessment'!B206</f>
        <v>0</v>
      </c>
      <c r="C208" s="74">
        <f>'Sessional + End Term Assessment'!C206</f>
        <v>0</v>
      </c>
      <c r="D208" s="21">
        <f>'MID Term 1'!D205+'MID Term 2'!D205</f>
        <v>0</v>
      </c>
      <c r="E208" s="21">
        <f>'MID Term 1'!H205+'MID Term 2'!E205</f>
        <v>0</v>
      </c>
      <c r="F208" s="21">
        <f>'MID Term 1'!L205+'MID Term 2'!F205</f>
        <v>0</v>
      </c>
      <c r="G208" s="21">
        <f>'MID Term 1'!P205+'MID Term 2'!J205</f>
        <v>0</v>
      </c>
      <c r="H208" s="21">
        <f>'MID Term 1'!Q205+'MID Term 2'!N205</f>
        <v>0</v>
      </c>
      <c r="I208" s="23">
        <f t="shared" si="7"/>
        <v>0</v>
      </c>
      <c r="J208" s="23">
        <f t="shared" si="8"/>
        <v>0</v>
      </c>
      <c r="K208" s="23">
        <f t="shared" si="9"/>
        <v>0</v>
      </c>
      <c r="L208" s="23">
        <f t="shared" si="10"/>
        <v>0</v>
      </c>
      <c r="M208" s="23">
        <f t="shared" si="11"/>
        <v>0</v>
      </c>
      <c r="N208" s="21">
        <f t="shared" si="12"/>
        <v>0</v>
      </c>
      <c r="O208" s="23">
        <f t="shared" si="13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4"/>
    </row>
    <row r="209" spans="1:26" ht="19.5" customHeight="1" x14ac:dyDescent="0.3">
      <c r="A209" s="47">
        <v>200</v>
      </c>
      <c r="B209" s="74">
        <f>'Sessional + End Term Assessment'!B207</f>
        <v>0</v>
      </c>
      <c r="C209" s="74">
        <f>'Sessional + End Term Assessment'!C207</f>
        <v>0</v>
      </c>
      <c r="D209" s="21">
        <f>'MID Term 1'!D206+'MID Term 2'!D206</f>
        <v>0</v>
      </c>
      <c r="E209" s="21">
        <f>'MID Term 1'!H206+'MID Term 2'!E206</f>
        <v>0</v>
      </c>
      <c r="F209" s="21">
        <f>'MID Term 1'!L206+'MID Term 2'!F206</f>
        <v>0</v>
      </c>
      <c r="G209" s="21">
        <f>'MID Term 1'!P206+'MID Term 2'!J206</f>
        <v>0</v>
      </c>
      <c r="H209" s="21">
        <f>'MID Term 1'!Q206+'MID Term 2'!N206</f>
        <v>0</v>
      </c>
      <c r="I209" s="23">
        <f t="shared" si="7"/>
        <v>0</v>
      </c>
      <c r="J209" s="23">
        <f t="shared" si="8"/>
        <v>0</v>
      </c>
      <c r="K209" s="23">
        <f t="shared" si="9"/>
        <v>0</v>
      </c>
      <c r="L209" s="23">
        <f t="shared" si="10"/>
        <v>0</v>
      </c>
      <c r="M209" s="23">
        <f t="shared" si="11"/>
        <v>0</v>
      </c>
      <c r="N209" s="21">
        <f t="shared" si="12"/>
        <v>0</v>
      </c>
      <c r="O209" s="23">
        <f t="shared" si="13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4"/>
    </row>
    <row r="210" spans="1:26" ht="19.5" customHeight="1" x14ac:dyDescent="0.3">
      <c r="A210" s="47">
        <v>201</v>
      </c>
      <c r="B210" s="74">
        <f>'Sessional + End Term Assessment'!B208</f>
        <v>0</v>
      </c>
      <c r="C210" s="74">
        <f>'Sessional + End Term Assessment'!C208</f>
        <v>0</v>
      </c>
      <c r="D210" s="21">
        <f>'MID Term 1'!D207+'MID Term 2'!D207</f>
        <v>0</v>
      </c>
      <c r="E210" s="21">
        <f>'MID Term 1'!H207+'MID Term 2'!E207</f>
        <v>0</v>
      </c>
      <c r="F210" s="21">
        <f>'MID Term 1'!L207+'MID Term 2'!F207</f>
        <v>0</v>
      </c>
      <c r="G210" s="21">
        <f>'MID Term 1'!P207+'MID Term 2'!J207</f>
        <v>0</v>
      </c>
      <c r="H210" s="21">
        <f>'MID Term 1'!Q207+'MID Term 2'!N207</f>
        <v>0</v>
      </c>
      <c r="I210" s="23">
        <f t="shared" si="7"/>
        <v>0</v>
      </c>
      <c r="J210" s="23">
        <f t="shared" si="8"/>
        <v>0</v>
      </c>
      <c r="K210" s="23">
        <f t="shared" si="9"/>
        <v>0</v>
      </c>
      <c r="L210" s="23">
        <f t="shared" si="10"/>
        <v>0</v>
      </c>
      <c r="M210" s="23">
        <f t="shared" si="11"/>
        <v>0</v>
      </c>
      <c r="N210" s="21">
        <f t="shared" si="12"/>
        <v>0</v>
      </c>
      <c r="O210" s="23">
        <f t="shared" si="13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4"/>
    </row>
    <row r="211" spans="1:26" ht="19.5" customHeight="1" x14ac:dyDescent="0.3">
      <c r="A211" s="47">
        <v>202</v>
      </c>
      <c r="B211" s="74">
        <f>'Sessional + End Term Assessment'!B209</f>
        <v>0</v>
      </c>
      <c r="C211" s="74">
        <f>'Sessional + End Term Assessment'!C209</f>
        <v>0</v>
      </c>
      <c r="D211" s="21">
        <f>'MID Term 1'!D208+'MID Term 2'!D208</f>
        <v>0</v>
      </c>
      <c r="E211" s="21">
        <f>'MID Term 1'!H208+'MID Term 2'!E208</f>
        <v>0</v>
      </c>
      <c r="F211" s="21">
        <f>'MID Term 1'!L208+'MID Term 2'!F208</f>
        <v>0</v>
      </c>
      <c r="G211" s="21">
        <f>'MID Term 1'!P208+'MID Term 2'!J208</f>
        <v>0</v>
      </c>
      <c r="H211" s="21">
        <f>'MID Term 1'!Q208+'MID Term 2'!N208</f>
        <v>0</v>
      </c>
      <c r="I211" s="23">
        <f t="shared" si="7"/>
        <v>0</v>
      </c>
      <c r="J211" s="23">
        <f t="shared" si="8"/>
        <v>0</v>
      </c>
      <c r="K211" s="23">
        <f t="shared" si="9"/>
        <v>0</v>
      </c>
      <c r="L211" s="23">
        <f t="shared" si="10"/>
        <v>0</v>
      </c>
      <c r="M211" s="23">
        <f t="shared" si="11"/>
        <v>0</v>
      </c>
      <c r="N211" s="21">
        <f t="shared" si="12"/>
        <v>0</v>
      </c>
      <c r="O211" s="23">
        <f t="shared" si="13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4"/>
    </row>
    <row r="212" spans="1:26" ht="19.5" customHeight="1" x14ac:dyDescent="0.3">
      <c r="A212" s="47">
        <v>203</v>
      </c>
      <c r="B212" s="74">
        <f>'Sessional + End Term Assessment'!B210</f>
        <v>0</v>
      </c>
      <c r="C212" s="74">
        <f>'Sessional + End Term Assessment'!C210</f>
        <v>0</v>
      </c>
      <c r="D212" s="21">
        <f>'MID Term 1'!D209+'MID Term 2'!D209</f>
        <v>0</v>
      </c>
      <c r="E212" s="21">
        <f>'MID Term 1'!H209+'MID Term 2'!E209</f>
        <v>0</v>
      </c>
      <c r="F212" s="21">
        <f>'MID Term 1'!L209+'MID Term 2'!F209</f>
        <v>0</v>
      </c>
      <c r="G212" s="21">
        <f>'MID Term 1'!P209+'MID Term 2'!J209</f>
        <v>0</v>
      </c>
      <c r="H212" s="21">
        <f>'MID Term 1'!Q209+'MID Term 2'!N209</f>
        <v>0</v>
      </c>
      <c r="I212" s="23">
        <f t="shared" si="7"/>
        <v>0</v>
      </c>
      <c r="J212" s="23">
        <f t="shared" si="8"/>
        <v>0</v>
      </c>
      <c r="K212" s="23">
        <f t="shared" si="9"/>
        <v>0</v>
      </c>
      <c r="L212" s="23">
        <f t="shared" si="10"/>
        <v>0</v>
      </c>
      <c r="M212" s="23">
        <f t="shared" si="11"/>
        <v>0</v>
      </c>
      <c r="N212" s="21">
        <f t="shared" si="12"/>
        <v>0</v>
      </c>
      <c r="O212" s="23">
        <f t="shared" si="13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4"/>
    </row>
    <row r="213" spans="1:26" ht="19.5" customHeight="1" x14ac:dyDescent="0.3">
      <c r="A213" s="47">
        <v>204</v>
      </c>
      <c r="B213" s="74">
        <f>'Sessional + End Term Assessment'!B211</f>
        <v>0</v>
      </c>
      <c r="C213" s="74">
        <f>'Sessional + End Term Assessment'!C211</f>
        <v>0</v>
      </c>
      <c r="D213" s="21">
        <f>'MID Term 1'!D210+'MID Term 2'!D210</f>
        <v>0</v>
      </c>
      <c r="E213" s="21">
        <f>'MID Term 1'!H210+'MID Term 2'!E210</f>
        <v>0</v>
      </c>
      <c r="F213" s="21">
        <f>'MID Term 1'!L210+'MID Term 2'!F210</f>
        <v>0</v>
      </c>
      <c r="G213" s="21">
        <f>'MID Term 1'!P210+'MID Term 2'!J210</f>
        <v>0</v>
      </c>
      <c r="H213" s="21">
        <f>'MID Term 1'!Q210+'MID Term 2'!N210</f>
        <v>0</v>
      </c>
      <c r="I213" s="23">
        <f t="shared" si="7"/>
        <v>0</v>
      </c>
      <c r="J213" s="23">
        <f t="shared" si="8"/>
        <v>0</v>
      </c>
      <c r="K213" s="23">
        <f t="shared" si="9"/>
        <v>0</v>
      </c>
      <c r="L213" s="23">
        <f t="shared" si="10"/>
        <v>0</v>
      </c>
      <c r="M213" s="23">
        <f t="shared" si="11"/>
        <v>0</v>
      </c>
      <c r="N213" s="21">
        <f t="shared" si="12"/>
        <v>0</v>
      </c>
      <c r="O213" s="23">
        <f t="shared" si="13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4"/>
    </row>
    <row r="214" spans="1:26" ht="19.5" customHeight="1" x14ac:dyDescent="0.3">
      <c r="A214" s="47">
        <v>205</v>
      </c>
      <c r="B214" s="74">
        <f>'Sessional + End Term Assessment'!B212</f>
        <v>0</v>
      </c>
      <c r="C214" s="74">
        <f>'Sessional + End Term Assessment'!C212</f>
        <v>0</v>
      </c>
      <c r="D214" s="21">
        <f>'MID Term 1'!D211+'MID Term 2'!D211</f>
        <v>0</v>
      </c>
      <c r="E214" s="21">
        <f>'MID Term 1'!H211+'MID Term 2'!E211</f>
        <v>0</v>
      </c>
      <c r="F214" s="21">
        <f>'MID Term 1'!L211+'MID Term 2'!F211</f>
        <v>0</v>
      </c>
      <c r="G214" s="21">
        <f>'MID Term 1'!P211+'MID Term 2'!J211</f>
        <v>0</v>
      </c>
      <c r="H214" s="21">
        <f>'MID Term 1'!Q211+'MID Term 2'!N211</f>
        <v>0</v>
      </c>
      <c r="I214" s="23">
        <f t="shared" si="7"/>
        <v>0</v>
      </c>
      <c r="J214" s="23">
        <f t="shared" si="8"/>
        <v>0</v>
      </c>
      <c r="K214" s="23">
        <f t="shared" si="9"/>
        <v>0</v>
      </c>
      <c r="L214" s="23">
        <f t="shared" si="10"/>
        <v>0</v>
      </c>
      <c r="M214" s="23">
        <f t="shared" si="11"/>
        <v>0</v>
      </c>
      <c r="N214" s="21">
        <f t="shared" si="12"/>
        <v>0</v>
      </c>
      <c r="O214" s="23">
        <f t="shared" si="13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4"/>
    </row>
    <row r="215" spans="1:26" ht="19.5" customHeight="1" x14ac:dyDescent="0.3">
      <c r="A215" s="47">
        <v>206</v>
      </c>
      <c r="B215" s="74">
        <f>'Sessional + End Term Assessment'!B213</f>
        <v>0</v>
      </c>
      <c r="C215" s="74">
        <f>'Sessional + End Term Assessment'!C213</f>
        <v>0</v>
      </c>
      <c r="D215" s="21">
        <f>'MID Term 1'!D212+'MID Term 2'!D212</f>
        <v>0</v>
      </c>
      <c r="E215" s="21">
        <f>'MID Term 1'!H212+'MID Term 2'!E212</f>
        <v>0</v>
      </c>
      <c r="F215" s="21">
        <f>'MID Term 1'!L212+'MID Term 2'!F212</f>
        <v>0</v>
      </c>
      <c r="G215" s="21">
        <f>'MID Term 1'!P212+'MID Term 2'!J212</f>
        <v>0</v>
      </c>
      <c r="H215" s="21">
        <f>'MID Term 1'!Q212+'MID Term 2'!N212</f>
        <v>0</v>
      </c>
      <c r="I215" s="23">
        <f t="shared" si="7"/>
        <v>0</v>
      </c>
      <c r="J215" s="23">
        <f t="shared" si="8"/>
        <v>0</v>
      </c>
      <c r="K215" s="23">
        <f t="shared" si="9"/>
        <v>0</v>
      </c>
      <c r="L215" s="23">
        <f t="shared" si="10"/>
        <v>0</v>
      </c>
      <c r="M215" s="23">
        <f t="shared" si="11"/>
        <v>0</v>
      </c>
      <c r="N215" s="21">
        <f t="shared" si="12"/>
        <v>0</v>
      </c>
      <c r="O215" s="23">
        <f t="shared" si="13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4"/>
    </row>
    <row r="216" spans="1:26" ht="19.5" customHeight="1" x14ac:dyDescent="0.3">
      <c r="A216" s="47">
        <v>207</v>
      </c>
      <c r="B216" s="74">
        <f>'Sessional + End Term Assessment'!B214</f>
        <v>0</v>
      </c>
      <c r="C216" s="74">
        <f>'Sessional + End Term Assessment'!C214</f>
        <v>0</v>
      </c>
      <c r="D216" s="21">
        <f>'MID Term 1'!D213+'MID Term 2'!D213</f>
        <v>0</v>
      </c>
      <c r="E216" s="21">
        <f>'MID Term 1'!H213+'MID Term 2'!E213</f>
        <v>0</v>
      </c>
      <c r="F216" s="21">
        <f>'MID Term 1'!L213+'MID Term 2'!F213</f>
        <v>0</v>
      </c>
      <c r="G216" s="21">
        <f>'MID Term 1'!P213+'MID Term 2'!J213</f>
        <v>0</v>
      </c>
      <c r="H216" s="21">
        <f>'MID Term 1'!Q213+'MID Term 2'!N213</f>
        <v>0</v>
      </c>
      <c r="I216" s="23">
        <f t="shared" si="7"/>
        <v>0</v>
      </c>
      <c r="J216" s="23">
        <f t="shared" si="8"/>
        <v>0</v>
      </c>
      <c r="K216" s="23">
        <f t="shared" si="9"/>
        <v>0</v>
      </c>
      <c r="L216" s="23">
        <f t="shared" si="10"/>
        <v>0</v>
      </c>
      <c r="M216" s="23">
        <f t="shared" si="11"/>
        <v>0</v>
      </c>
      <c r="N216" s="21">
        <f t="shared" si="12"/>
        <v>0</v>
      </c>
      <c r="O216" s="23">
        <f t="shared" si="13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4"/>
    </row>
    <row r="217" spans="1:26" ht="19.5" customHeight="1" x14ac:dyDescent="0.3">
      <c r="A217" s="47">
        <v>208</v>
      </c>
      <c r="B217" s="74">
        <f>'Sessional + End Term Assessment'!B215</f>
        <v>0</v>
      </c>
      <c r="C217" s="74">
        <f>'Sessional + End Term Assessment'!C215</f>
        <v>0</v>
      </c>
      <c r="D217" s="21">
        <f>'MID Term 1'!D214+'MID Term 2'!D214</f>
        <v>0</v>
      </c>
      <c r="E217" s="21">
        <f>'MID Term 1'!H214+'MID Term 2'!E214</f>
        <v>0</v>
      </c>
      <c r="F217" s="21">
        <f>'MID Term 1'!L214+'MID Term 2'!F214</f>
        <v>0</v>
      </c>
      <c r="G217" s="21">
        <f>'MID Term 1'!P214+'MID Term 2'!J214</f>
        <v>0</v>
      </c>
      <c r="H217" s="21">
        <f>'MID Term 1'!Q214+'MID Term 2'!N214</f>
        <v>0</v>
      </c>
      <c r="I217" s="23">
        <f t="shared" si="7"/>
        <v>0</v>
      </c>
      <c r="J217" s="23">
        <f t="shared" si="8"/>
        <v>0</v>
      </c>
      <c r="K217" s="23">
        <f t="shared" si="9"/>
        <v>0</v>
      </c>
      <c r="L217" s="23">
        <f t="shared" si="10"/>
        <v>0</v>
      </c>
      <c r="M217" s="23">
        <f t="shared" si="11"/>
        <v>0</v>
      </c>
      <c r="N217" s="21">
        <f t="shared" si="12"/>
        <v>0</v>
      </c>
      <c r="O217" s="23">
        <f t="shared" si="13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4"/>
    </row>
    <row r="218" spans="1:26" ht="19.5" customHeight="1" x14ac:dyDescent="0.3">
      <c r="A218" s="47">
        <v>209</v>
      </c>
      <c r="B218" s="74">
        <f>'Sessional + End Term Assessment'!B216</f>
        <v>0</v>
      </c>
      <c r="C218" s="74">
        <f>'Sessional + End Term Assessment'!C216</f>
        <v>0</v>
      </c>
      <c r="D218" s="21">
        <f>'MID Term 1'!D215+'MID Term 2'!D215</f>
        <v>0</v>
      </c>
      <c r="E218" s="21">
        <f>'MID Term 1'!H215+'MID Term 2'!E215</f>
        <v>0</v>
      </c>
      <c r="F218" s="21">
        <f>'MID Term 1'!L215+'MID Term 2'!F215</f>
        <v>0</v>
      </c>
      <c r="G218" s="21">
        <f>'MID Term 1'!P215+'MID Term 2'!J215</f>
        <v>0</v>
      </c>
      <c r="H218" s="21">
        <f>'MID Term 1'!Q215+'MID Term 2'!N215</f>
        <v>0</v>
      </c>
      <c r="I218" s="23">
        <f t="shared" si="7"/>
        <v>0</v>
      </c>
      <c r="J218" s="23">
        <f t="shared" si="8"/>
        <v>0</v>
      </c>
      <c r="K218" s="23">
        <f t="shared" si="9"/>
        <v>0</v>
      </c>
      <c r="L218" s="23">
        <f t="shared" si="10"/>
        <v>0</v>
      </c>
      <c r="M218" s="23">
        <f t="shared" si="11"/>
        <v>0</v>
      </c>
      <c r="N218" s="21">
        <f t="shared" si="12"/>
        <v>0</v>
      </c>
      <c r="O218" s="23">
        <f t="shared" si="13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4"/>
    </row>
    <row r="219" spans="1:26" ht="19.5" customHeight="1" x14ac:dyDescent="0.3">
      <c r="A219" s="47">
        <v>210</v>
      </c>
      <c r="B219" s="74">
        <f>'Sessional + End Term Assessment'!B217</f>
        <v>0</v>
      </c>
      <c r="C219" s="74">
        <f>'Sessional + End Term Assessment'!C217</f>
        <v>0</v>
      </c>
      <c r="D219" s="21">
        <f>'MID Term 1'!D216+'MID Term 2'!D216</f>
        <v>0</v>
      </c>
      <c r="E219" s="21">
        <f>'MID Term 1'!H216+'MID Term 2'!E216</f>
        <v>0</v>
      </c>
      <c r="F219" s="21">
        <f>'MID Term 1'!L216+'MID Term 2'!F216</f>
        <v>0</v>
      </c>
      <c r="G219" s="21">
        <f>'MID Term 1'!P216+'MID Term 2'!J216</f>
        <v>0</v>
      </c>
      <c r="H219" s="21">
        <f>'MID Term 1'!Q216+'MID Term 2'!N216</f>
        <v>0</v>
      </c>
      <c r="I219" s="23">
        <f t="shared" si="7"/>
        <v>0</v>
      </c>
      <c r="J219" s="23">
        <f t="shared" si="8"/>
        <v>0</v>
      </c>
      <c r="K219" s="23">
        <f t="shared" si="9"/>
        <v>0</v>
      </c>
      <c r="L219" s="23">
        <f t="shared" si="10"/>
        <v>0</v>
      </c>
      <c r="M219" s="23">
        <f t="shared" si="11"/>
        <v>0</v>
      </c>
      <c r="N219" s="21">
        <f t="shared" si="12"/>
        <v>0</v>
      </c>
      <c r="O219" s="23">
        <f t="shared" si="13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4"/>
    </row>
    <row r="220" spans="1:26" ht="19.5" customHeight="1" x14ac:dyDescent="0.3">
      <c r="A220" s="47">
        <v>211</v>
      </c>
      <c r="B220" s="74">
        <f>'Sessional + End Term Assessment'!B218</f>
        <v>0</v>
      </c>
      <c r="C220" s="74">
        <f>'Sessional + End Term Assessment'!C218</f>
        <v>0</v>
      </c>
      <c r="D220" s="21">
        <f>'MID Term 1'!D217+'MID Term 2'!D217</f>
        <v>0</v>
      </c>
      <c r="E220" s="21">
        <f>'MID Term 1'!H217+'MID Term 2'!E217</f>
        <v>0</v>
      </c>
      <c r="F220" s="21">
        <f>'MID Term 1'!L217+'MID Term 2'!F217</f>
        <v>0</v>
      </c>
      <c r="G220" s="21">
        <f>'MID Term 1'!P217+'MID Term 2'!J217</f>
        <v>0</v>
      </c>
      <c r="H220" s="21">
        <f>'MID Term 1'!Q217+'MID Term 2'!N217</f>
        <v>0</v>
      </c>
      <c r="I220" s="23">
        <f t="shared" si="7"/>
        <v>0</v>
      </c>
      <c r="J220" s="23">
        <f t="shared" si="8"/>
        <v>0</v>
      </c>
      <c r="K220" s="23">
        <f t="shared" si="9"/>
        <v>0</v>
      </c>
      <c r="L220" s="23">
        <f t="shared" si="10"/>
        <v>0</v>
      </c>
      <c r="M220" s="23">
        <f t="shared" si="11"/>
        <v>0</v>
      </c>
      <c r="N220" s="21">
        <f t="shared" si="12"/>
        <v>0</v>
      </c>
      <c r="O220" s="23">
        <f t="shared" si="13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4"/>
    </row>
    <row r="221" spans="1:26" ht="19.5" customHeight="1" x14ac:dyDescent="0.3">
      <c r="A221" s="47">
        <v>212</v>
      </c>
      <c r="B221" s="74">
        <f>'Sessional + End Term Assessment'!B219</f>
        <v>0</v>
      </c>
      <c r="C221" s="74">
        <f>'Sessional + End Term Assessment'!C219</f>
        <v>0</v>
      </c>
      <c r="D221" s="21">
        <f>'MID Term 1'!D218+'MID Term 2'!D218</f>
        <v>0</v>
      </c>
      <c r="E221" s="21">
        <f>'MID Term 1'!H218+'MID Term 2'!E218</f>
        <v>0</v>
      </c>
      <c r="F221" s="21">
        <f>'MID Term 1'!L218+'MID Term 2'!F218</f>
        <v>0</v>
      </c>
      <c r="G221" s="21">
        <f>'MID Term 1'!P218+'MID Term 2'!J218</f>
        <v>0</v>
      </c>
      <c r="H221" s="21">
        <f>'MID Term 1'!Q218+'MID Term 2'!N218</f>
        <v>0</v>
      </c>
      <c r="I221" s="23">
        <f t="shared" si="7"/>
        <v>0</v>
      </c>
      <c r="J221" s="23">
        <f t="shared" si="8"/>
        <v>0</v>
      </c>
      <c r="K221" s="23">
        <f t="shared" si="9"/>
        <v>0</v>
      </c>
      <c r="L221" s="23">
        <f t="shared" si="10"/>
        <v>0</v>
      </c>
      <c r="M221" s="23">
        <f t="shared" si="11"/>
        <v>0</v>
      </c>
      <c r="N221" s="21">
        <f t="shared" si="12"/>
        <v>0</v>
      </c>
      <c r="O221" s="23">
        <f t="shared" si="13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4"/>
    </row>
    <row r="222" spans="1:26" ht="19.5" customHeight="1" x14ac:dyDescent="0.3">
      <c r="A222" s="47">
        <v>213</v>
      </c>
      <c r="B222" s="74">
        <f>'Sessional + End Term Assessment'!B258</f>
        <v>0</v>
      </c>
      <c r="C222" s="74">
        <f>'Sessional + End Term Assessment'!C258</f>
        <v>0</v>
      </c>
      <c r="D222" s="21">
        <f>'MID Term 1'!D219+'MID Term 2'!D219</f>
        <v>0</v>
      </c>
      <c r="E222" s="21">
        <f>'MID Term 1'!H219+'MID Term 2'!E219</f>
        <v>0</v>
      </c>
      <c r="F222" s="21">
        <f>'MID Term 1'!L219+'MID Term 2'!F219</f>
        <v>0</v>
      </c>
      <c r="G222" s="21">
        <f>'MID Term 1'!P219+'MID Term 2'!J219</f>
        <v>0</v>
      </c>
      <c r="H222" s="21">
        <f>'MID Term 1'!Q219+'MID Term 2'!N219</f>
        <v>0</v>
      </c>
      <c r="I222" s="23">
        <f t="shared" ref="I222:I259" si="14">IF((D222/$D$8)&gt;=$I$8,1,0)</f>
        <v>0</v>
      </c>
      <c r="J222" s="23">
        <f t="shared" ref="J222:J259" si="15">IF((E222/$E$8)&gt;=$J$8,1,0)</f>
        <v>0</v>
      </c>
      <c r="K222" s="23">
        <f t="shared" ref="K222:K259" si="16">IF((F222/$F$8)&gt;=$K$8,1,0)</f>
        <v>0</v>
      </c>
      <c r="L222" s="23">
        <f t="shared" ref="L222:L259" si="17">IF((G222/$G$8)&gt;=$L$8,1,0)</f>
        <v>0</v>
      </c>
      <c r="M222" s="23">
        <f t="shared" ref="M222:M259" si="18">IF((H222/$H$8)&gt;=$M$8,1,0)</f>
        <v>0</v>
      </c>
      <c r="N222" s="21">
        <f t="shared" ref="N222:N259" si="19">SUM(D222:H222)</f>
        <v>0</v>
      </c>
      <c r="O222" s="23">
        <f t="shared" ref="O222:O259" si="20">ROUND(N222/2,0)</f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4"/>
    </row>
    <row r="223" spans="1:26" ht="19.5" customHeight="1" x14ac:dyDescent="0.3">
      <c r="A223" s="47">
        <v>214</v>
      </c>
      <c r="B223" s="74">
        <f>'Sessional + End Term Assessment'!B259</f>
        <v>0</v>
      </c>
      <c r="C223" s="74">
        <f>'Sessional + End Term Assessment'!C259</f>
        <v>0</v>
      </c>
      <c r="D223" s="21">
        <f>'MID Term 1'!D220+'MID Term 2'!D220</f>
        <v>0</v>
      </c>
      <c r="E223" s="21">
        <f>'MID Term 1'!H220+'MID Term 2'!E220</f>
        <v>0</v>
      </c>
      <c r="F223" s="21">
        <f>'MID Term 1'!L220+'MID Term 2'!F220</f>
        <v>0</v>
      </c>
      <c r="G223" s="21">
        <f>'MID Term 1'!P220+'MID Term 2'!J220</f>
        <v>0</v>
      </c>
      <c r="H223" s="21">
        <f>'MID Term 1'!Q220+'MID Term 2'!N220</f>
        <v>0</v>
      </c>
      <c r="I223" s="23">
        <f t="shared" si="14"/>
        <v>0</v>
      </c>
      <c r="J223" s="23">
        <f t="shared" si="15"/>
        <v>0</v>
      </c>
      <c r="K223" s="23">
        <f t="shared" si="16"/>
        <v>0</v>
      </c>
      <c r="L223" s="23">
        <f t="shared" si="17"/>
        <v>0</v>
      </c>
      <c r="M223" s="23">
        <f t="shared" si="18"/>
        <v>0</v>
      </c>
      <c r="N223" s="21">
        <f t="shared" si="19"/>
        <v>0</v>
      </c>
      <c r="O223" s="23">
        <f t="shared" si="20"/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4"/>
    </row>
    <row r="224" spans="1:26" ht="19.5" customHeight="1" x14ac:dyDescent="0.3">
      <c r="A224" s="47">
        <v>215</v>
      </c>
      <c r="B224" s="74">
        <f>'Sessional + End Term Assessment'!B260</f>
        <v>0</v>
      </c>
      <c r="C224" s="74">
        <f>'Sessional + End Term Assessment'!C260</f>
        <v>0</v>
      </c>
      <c r="D224" s="21">
        <f>'MID Term 1'!D221+'MID Term 2'!D221</f>
        <v>0</v>
      </c>
      <c r="E224" s="21">
        <f>'MID Term 1'!H221+'MID Term 2'!E221</f>
        <v>0</v>
      </c>
      <c r="F224" s="21">
        <f>'MID Term 1'!L221+'MID Term 2'!F221</f>
        <v>0</v>
      </c>
      <c r="G224" s="21">
        <f>'MID Term 1'!P221+'MID Term 2'!J221</f>
        <v>0</v>
      </c>
      <c r="H224" s="21">
        <f>'MID Term 1'!Q221+'MID Term 2'!N221</f>
        <v>0</v>
      </c>
      <c r="I224" s="23">
        <f t="shared" si="14"/>
        <v>0</v>
      </c>
      <c r="J224" s="23">
        <f t="shared" si="15"/>
        <v>0</v>
      </c>
      <c r="K224" s="23">
        <f t="shared" si="16"/>
        <v>0</v>
      </c>
      <c r="L224" s="23">
        <f t="shared" si="17"/>
        <v>0</v>
      </c>
      <c r="M224" s="23">
        <f t="shared" si="18"/>
        <v>0</v>
      </c>
      <c r="N224" s="21">
        <f t="shared" si="19"/>
        <v>0</v>
      </c>
      <c r="O224" s="23">
        <f t="shared" si="20"/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4"/>
    </row>
    <row r="225" spans="1:26" ht="19.5" customHeight="1" x14ac:dyDescent="0.3">
      <c r="A225" s="47">
        <v>216</v>
      </c>
      <c r="B225" s="74">
        <f>'Sessional + End Term Assessment'!B261</f>
        <v>0</v>
      </c>
      <c r="C225" s="74">
        <f>'Sessional + End Term Assessment'!C261</f>
        <v>0</v>
      </c>
      <c r="D225" s="21">
        <f>'MID Term 1'!D222+'MID Term 2'!D222</f>
        <v>0</v>
      </c>
      <c r="E225" s="21">
        <f>'MID Term 1'!H222+'MID Term 2'!E222</f>
        <v>0</v>
      </c>
      <c r="F225" s="21">
        <f>'MID Term 1'!L222+'MID Term 2'!F222</f>
        <v>0</v>
      </c>
      <c r="G225" s="21">
        <f>'MID Term 1'!P222+'MID Term 2'!J222</f>
        <v>0</v>
      </c>
      <c r="H225" s="21">
        <f>'MID Term 1'!Q222+'MID Term 2'!N222</f>
        <v>0</v>
      </c>
      <c r="I225" s="23">
        <f t="shared" si="14"/>
        <v>0</v>
      </c>
      <c r="J225" s="23">
        <f t="shared" si="15"/>
        <v>0</v>
      </c>
      <c r="K225" s="23">
        <f t="shared" si="16"/>
        <v>0</v>
      </c>
      <c r="L225" s="23">
        <f t="shared" si="17"/>
        <v>0</v>
      </c>
      <c r="M225" s="23">
        <f t="shared" si="18"/>
        <v>0</v>
      </c>
      <c r="N225" s="21">
        <f t="shared" si="19"/>
        <v>0</v>
      </c>
      <c r="O225" s="23">
        <f t="shared" si="20"/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4"/>
    </row>
    <row r="226" spans="1:26" ht="19.5" customHeight="1" x14ac:dyDescent="0.3">
      <c r="A226" s="47">
        <v>217</v>
      </c>
      <c r="B226" s="74">
        <f>'Sessional + End Term Assessment'!B262</f>
        <v>0</v>
      </c>
      <c r="C226" s="74">
        <f>'Sessional + End Term Assessment'!C262</f>
        <v>0</v>
      </c>
      <c r="D226" s="21">
        <f>'MID Term 1'!D223+'MID Term 2'!D223</f>
        <v>0</v>
      </c>
      <c r="E226" s="21">
        <f>'MID Term 1'!H223+'MID Term 2'!E223</f>
        <v>0</v>
      </c>
      <c r="F226" s="21">
        <f>'MID Term 1'!L223+'MID Term 2'!F223</f>
        <v>0</v>
      </c>
      <c r="G226" s="21">
        <f>'MID Term 1'!P223+'MID Term 2'!J223</f>
        <v>0</v>
      </c>
      <c r="H226" s="21">
        <f>'MID Term 1'!Q223+'MID Term 2'!N223</f>
        <v>0</v>
      </c>
      <c r="I226" s="23">
        <f t="shared" si="14"/>
        <v>0</v>
      </c>
      <c r="J226" s="23">
        <f t="shared" si="15"/>
        <v>0</v>
      </c>
      <c r="K226" s="23">
        <f t="shared" si="16"/>
        <v>0</v>
      </c>
      <c r="L226" s="23">
        <f t="shared" si="17"/>
        <v>0</v>
      </c>
      <c r="M226" s="23">
        <f t="shared" si="18"/>
        <v>0</v>
      </c>
      <c r="N226" s="21">
        <f t="shared" si="19"/>
        <v>0</v>
      </c>
      <c r="O226" s="23">
        <f t="shared" si="20"/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4"/>
    </row>
    <row r="227" spans="1:26" ht="19.5" customHeight="1" x14ac:dyDescent="0.3">
      <c r="A227" s="47">
        <v>218</v>
      </c>
      <c r="B227" s="74">
        <f>'Sessional + End Term Assessment'!B263</f>
        <v>0</v>
      </c>
      <c r="C227" s="74">
        <f>'Sessional + End Term Assessment'!C263</f>
        <v>0</v>
      </c>
      <c r="D227" s="21">
        <f>'MID Term 1'!D224+'MID Term 2'!D224</f>
        <v>0</v>
      </c>
      <c r="E227" s="21">
        <f>'MID Term 1'!H224+'MID Term 2'!E224</f>
        <v>0</v>
      </c>
      <c r="F227" s="21">
        <f>'MID Term 1'!L224+'MID Term 2'!F224</f>
        <v>0</v>
      </c>
      <c r="G227" s="21">
        <f>'MID Term 1'!P224+'MID Term 2'!J224</f>
        <v>0</v>
      </c>
      <c r="H227" s="21">
        <f>'MID Term 1'!Q224+'MID Term 2'!N224</f>
        <v>0</v>
      </c>
      <c r="I227" s="23">
        <f t="shared" si="14"/>
        <v>0</v>
      </c>
      <c r="J227" s="23">
        <f t="shared" si="15"/>
        <v>0</v>
      </c>
      <c r="K227" s="23">
        <f t="shared" si="16"/>
        <v>0</v>
      </c>
      <c r="L227" s="23">
        <f t="shared" si="17"/>
        <v>0</v>
      </c>
      <c r="M227" s="23">
        <f t="shared" si="18"/>
        <v>0</v>
      </c>
      <c r="N227" s="21">
        <f t="shared" si="19"/>
        <v>0</v>
      </c>
      <c r="O227" s="23">
        <f t="shared" si="20"/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4"/>
    </row>
    <row r="228" spans="1:26" ht="19.5" customHeight="1" x14ac:dyDescent="0.3">
      <c r="A228" s="47">
        <v>219</v>
      </c>
      <c r="B228" s="74">
        <f>'Sessional + End Term Assessment'!B264</f>
        <v>0</v>
      </c>
      <c r="C228" s="74">
        <f>'Sessional + End Term Assessment'!C264</f>
        <v>0</v>
      </c>
      <c r="D228" s="21">
        <f>'MID Term 1'!D225+'MID Term 2'!D225</f>
        <v>0</v>
      </c>
      <c r="E228" s="21">
        <f>'MID Term 1'!H225+'MID Term 2'!E225</f>
        <v>0</v>
      </c>
      <c r="F228" s="21">
        <f>'MID Term 1'!L225+'MID Term 2'!F225</f>
        <v>0</v>
      </c>
      <c r="G228" s="21">
        <f>'MID Term 1'!P225+'MID Term 2'!J225</f>
        <v>0</v>
      </c>
      <c r="H228" s="21">
        <f>'MID Term 1'!Q225+'MID Term 2'!N225</f>
        <v>0</v>
      </c>
      <c r="I228" s="23">
        <f t="shared" si="14"/>
        <v>0</v>
      </c>
      <c r="J228" s="23">
        <f t="shared" si="15"/>
        <v>0</v>
      </c>
      <c r="K228" s="23">
        <f t="shared" si="16"/>
        <v>0</v>
      </c>
      <c r="L228" s="23">
        <f t="shared" si="17"/>
        <v>0</v>
      </c>
      <c r="M228" s="23">
        <f t="shared" si="18"/>
        <v>0</v>
      </c>
      <c r="N228" s="21">
        <f t="shared" si="19"/>
        <v>0</v>
      </c>
      <c r="O228" s="23">
        <f t="shared" si="20"/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4"/>
    </row>
    <row r="229" spans="1:26" ht="19.5" customHeight="1" x14ac:dyDescent="0.3">
      <c r="A229" s="47">
        <v>220</v>
      </c>
      <c r="B229" s="74">
        <f>'Sessional + End Term Assessment'!B265</f>
        <v>0</v>
      </c>
      <c r="C229" s="74">
        <f>'Sessional + End Term Assessment'!C265</f>
        <v>0</v>
      </c>
      <c r="D229" s="21">
        <f>'MID Term 1'!D226+'MID Term 2'!D226</f>
        <v>0</v>
      </c>
      <c r="E229" s="21">
        <f>'MID Term 1'!H226+'MID Term 2'!E226</f>
        <v>0</v>
      </c>
      <c r="F229" s="21">
        <f>'MID Term 1'!L226+'MID Term 2'!F226</f>
        <v>0</v>
      </c>
      <c r="G229" s="21">
        <f>'MID Term 1'!P226+'MID Term 2'!J226</f>
        <v>0</v>
      </c>
      <c r="H229" s="21">
        <f>'MID Term 1'!Q226+'MID Term 2'!N226</f>
        <v>0</v>
      </c>
      <c r="I229" s="23">
        <f t="shared" si="14"/>
        <v>0</v>
      </c>
      <c r="J229" s="23">
        <f t="shared" si="15"/>
        <v>0</v>
      </c>
      <c r="K229" s="23">
        <f t="shared" si="16"/>
        <v>0</v>
      </c>
      <c r="L229" s="23">
        <f t="shared" si="17"/>
        <v>0</v>
      </c>
      <c r="M229" s="23">
        <f t="shared" si="18"/>
        <v>0</v>
      </c>
      <c r="N229" s="21">
        <f t="shared" si="19"/>
        <v>0</v>
      </c>
      <c r="O229" s="23">
        <f t="shared" si="20"/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4"/>
    </row>
    <row r="230" spans="1:26" ht="19.5" customHeight="1" x14ac:dyDescent="0.3">
      <c r="A230" s="47">
        <v>221</v>
      </c>
      <c r="B230" s="74">
        <f>'Sessional + End Term Assessment'!B266</f>
        <v>0</v>
      </c>
      <c r="C230" s="74">
        <f>'Sessional + End Term Assessment'!C266</f>
        <v>0</v>
      </c>
      <c r="D230" s="21">
        <f>'MID Term 1'!D227+'MID Term 2'!D227</f>
        <v>0</v>
      </c>
      <c r="E230" s="21">
        <f>'MID Term 1'!H227+'MID Term 2'!E227</f>
        <v>0</v>
      </c>
      <c r="F230" s="21">
        <f>'MID Term 1'!L227+'MID Term 2'!F227</f>
        <v>0</v>
      </c>
      <c r="G230" s="21">
        <f>'MID Term 1'!P227+'MID Term 2'!J227</f>
        <v>0</v>
      </c>
      <c r="H230" s="21">
        <f>'MID Term 1'!Q227+'MID Term 2'!N227</f>
        <v>0</v>
      </c>
      <c r="I230" s="23">
        <f t="shared" si="14"/>
        <v>0</v>
      </c>
      <c r="J230" s="23">
        <f t="shared" si="15"/>
        <v>0</v>
      </c>
      <c r="K230" s="23">
        <f t="shared" si="16"/>
        <v>0</v>
      </c>
      <c r="L230" s="23">
        <f t="shared" si="17"/>
        <v>0</v>
      </c>
      <c r="M230" s="23">
        <f t="shared" si="18"/>
        <v>0</v>
      </c>
      <c r="N230" s="21">
        <f t="shared" si="19"/>
        <v>0</v>
      </c>
      <c r="O230" s="23">
        <f t="shared" si="20"/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4"/>
    </row>
    <row r="231" spans="1:26" ht="19.5" customHeight="1" x14ac:dyDescent="0.3">
      <c r="A231" s="47">
        <v>222</v>
      </c>
      <c r="B231" s="74">
        <f>'Sessional + End Term Assessment'!B267</f>
        <v>0</v>
      </c>
      <c r="C231" s="74">
        <f>'Sessional + End Term Assessment'!C267</f>
        <v>0</v>
      </c>
      <c r="D231" s="21">
        <f>'MID Term 1'!D228+'MID Term 2'!D228</f>
        <v>0</v>
      </c>
      <c r="E231" s="21">
        <f>'MID Term 1'!H228+'MID Term 2'!E228</f>
        <v>0</v>
      </c>
      <c r="F231" s="21">
        <f>'MID Term 1'!L228+'MID Term 2'!F228</f>
        <v>0</v>
      </c>
      <c r="G231" s="21">
        <f>'MID Term 1'!P228+'MID Term 2'!J228</f>
        <v>0</v>
      </c>
      <c r="H231" s="21">
        <f>'MID Term 1'!Q228+'MID Term 2'!N228</f>
        <v>0</v>
      </c>
      <c r="I231" s="23">
        <f t="shared" si="14"/>
        <v>0</v>
      </c>
      <c r="J231" s="23">
        <f t="shared" si="15"/>
        <v>0</v>
      </c>
      <c r="K231" s="23">
        <f t="shared" si="16"/>
        <v>0</v>
      </c>
      <c r="L231" s="23">
        <f t="shared" si="17"/>
        <v>0</v>
      </c>
      <c r="M231" s="23">
        <f t="shared" si="18"/>
        <v>0</v>
      </c>
      <c r="N231" s="21">
        <f t="shared" si="19"/>
        <v>0</v>
      </c>
      <c r="O231" s="23">
        <f t="shared" si="20"/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4"/>
    </row>
    <row r="232" spans="1:26" ht="19.5" customHeight="1" x14ac:dyDescent="0.3">
      <c r="A232" s="47">
        <v>223</v>
      </c>
      <c r="B232" s="74">
        <f>'Sessional + End Term Assessment'!B268</f>
        <v>0</v>
      </c>
      <c r="C232" s="74">
        <f>'Sessional + End Term Assessment'!C268</f>
        <v>0</v>
      </c>
      <c r="D232" s="21">
        <f>'MID Term 1'!D229+'MID Term 2'!D229</f>
        <v>0</v>
      </c>
      <c r="E232" s="21">
        <f>'MID Term 1'!H229+'MID Term 2'!E229</f>
        <v>0</v>
      </c>
      <c r="F232" s="21">
        <f>'MID Term 1'!L229+'MID Term 2'!F229</f>
        <v>0</v>
      </c>
      <c r="G232" s="21">
        <f>'MID Term 1'!P229+'MID Term 2'!J229</f>
        <v>0</v>
      </c>
      <c r="H232" s="21">
        <f>'MID Term 1'!Q229+'MID Term 2'!N229</f>
        <v>0</v>
      </c>
      <c r="I232" s="23">
        <f t="shared" si="14"/>
        <v>0</v>
      </c>
      <c r="J232" s="23">
        <f t="shared" si="15"/>
        <v>0</v>
      </c>
      <c r="K232" s="23">
        <f t="shared" si="16"/>
        <v>0</v>
      </c>
      <c r="L232" s="23">
        <f t="shared" si="17"/>
        <v>0</v>
      </c>
      <c r="M232" s="23">
        <f t="shared" si="18"/>
        <v>0</v>
      </c>
      <c r="N232" s="21">
        <f t="shared" si="19"/>
        <v>0</v>
      </c>
      <c r="O232" s="23">
        <f t="shared" si="20"/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4"/>
    </row>
    <row r="233" spans="1:26" ht="19.5" customHeight="1" x14ac:dyDescent="0.3">
      <c r="A233" s="47">
        <v>224</v>
      </c>
      <c r="B233" s="74">
        <f>'Sessional + End Term Assessment'!B269</f>
        <v>0</v>
      </c>
      <c r="C233" s="74">
        <f>'Sessional + End Term Assessment'!C269</f>
        <v>0</v>
      </c>
      <c r="D233" s="21">
        <f>'MID Term 1'!D230+'MID Term 2'!D230</f>
        <v>0</v>
      </c>
      <c r="E233" s="21">
        <f>'MID Term 1'!H230+'MID Term 2'!E230</f>
        <v>0</v>
      </c>
      <c r="F233" s="21">
        <f>'MID Term 1'!L230+'MID Term 2'!F230</f>
        <v>0</v>
      </c>
      <c r="G233" s="21">
        <f>'MID Term 1'!P230+'MID Term 2'!J230</f>
        <v>0</v>
      </c>
      <c r="H233" s="21">
        <f>'MID Term 1'!Q230+'MID Term 2'!N230</f>
        <v>0</v>
      </c>
      <c r="I233" s="23">
        <f t="shared" si="14"/>
        <v>0</v>
      </c>
      <c r="J233" s="23">
        <f t="shared" si="15"/>
        <v>0</v>
      </c>
      <c r="K233" s="23">
        <f t="shared" si="16"/>
        <v>0</v>
      </c>
      <c r="L233" s="23">
        <f t="shared" si="17"/>
        <v>0</v>
      </c>
      <c r="M233" s="23">
        <f t="shared" si="18"/>
        <v>0</v>
      </c>
      <c r="N233" s="21">
        <f t="shared" si="19"/>
        <v>0</v>
      </c>
      <c r="O233" s="23">
        <f t="shared" si="20"/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4"/>
    </row>
    <row r="234" spans="1:26" ht="19.5" customHeight="1" x14ac:dyDescent="0.3">
      <c r="A234" s="47">
        <v>225</v>
      </c>
      <c r="B234" s="74">
        <f>'Sessional + End Term Assessment'!B270</f>
        <v>0</v>
      </c>
      <c r="C234" s="74">
        <f>'Sessional + End Term Assessment'!C270</f>
        <v>0</v>
      </c>
      <c r="D234" s="21">
        <f>'MID Term 1'!D231+'MID Term 2'!D231</f>
        <v>0</v>
      </c>
      <c r="E234" s="21">
        <f>'MID Term 1'!H231+'MID Term 2'!E231</f>
        <v>0</v>
      </c>
      <c r="F234" s="21">
        <f>'MID Term 1'!L231+'MID Term 2'!F231</f>
        <v>0</v>
      </c>
      <c r="G234" s="21">
        <f>'MID Term 1'!P231+'MID Term 2'!J231</f>
        <v>0</v>
      </c>
      <c r="H234" s="21">
        <f>'MID Term 1'!Q231+'MID Term 2'!N231</f>
        <v>0</v>
      </c>
      <c r="I234" s="23">
        <f t="shared" si="14"/>
        <v>0</v>
      </c>
      <c r="J234" s="23">
        <f t="shared" si="15"/>
        <v>0</v>
      </c>
      <c r="K234" s="23">
        <f t="shared" si="16"/>
        <v>0</v>
      </c>
      <c r="L234" s="23">
        <f t="shared" si="17"/>
        <v>0</v>
      </c>
      <c r="M234" s="23">
        <f t="shared" si="18"/>
        <v>0</v>
      </c>
      <c r="N234" s="21">
        <f t="shared" si="19"/>
        <v>0</v>
      </c>
      <c r="O234" s="23">
        <f t="shared" si="20"/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4"/>
    </row>
    <row r="235" spans="1:26" ht="19.5" customHeight="1" x14ac:dyDescent="0.3">
      <c r="A235" s="47">
        <v>226</v>
      </c>
      <c r="B235" s="74">
        <f>'Sessional + End Term Assessment'!B271</f>
        <v>0</v>
      </c>
      <c r="C235" s="74">
        <f>'Sessional + End Term Assessment'!C271</f>
        <v>0</v>
      </c>
      <c r="D235" s="21">
        <f>'MID Term 1'!D232+'MID Term 2'!D232</f>
        <v>0</v>
      </c>
      <c r="E235" s="21">
        <f>'MID Term 1'!H232+'MID Term 2'!E232</f>
        <v>0</v>
      </c>
      <c r="F235" s="21">
        <f>'MID Term 1'!L232+'MID Term 2'!F232</f>
        <v>0</v>
      </c>
      <c r="G235" s="21">
        <f>'MID Term 1'!P232+'MID Term 2'!J232</f>
        <v>0</v>
      </c>
      <c r="H235" s="21">
        <f>'MID Term 1'!Q232+'MID Term 2'!N232</f>
        <v>0</v>
      </c>
      <c r="I235" s="23">
        <f t="shared" si="14"/>
        <v>0</v>
      </c>
      <c r="J235" s="23">
        <f t="shared" si="15"/>
        <v>0</v>
      </c>
      <c r="K235" s="23">
        <f t="shared" si="16"/>
        <v>0</v>
      </c>
      <c r="L235" s="23">
        <f t="shared" si="17"/>
        <v>0</v>
      </c>
      <c r="M235" s="23">
        <f t="shared" si="18"/>
        <v>0</v>
      </c>
      <c r="N235" s="21">
        <f t="shared" si="19"/>
        <v>0</v>
      </c>
      <c r="O235" s="23">
        <f t="shared" si="20"/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4"/>
    </row>
    <row r="236" spans="1:26" ht="19.5" customHeight="1" x14ac:dyDescent="0.3">
      <c r="A236" s="47">
        <v>227</v>
      </c>
      <c r="B236" s="74">
        <f>'Sessional + End Term Assessment'!B272</f>
        <v>0</v>
      </c>
      <c r="C236" s="74">
        <f>'Sessional + End Term Assessment'!C272</f>
        <v>0</v>
      </c>
      <c r="D236" s="21">
        <f>'MID Term 1'!D233+'MID Term 2'!D233</f>
        <v>0</v>
      </c>
      <c r="E236" s="21">
        <f>'MID Term 1'!H233+'MID Term 2'!E233</f>
        <v>0</v>
      </c>
      <c r="F236" s="21">
        <f>'MID Term 1'!L233+'MID Term 2'!F233</f>
        <v>0</v>
      </c>
      <c r="G236" s="21">
        <f>'MID Term 1'!P233+'MID Term 2'!J233</f>
        <v>0</v>
      </c>
      <c r="H236" s="21">
        <f>'MID Term 1'!Q233+'MID Term 2'!N233</f>
        <v>0</v>
      </c>
      <c r="I236" s="23">
        <f t="shared" si="14"/>
        <v>0</v>
      </c>
      <c r="J236" s="23">
        <f t="shared" si="15"/>
        <v>0</v>
      </c>
      <c r="K236" s="23">
        <f t="shared" si="16"/>
        <v>0</v>
      </c>
      <c r="L236" s="23">
        <f t="shared" si="17"/>
        <v>0</v>
      </c>
      <c r="M236" s="23">
        <f t="shared" si="18"/>
        <v>0</v>
      </c>
      <c r="N236" s="21">
        <f t="shared" si="19"/>
        <v>0</v>
      </c>
      <c r="O236" s="23">
        <f t="shared" si="20"/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4"/>
    </row>
    <row r="237" spans="1:26" ht="19.5" customHeight="1" x14ac:dyDescent="0.3">
      <c r="A237" s="47">
        <v>228</v>
      </c>
      <c r="B237" s="74">
        <f>'Sessional + End Term Assessment'!B273</f>
        <v>0</v>
      </c>
      <c r="C237" s="74">
        <f>'Sessional + End Term Assessment'!C273</f>
        <v>0</v>
      </c>
      <c r="D237" s="21">
        <f>'MID Term 1'!D234+'MID Term 2'!D234</f>
        <v>0</v>
      </c>
      <c r="E237" s="21">
        <f>'MID Term 1'!H234+'MID Term 2'!E234</f>
        <v>0</v>
      </c>
      <c r="F237" s="21">
        <f>'MID Term 1'!L234+'MID Term 2'!F234</f>
        <v>0</v>
      </c>
      <c r="G237" s="21">
        <f>'MID Term 1'!P234+'MID Term 2'!J234</f>
        <v>0</v>
      </c>
      <c r="H237" s="21">
        <f>'MID Term 1'!Q234+'MID Term 2'!N234</f>
        <v>0</v>
      </c>
      <c r="I237" s="23">
        <f t="shared" si="14"/>
        <v>0</v>
      </c>
      <c r="J237" s="23">
        <f t="shared" si="15"/>
        <v>0</v>
      </c>
      <c r="K237" s="23">
        <f t="shared" si="16"/>
        <v>0</v>
      </c>
      <c r="L237" s="23">
        <f t="shared" si="17"/>
        <v>0</v>
      </c>
      <c r="M237" s="23">
        <f t="shared" si="18"/>
        <v>0</v>
      </c>
      <c r="N237" s="21">
        <f t="shared" si="19"/>
        <v>0</v>
      </c>
      <c r="O237" s="23">
        <f t="shared" si="20"/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4"/>
    </row>
    <row r="238" spans="1:26" ht="19.5" customHeight="1" x14ac:dyDescent="0.3">
      <c r="A238" s="47">
        <v>229</v>
      </c>
      <c r="B238" s="74">
        <f>'Sessional + End Term Assessment'!B274</f>
        <v>0</v>
      </c>
      <c r="C238" s="74">
        <f>'Sessional + End Term Assessment'!C274</f>
        <v>0</v>
      </c>
      <c r="D238" s="21">
        <f>'MID Term 1'!D235+'MID Term 2'!D235</f>
        <v>0</v>
      </c>
      <c r="E238" s="21">
        <f>'MID Term 1'!H235+'MID Term 2'!E235</f>
        <v>0</v>
      </c>
      <c r="F238" s="21">
        <f>'MID Term 1'!L235+'MID Term 2'!F235</f>
        <v>0</v>
      </c>
      <c r="G238" s="21">
        <f>'MID Term 1'!P235+'MID Term 2'!J235</f>
        <v>0</v>
      </c>
      <c r="H238" s="21">
        <f>'MID Term 1'!Q235+'MID Term 2'!N235</f>
        <v>0</v>
      </c>
      <c r="I238" s="23">
        <f t="shared" si="14"/>
        <v>0</v>
      </c>
      <c r="J238" s="23">
        <f t="shared" si="15"/>
        <v>0</v>
      </c>
      <c r="K238" s="23">
        <f t="shared" si="16"/>
        <v>0</v>
      </c>
      <c r="L238" s="23">
        <f t="shared" si="17"/>
        <v>0</v>
      </c>
      <c r="M238" s="23">
        <f t="shared" si="18"/>
        <v>0</v>
      </c>
      <c r="N238" s="21">
        <f t="shared" si="19"/>
        <v>0</v>
      </c>
      <c r="O238" s="23">
        <f t="shared" si="20"/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4"/>
    </row>
    <row r="239" spans="1:26" ht="19.5" customHeight="1" x14ac:dyDescent="0.3">
      <c r="A239" s="47">
        <v>230</v>
      </c>
      <c r="B239" s="74">
        <f>'Sessional + End Term Assessment'!B275</f>
        <v>0</v>
      </c>
      <c r="C239" s="74">
        <f>'Sessional + End Term Assessment'!C275</f>
        <v>0</v>
      </c>
      <c r="D239" s="21">
        <f>'MID Term 1'!D236+'MID Term 2'!D236</f>
        <v>0</v>
      </c>
      <c r="E239" s="21">
        <f>'MID Term 1'!H236+'MID Term 2'!E236</f>
        <v>0</v>
      </c>
      <c r="F239" s="21">
        <f>'MID Term 1'!L236+'MID Term 2'!F236</f>
        <v>0</v>
      </c>
      <c r="G239" s="21">
        <f>'MID Term 1'!P236+'MID Term 2'!J236</f>
        <v>0</v>
      </c>
      <c r="H239" s="21">
        <f>'MID Term 1'!Q236+'MID Term 2'!N236</f>
        <v>0</v>
      </c>
      <c r="I239" s="23">
        <f t="shared" si="14"/>
        <v>0</v>
      </c>
      <c r="J239" s="23">
        <f t="shared" si="15"/>
        <v>0</v>
      </c>
      <c r="K239" s="23">
        <f t="shared" si="16"/>
        <v>0</v>
      </c>
      <c r="L239" s="23">
        <f t="shared" si="17"/>
        <v>0</v>
      </c>
      <c r="M239" s="23">
        <f t="shared" si="18"/>
        <v>0</v>
      </c>
      <c r="N239" s="21">
        <f t="shared" si="19"/>
        <v>0</v>
      </c>
      <c r="O239" s="23">
        <f t="shared" si="20"/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4"/>
    </row>
    <row r="240" spans="1:26" ht="19.5" customHeight="1" x14ac:dyDescent="0.3">
      <c r="A240" s="47">
        <v>231</v>
      </c>
      <c r="B240" s="74">
        <f>'Sessional + End Term Assessment'!B276</f>
        <v>0</v>
      </c>
      <c r="C240" s="74">
        <f>'Sessional + End Term Assessment'!C276</f>
        <v>0</v>
      </c>
      <c r="D240" s="21">
        <f>'MID Term 1'!D237+'MID Term 2'!D237</f>
        <v>0</v>
      </c>
      <c r="E240" s="21">
        <f>'MID Term 1'!H237+'MID Term 2'!E237</f>
        <v>0</v>
      </c>
      <c r="F240" s="21">
        <f>'MID Term 1'!L237+'MID Term 2'!F237</f>
        <v>0</v>
      </c>
      <c r="G240" s="21">
        <f>'MID Term 1'!P237+'MID Term 2'!J237</f>
        <v>0</v>
      </c>
      <c r="H240" s="21">
        <f>'MID Term 1'!Q237+'MID Term 2'!N237</f>
        <v>0</v>
      </c>
      <c r="I240" s="23">
        <f t="shared" si="14"/>
        <v>0</v>
      </c>
      <c r="J240" s="23">
        <f t="shared" si="15"/>
        <v>0</v>
      </c>
      <c r="K240" s="23">
        <f t="shared" si="16"/>
        <v>0</v>
      </c>
      <c r="L240" s="23">
        <f t="shared" si="17"/>
        <v>0</v>
      </c>
      <c r="M240" s="23">
        <f t="shared" si="18"/>
        <v>0</v>
      </c>
      <c r="N240" s="21">
        <f t="shared" si="19"/>
        <v>0</v>
      </c>
      <c r="O240" s="23">
        <f t="shared" si="20"/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4"/>
    </row>
    <row r="241" spans="1:26" ht="19.5" customHeight="1" x14ac:dyDescent="0.3">
      <c r="A241" s="47">
        <v>232</v>
      </c>
      <c r="B241" s="74">
        <f>'Sessional + End Term Assessment'!B277</f>
        <v>0</v>
      </c>
      <c r="C241" s="74">
        <f>'Sessional + End Term Assessment'!C277</f>
        <v>0</v>
      </c>
      <c r="D241" s="21">
        <f>'MID Term 1'!D238+'MID Term 2'!D238</f>
        <v>0</v>
      </c>
      <c r="E241" s="21">
        <f>'MID Term 1'!H238+'MID Term 2'!E238</f>
        <v>0</v>
      </c>
      <c r="F241" s="21">
        <f>'MID Term 1'!L238+'MID Term 2'!F238</f>
        <v>0</v>
      </c>
      <c r="G241" s="21">
        <f>'MID Term 1'!P238+'MID Term 2'!J238</f>
        <v>0</v>
      </c>
      <c r="H241" s="21">
        <f>'MID Term 1'!Q238+'MID Term 2'!N238</f>
        <v>0</v>
      </c>
      <c r="I241" s="23">
        <f t="shared" si="14"/>
        <v>0</v>
      </c>
      <c r="J241" s="23">
        <f t="shared" si="15"/>
        <v>0</v>
      </c>
      <c r="K241" s="23">
        <f t="shared" si="16"/>
        <v>0</v>
      </c>
      <c r="L241" s="23">
        <f t="shared" si="17"/>
        <v>0</v>
      </c>
      <c r="M241" s="23">
        <f t="shared" si="18"/>
        <v>0</v>
      </c>
      <c r="N241" s="21">
        <f t="shared" si="19"/>
        <v>0</v>
      </c>
      <c r="O241" s="23">
        <f t="shared" si="20"/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4"/>
    </row>
    <row r="242" spans="1:26" ht="19.5" customHeight="1" x14ac:dyDescent="0.3">
      <c r="A242" s="47">
        <v>233</v>
      </c>
      <c r="B242" s="74">
        <f>'Sessional + End Term Assessment'!B278</f>
        <v>0</v>
      </c>
      <c r="C242" s="74">
        <f>'Sessional + End Term Assessment'!C278</f>
        <v>0</v>
      </c>
      <c r="D242" s="21">
        <f>'MID Term 1'!D239+'MID Term 2'!D239</f>
        <v>0</v>
      </c>
      <c r="E242" s="21">
        <f>'MID Term 1'!H239+'MID Term 2'!E239</f>
        <v>0</v>
      </c>
      <c r="F242" s="21">
        <f>'MID Term 1'!L239+'MID Term 2'!F239</f>
        <v>0</v>
      </c>
      <c r="G242" s="21">
        <f>'MID Term 1'!P239+'MID Term 2'!J239</f>
        <v>0</v>
      </c>
      <c r="H242" s="21">
        <f>'MID Term 1'!Q239+'MID Term 2'!N239</f>
        <v>0</v>
      </c>
      <c r="I242" s="23">
        <f t="shared" si="14"/>
        <v>0</v>
      </c>
      <c r="J242" s="23">
        <f t="shared" si="15"/>
        <v>0</v>
      </c>
      <c r="K242" s="23">
        <f t="shared" si="16"/>
        <v>0</v>
      </c>
      <c r="L242" s="23">
        <f t="shared" si="17"/>
        <v>0</v>
      </c>
      <c r="M242" s="23">
        <f t="shared" si="18"/>
        <v>0</v>
      </c>
      <c r="N242" s="21">
        <f t="shared" si="19"/>
        <v>0</v>
      </c>
      <c r="O242" s="23">
        <f t="shared" si="20"/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4"/>
    </row>
    <row r="243" spans="1:26" ht="19.5" customHeight="1" x14ac:dyDescent="0.3">
      <c r="A243" s="47">
        <v>234</v>
      </c>
      <c r="B243" s="74">
        <f>'Sessional + End Term Assessment'!B279</f>
        <v>0</v>
      </c>
      <c r="C243" s="74">
        <f>'Sessional + End Term Assessment'!C279</f>
        <v>0</v>
      </c>
      <c r="D243" s="21">
        <f>'MID Term 1'!D240+'MID Term 2'!D240</f>
        <v>0</v>
      </c>
      <c r="E243" s="21">
        <f>'MID Term 1'!H240+'MID Term 2'!E240</f>
        <v>0</v>
      </c>
      <c r="F243" s="21">
        <f>'MID Term 1'!L240+'MID Term 2'!F240</f>
        <v>0</v>
      </c>
      <c r="G243" s="21">
        <f>'MID Term 1'!P240+'MID Term 2'!J240</f>
        <v>0</v>
      </c>
      <c r="H243" s="21">
        <f>'MID Term 1'!Q240+'MID Term 2'!N240</f>
        <v>0</v>
      </c>
      <c r="I243" s="23">
        <f t="shared" si="14"/>
        <v>0</v>
      </c>
      <c r="J243" s="23">
        <f t="shared" si="15"/>
        <v>0</v>
      </c>
      <c r="K243" s="23">
        <f t="shared" si="16"/>
        <v>0</v>
      </c>
      <c r="L243" s="23">
        <f t="shared" si="17"/>
        <v>0</v>
      </c>
      <c r="M243" s="23">
        <f t="shared" si="18"/>
        <v>0</v>
      </c>
      <c r="N243" s="21">
        <f t="shared" si="19"/>
        <v>0</v>
      </c>
      <c r="O243" s="23">
        <f t="shared" si="20"/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4"/>
    </row>
    <row r="244" spans="1:26" ht="19.5" customHeight="1" x14ac:dyDescent="0.3">
      <c r="A244" s="47">
        <v>235</v>
      </c>
      <c r="B244" s="74">
        <f>'Sessional + End Term Assessment'!B280</f>
        <v>0</v>
      </c>
      <c r="C244" s="74">
        <f>'Sessional + End Term Assessment'!C280</f>
        <v>0</v>
      </c>
      <c r="D244" s="21">
        <f>'MID Term 1'!D241+'MID Term 2'!D241</f>
        <v>0</v>
      </c>
      <c r="E244" s="21">
        <f>'MID Term 1'!H241+'MID Term 2'!E241</f>
        <v>0</v>
      </c>
      <c r="F244" s="21">
        <f>'MID Term 1'!L241+'MID Term 2'!F241</f>
        <v>0</v>
      </c>
      <c r="G244" s="21">
        <f>'MID Term 1'!P241+'MID Term 2'!J241</f>
        <v>0</v>
      </c>
      <c r="H244" s="21">
        <f>'MID Term 1'!Q241+'MID Term 2'!N241</f>
        <v>0</v>
      </c>
      <c r="I244" s="23">
        <f t="shared" si="14"/>
        <v>0</v>
      </c>
      <c r="J244" s="23">
        <f t="shared" si="15"/>
        <v>0</v>
      </c>
      <c r="K244" s="23">
        <f t="shared" si="16"/>
        <v>0</v>
      </c>
      <c r="L244" s="23">
        <f t="shared" si="17"/>
        <v>0</v>
      </c>
      <c r="M244" s="23">
        <f t="shared" si="18"/>
        <v>0</v>
      </c>
      <c r="N244" s="21">
        <f t="shared" si="19"/>
        <v>0</v>
      </c>
      <c r="O244" s="23">
        <f t="shared" si="20"/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4"/>
    </row>
    <row r="245" spans="1:26" ht="19.5" customHeight="1" x14ac:dyDescent="0.3">
      <c r="A245" s="47">
        <v>236</v>
      </c>
      <c r="B245" s="74">
        <f>'Sessional + End Term Assessment'!B281</f>
        <v>0</v>
      </c>
      <c r="C245" s="74">
        <f>'Sessional + End Term Assessment'!C281</f>
        <v>0</v>
      </c>
      <c r="D245" s="21">
        <f>'MID Term 1'!D242+'MID Term 2'!D242</f>
        <v>0</v>
      </c>
      <c r="E245" s="21">
        <f>'MID Term 1'!H242+'MID Term 2'!E242</f>
        <v>0</v>
      </c>
      <c r="F245" s="21">
        <f>'MID Term 1'!L242+'MID Term 2'!F242</f>
        <v>0</v>
      </c>
      <c r="G245" s="21">
        <f>'MID Term 1'!P242+'MID Term 2'!J242</f>
        <v>0</v>
      </c>
      <c r="H245" s="21">
        <f>'MID Term 1'!Q242+'MID Term 2'!N242</f>
        <v>0</v>
      </c>
      <c r="I245" s="23">
        <f t="shared" si="14"/>
        <v>0</v>
      </c>
      <c r="J245" s="23">
        <f t="shared" si="15"/>
        <v>0</v>
      </c>
      <c r="K245" s="23">
        <f t="shared" si="16"/>
        <v>0</v>
      </c>
      <c r="L245" s="23">
        <f t="shared" si="17"/>
        <v>0</v>
      </c>
      <c r="M245" s="23">
        <f t="shared" si="18"/>
        <v>0</v>
      </c>
      <c r="N245" s="21">
        <f t="shared" si="19"/>
        <v>0</v>
      </c>
      <c r="O245" s="23">
        <f t="shared" si="20"/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4"/>
    </row>
    <row r="246" spans="1:26" ht="19.5" customHeight="1" x14ac:dyDescent="0.3">
      <c r="A246" s="47">
        <v>237</v>
      </c>
      <c r="B246" s="74">
        <f>'Sessional + End Term Assessment'!B282</f>
        <v>0</v>
      </c>
      <c r="C246" s="74">
        <f>'Sessional + End Term Assessment'!C282</f>
        <v>0</v>
      </c>
      <c r="D246" s="21">
        <f>'MID Term 1'!D243+'MID Term 2'!D243</f>
        <v>0</v>
      </c>
      <c r="E246" s="21">
        <f>'MID Term 1'!H243+'MID Term 2'!E243</f>
        <v>0</v>
      </c>
      <c r="F246" s="21">
        <f>'MID Term 1'!L243+'MID Term 2'!F243</f>
        <v>0</v>
      </c>
      <c r="G246" s="21">
        <f>'MID Term 1'!P243+'MID Term 2'!J243</f>
        <v>0</v>
      </c>
      <c r="H246" s="21">
        <f>'MID Term 1'!Q243+'MID Term 2'!N243</f>
        <v>0</v>
      </c>
      <c r="I246" s="23">
        <f t="shared" si="14"/>
        <v>0</v>
      </c>
      <c r="J246" s="23">
        <f t="shared" si="15"/>
        <v>0</v>
      </c>
      <c r="K246" s="23">
        <f t="shared" si="16"/>
        <v>0</v>
      </c>
      <c r="L246" s="23">
        <f t="shared" si="17"/>
        <v>0</v>
      </c>
      <c r="M246" s="23">
        <f t="shared" si="18"/>
        <v>0</v>
      </c>
      <c r="N246" s="21">
        <f t="shared" si="19"/>
        <v>0</v>
      </c>
      <c r="O246" s="23">
        <f t="shared" si="20"/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4"/>
    </row>
    <row r="247" spans="1:26" ht="19.5" customHeight="1" x14ac:dyDescent="0.3">
      <c r="A247" s="47">
        <v>238</v>
      </c>
      <c r="B247" s="74">
        <f>'Sessional + End Term Assessment'!B283</f>
        <v>0</v>
      </c>
      <c r="C247" s="74">
        <f>'Sessional + End Term Assessment'!C283</f>
        <v>0</v>
      </c>
      <c r="D247" s="21">
        <f>'MID Term 1'!D244+'MID Term 2'!D244</f>
        <v>0</v>
      </c>
      <c r="E247" s="21">
        <f>'MID Term 1'!H244+'MID Term 2'!E244</f>
        <v>0</v>
      </c>
      <c r="F247" s="21">
        <f>'MID Term 1'!L244+'MID Term 2'!F244</f>
        <v>0</v>
      </c>
      <c r="G247" s="21">
        <f>'MID Term 1'!P244+'MID Term 2'!J244</f>
        <v>0</v>
      </c>
      <c r="H247" s="21">
        <f>'MID Term 1'!Q244+'MID Term 2'!N244</f>
        <v>0</v>
      </c>
      <c r="I247" s="23">
        <f t="shared" si="14"/>
        <v>0</v>
      </c>
      <c r="J247" s="23">
        <f t="shared" si="15"/>
        <v>0</v>
      </c>
      <c r="K247" s="23">
        <f t="shared" si="16"/>
        <v>0</v>
      </c>
      <c r="L247" s="23">
        <f t="shared" si="17"/>
        <v>0</v>
      </c>
      <c r="M247" s="23">
        <f t="shared" si="18"/>
        <v>0</v>
      </c>
      <c r="N247" s="21">
        <f t="shared" si="19"/>
        <v>0</v>
      </c>
      <c r="O247" s="23">
        <f t="shared" si="20"/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4"/>
    </row>
    <row r="248" spans="1:26" ht="19.5" customHeight="1" x14ac:dyDescent="0.3">
      <c r="A248" s="47">
        <v>239</v>
      </c>
      <c r="B248" s="74">
        <f>'Sessional + End Term Assessment'!B284</f>
        <v>0</v>
      </c>
      <c r="C248" s="74">
        <f>'Sessional + End Term Assessment'!C284</f>
        <v>0</v>
      </c>
      <c r="D248" s="21">
        <f>'MID Term 1'!D245+'MID Term 2'!D245</f>
        <v>0</v>
      </c>
      <c r="E248" s="21">
        <f>'MID Term 1'!H245+'MID Term 2'!E245</f>
        <v>0</v>
      </c>
      <c r="F248" s="21">
        <f>'MID Term 1'!L245+'MID Term 2'!F245</f>
        <v>0</v>
      </c>
      <c r="G248" s="21">
        <f>'MID Term 1'!P245+'MID Term 2'!J245</f>
        <v>0</v>
      </c>
      <c r="H248" s="21">
        <f>'MID Term 1'!Q245+'MID Term 2'!N245</f>
        <v>0</v>
      </c>
      <c r="I248" s="23">
        <f t="shared" si="14"/>
        <v>0</v>
      </c>
      <c r="J248" s="23">
        <f t="shared" si="15"/>
        <v>0</v>
      </c>
      <c r="K248" s="23">
        <f t="shared" si="16"/>
        <v>0</v>
      </c>
      <c r="L248" s="23">
        <f t="shared" si="17"/>
        <v>0</v>
      </c>
      <c r="M248" s="23">
        <f t="shared" si="18"/>
        <v>0</v>
      </c>
      <c r="N248" s="21">
        <f t="shared" si="19"/>
        <v>0</v>
      </c>
      <c r="O248" s="23">
        <f t="shared" si="20"/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4"/>
    </row>
    <row r="249" spans="1:26" ht="19.5" customHeight="1" x14ac:dyDescent="0.3">
      <c r="A249" s="47">
        <v>240</v>
      </c>
      <c r="B249" s="74">
        <f>'Sessional + End Term Assessment'!B285</f>
        <v>0</v>
      </c>
      <c r="C249" s="74">
        <f>'Sessional + End Term Assessment'!C285</f>
        <v>0</v>
      </c>
      <c r="D249" s="21">
        <f>'MID Term 1'!D246+'MID Term 2'!D246</f>
        <v>0</v>
      </c>
      <c r="E249" s="21">
        <f>'MID Term 1'!H246+'MID Term 2'!E246</f>
        <v>0</v>
      </c>
      <c r="F249" s="21">
        <f>'MID Term 1'!L246+'MID Term 2'!F246</f>
        <v>0</v>
      </c>
      <c r="G249" s="21">
        <f>'MID Term 1'!P246+'MID Term 2'!J246</f>
        <v>0</v>
      </c>
      <c r="H249" s="21">
        <f>'MID Term 1'!Q246+'MID Term 2'!N246</f>
        <v>0</v>
      </c>
      <c r="I249" s="23">
        <f t="shared" si="14"/>
        <v>0</v>
      </c>
      <c r="J249" s="23">
        <f t="shared" si="15"/>
        <v>0</v>
      </c>
      <c r="K249" s="23">
        <f t="shared" si="16"/>
        <v>0</v>
      </c>
      <c r="L249" s="23">
        <f t="shared" si="17"/>
        <v>0</v>
      </c>
      <c r="M249" s="23">
        <f t="shared" si="18"/>
        <v>0</v>
      </c>
      <c r="N249" s="21">
        <f t="shared" si="19"/>
        <v>0</v>
      </c>
      <c r="O249" s="23">
        <f t="shared" si="20"/>
        <v>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4"/>
    </row>
    <row r="250" spans="1:26" ht="19.5" customHeight="1" x14ac:dyDescent="0.3">
      <c r="A250" s="47">
        <v>241</v>
      </c>
      <c r="B250" s="74">
        <f>'Sessional + End Term Assessment'!B286</f>
        <v>0</v>
      </c>
      <c r="C250" s="74">
        <f>'Sessional + End Term Assessment'!C286</f>
        <v>0</v>
      </c>
      <c r="D250" s="21">
        <f>'MID Term 1'!D247+'MID Term 2'!D247</f>
        <v>0</v>
      </c>
      <c r="E250" s="21">
        <f>'MID Term 1'!H247+'MID Term 2'!E247</f>
        <v>0</v>
      </c>
      <c r="F250" s="21">
        <f>'MID Term 1'!L247+'MID Term 2'!F247</f>
        <v>0</v>
      </c>
      <c r="G250" s="21">
        <f>'MID Term 1'!P247+'MID Term 2'!J247</f>
        <v>0</v>
      </c>
      <c r="H250" s="21">
        <f>'MID Term 1'!Q247+'MID Term 2'!N247</f>
        <v>0</v>
      </c>
      <c r="I250" s="23">
        <f t="shared" si="14"/>
        <v>0</v>
      </c>
      <c r="J250" s="23">
        <f t="shared" si="15"/>
        <v>0</v>
      </c>
      <c r="K250" s="23">
        <f t="shared" si="16"/>
        <v>0</v>
      </c>
      <c r="L250" s="23">
        <f t="shared" si="17"/>
        <v>0</v>
      </c>
      <c r="M250" s="23">
        <f t="shared" si="18"/>
        <v>0</v>
      </c>
      <c r="N250" s="21">
        <f t="shared" si="19"/>
        <v>0</v>
      </c>
      <c r="O250" s="23">
        <f t="shared" si="20"/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4"/>
    </row>
    <row r="251" spans="1:26" ht="19.5" customHeight="1" x14ac:dyDescent="0.3">
      <c r="A251" s="47">
        <v>242</v>
      </c>
      <c r="B251" s="74">
        <f>'Sessional + End Term Assessment'!B287</f>
        <v>0</v>
      </c>
      <c r="C251" s="74">
        <f>'Sessional + End Term Assessment'!C287</f>
        <v>0</v>
      </c>
      <c r="D251" s="21">
        <f>'MID Term 1'!D248+'MID Term 2'!D248</f>
        <v>0</v>
      </c>
      <c r="E251" s="21">
        <f>'MID Term 1'!H248+'MID Term 2'!E248</f>
        <v>0</v>
      </c>
      <c r="F251" s="21">
        <f>'MID Term 1'!L248+'MID Term 2'!F248</f>
        <v>0</v>
      </c>
      <c r="G251" s="21">
        <f>'MID Term 1'!P248+'MID Term 2'!J248</f>
        <v>0</v>
      </c>
      <c r="H251" s="21">
        <f>'MID Term 1'!Q248+'MID Term 2'!N248</f>
        <v>0</v>
      </c>
      <c r="I251" s="23">
        <f t="shared" si="14"/>
        <v>0</v>
      </c>
      <c r="J251" s="23">
        <f t="shared" si="15"/>
        <v>0</v>
      </c>
      <c r="K251" s="23">
        <f t="shared" si="16"/>
        <v>0</v>
      </c>
      <c r="L251" s="23">
        <f t="shared" si="17"/>
        <v>0</v>
      </c>
      <c r="M251" s="23">
        <f t="shared" si="18"/>
        <v>0</v>
      </c>
      <c r="N251" s="21">
        <f t="shared" si="19"/>
        <v>0</v>
      </c>
      <c r="O251" s="23">
        <f t="shared" si="20"/>
        <v>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4"/>
    </row>
    <row r="252" spans="1:26" ht="19.5" customHeight="1" x14ac:dyDescent="0.3">
      <c r="A252" s="47">
        <v>243</v>
      </c>
      <c r="B252" s="74">
        <f>'Sessional + End Term Assessment'!B288</f>
        <v>0</v>
      </c>
      <c r="C252" s="74">
        <f>'Sessional + End Term Assessment'!C288</f>
        <v>0</v>
      </c>
      <c r="D252" s="21">
        <f>'MID Term 1'!D249+'MID Term 2'!D249</f>
        <v>0</v>
      </c>
      <c r="E252" s="21">
        <f>'MID Term 1'!H249+'MID Term 2'!E249</f>
        <v>0</v>
      </c>
      <c r="F252" s="21">
        <f>'MID Term 1'!L249+'MID Term 2'!F249</f>
        <v>0</v>
      </c>
      <c r="G252" s="21">
        <f>'MID Term 1'!P249+'MID Term 2'!J249</f>
        <v>0</v>
      </c>
      <c r="H252" s="21">
        <f>'MID Term 1'!Q249+'MID Term 2'!N249</f>
        <v>0</v>
      </c>
      <c r="I252" s="23">
        <f t="shared" si="14"/>
        <v>0</v>
      </c>
      <c r="J252" s="23">
        <f t="shared" si="15"/>
        <v>0</v>
      </c>
      <c r="K252" s="23">
        <f t="shared" si="16"/>
        <v>0</v>
      </c>
      <c r="L252" s="23">
        <f t="shared" si="17"/>
        <v>0</v>
      </c>
      <c r="M252" s="23">
        <f t="shared" si="18"/>
        <v>0</v>
      </c>
      <c r="N252" s="21">
        <f t="shared" si="19"/>
        <v>0</v>
      </c>
      <c r="O252" s="23">
        <f t="shared" si="20"/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4"/>
    </row>
    <row r="253" spans="1:26" ht="19.5" customHeight="1" x14ac:dyDescent="0.3">
      <c r="A253" s="47">
        <v>244</v>
      </c>
      <c r="B253" s="74">
        <f>'Sessional + End Term Assessment'!B289</f>
        <v>0</v>
      </c>
      <c r="C253" s="74">
        <f>'Sessional + End Term Assessment'!C289</f>
        <v>0</v>
      </c>
      <c r="D253" s="21">
        <f>'MID Term 1'!D250+'MID Term 2'!D250</f>
        <v>0</v>
      </c>
      <c r="E253" s="21">
        <f>'MID Term 1'!H250+'MID Term 2'!E250</f>
        <v>0</v>
      </c>
      <c r="F253" s="21">
        <f>'MID Term 1'!L250+'MID Term 2'!F250</f>
        <v>0</v>
      </c>
      <c r="G253" s="21">
        <f>'MID Term 1'!P250+'MID Term 2'!J250</f>
        <v>0</v>
      </c>
      <c r="H253" s="21">
        <f>'MID Term 1'!Q250+'MID Term 2'!N250</f>
        <v>0</v>
      </c>
      <c r="I253" s="23">
        <f t="shared" si="14"/>
        <v>0</v>
      </c>
      <c r="J253" s="23">
        <f t="shared" si="15"/>
        <v>0</v>
      </c>
      <c r="K253" s="23">
        <f t="shared" si="16"/>
        <v>0</v>
      </c>
      <c r="L253" s="23">
        <f t="shared" si="17"/>
        <v>0</v>
      </c>
      <c r="M253" s="23">
        <f t="shared" si="18"/>
        <v>0</v>
      </c>
      <c r="N253" s="21">
        <f t="shared" si="19"/>
        <v>0</v>
      </c>
      <c r="O253" s="23">
        <f t="shared" si="20"/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4"/>
    </row>
    <row r="254" spans="1:26" ht="19.5" customHeight="1" x14ac:dyDescent="0.3">
      <c r="A254" s="47">
        <v>245</v>
      </c>
      <c r="B254" s="74">
        <f>'Sessional + End Term Assessment'!B290</f>
        <v>0</v>
      </c>
      <c r="C254" s="74">
        <f>'Sessional + End Term Assessment'!C290</f>
        <v>0</v>
      </c>
      <c r="D254" s="21">
        <f>'MID Term 1'!D251+'MID Term 2'!D251</f>
        <v>0</v>
      </c>
      <c r="E254" s="21">
        <f>'MID Term 1'!H251+'MID Term 2'!E251</f>
        <v>0</v>
      </c>
      <c r="F254" s="21">
        <f>'MID Term 1'!L251+'MID Term 2'!F251</f>
        <v>0</v>
      </c>
      <c r="G254" s="21">
        <f>'MID Term 1'!P251+'MID Term 2'!J251</f>
        <v>0</v>
      </c>
      <c r="H254" s="21">
        <f>'MID Term 1'!Q251+'MID Term 2'!N251</f>
        <v>0</v>
      </c>
      <c r="I254" s="23">
        <f t="shared" si="14"/>
        <v>0</v>
      </c>
      <c r="J254" s="23">
        <f t="shared" si="15"/>
        <v>0</v>
      </c>
      <c r="K254" s="23">
        <f t="shared" si="16"/>
        <v>0</v>
      </c>
      <c r="L254" s="23">
        <f t="shared" si="17"/>
        <v>0</v>
      </c>
      <c r="M254" s="23">
        <f t="shared" si="18"/>
        <v>0</v>
      </c>
      <c r="N254" s="21">
        <f t="shared" si="19"/>
        <v>0</v>
      </c>
      <c r="O254" s="23">
        <f t="shared" si="20"/>
        <v>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4"/>
    </row>
    <row r="255" spans="1:26" ht="19.5" customHeight="1" x14ac:dyDescent="0.3">
      <c r="A255" s="47">
        <v>246</v>
      </c>
      <c r="B255" s="74">
        <f>'Sessional + End Term Assessment'!B291</f>
        <v>0</v>
      </c>
      <c r="C255" s="74">
        <f>'Sessional + End Term Assessment'!C291</f>
        <v>0</v>
      </c>
      <c r="D255" s="21">
        <f>'MID Term 1'!D252+'MID Term 2'!D252</f>
        <v>0</v>
      </c>
      <c r="E255" s="21">
        <f>'MID Term 1'!H252+'MID Term 2'!E252</f>
        <v>0</v>
      </c>
      <c r="F255" s="21">
        <f>'MID Term 1'!L252+'MID Term 2'!F252</f>
        <v>0</v>
      </c>
      <c r="G255" s="21">
        <f>'MID Term 1'!P252+'MID Term 2'!J252</f>
        <v>0</v>
      </c>
      <c r="H255" s="21">
        <f>'MID Term 1'!Q252+'MID Term 2'!N252</f>
        <v>0</v>
      </c>
      <c r="I255" s="23">
        <f t="shared" si="14"/>
        <v>0</v>
      </c>
      <c r="J255" s="23">
        <f t="shared" si="15"/>
        <v>0</v>
      </c>
      <c r="K255" s="23">
        <f t="shared" si="16"/>
        <v>0</v>
      </c>
      <c r="L255" s="23">
        <f t="shared" si="17"/>
        <v>0</v>
      </c>
      <c r="M255" s="23">
        <f t="shared" si="18"/>
        <v>0</v>
      </c>
      <c r="N255" s="21">
        <f t="shared" si="19"/>
        <v>0</v>
      </c>
      <c r="O255" s="23">
        <f t="shared" si="20"/>
        <v>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4"/>
    </row>
    <row r="256" spans="1:26" ht="19.5" customHeight="1" x14ac:dyDescent="0.3">
      <c r="A256" s="47">
        <v>247</v>
      </c>
      <c r="B256" s="74">
        <f>'Sessional + End Term Assessment'!B292</f>
        <v>0</v>
      </c>
      <c r="C256" s="74">
        <f>'Sessional + End Term Assessment'!C292</f>
        <v>0</v>
      </c>
      <c r="D256" s="21">
        <f>'MID Term 1'!D253+'MID Term 2'!D253</f>
        <v>0</v>
      </c>
      <c r="E256" s="21">
        <f>'MID Term 1'!H253+'MID Term 2'!E253</f>
        <v>0</v>
      </c>
      <c r="F256" s="21">
        <f>'MID Term 1'!L253+'MID Term 2'!F253</f>
        <v>0</v>
      </c>
      <c r="G256" s="21">
        <f>'MID Term 1'!P253+'MID Term 2'!J253</f>
        <v>0</v>
      </c>
      <c r="H256" s="21">
        <f>'MID Term 1'!Q253+'MID Term 2'!N253</f>
        <v>0</v>
      </c>
      <c r="I256" s="23">
        <f t="shared" si="14"/>
        <v>0</v>
      </c>
      <c r="J256" s="23">
        <f t="shared" si="15"/>
        <v>0</v>
      </c>
      <c r="K256" s="23">
        <f t="shared" si="16"/>
        <v>0</v>
      </c>
      <c r="L256" s="23">
        <f t="shared" si="17"/>
        <v>0</v>
      </c>
      <c r="M256" s="23">
        <f t="shared" si="18"/>
        <v>0</v>
      </c>
      <c r="N256" s="21">
        <f t="shared" si="19"/>
        <v>0</v>
      </c>
      <c r="O256" s="23">
        <f t="shared" si="20"/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4"/>
    </row>
    <row r="257" spans="1:26" ht="19.5" customHeight="1" x14ac:dyDescent="0.3">
      <c r="A257" s="47">
        <v>248</v>
      </c>
      <c r="B257" s="74">
        <f>'Sessional + End Term Assessment'!B293</f>
        <v>0</v>
      </c>
      <c r="C257" s="74">
        <f>'Sessional + End Term Assessment'!C293</f>
        <v>0</v>
      </c>
      <c r="D257" s="21">
        <f>'MID Term 1'!D254+'MID Term 2'!D254</f>
        <v>0</v>
      </c>
      <c r="E257" s="21">
        <f>'MID Term 1'!H254+'MID Term 2'!E254</f>
        <v>0</v>
      </c>
      <c r="F257" s="21">
        <f>'MID Term 1'!L254+'MID Term 2'!F254</f>
        <v>0</v>
      </c>
      <c r="G257" s="21">
        <f>'MID Term 1'!P254+'MID Term 2'!J254</f>
        <v>0</v>
      </c>
      <c r="H257" s="21">
        <f>'MID Term 1'!Q254+'MID Term 2'!N254</f>
        <v>0</v>
      </c>
      <c r="I257" s="23">
        <f t="shared" si="14"/>
        <v>0</v>
      </c>
      <c r="J257" s="23">
        <f t="shared" si="15"/>
        <v>0</v>
      </c>
      <c r="K257" s="23">
        <f t="shared" si="16"/>
        <v>0</v>
      </c>
      <c r="L257" s="23">
        <f t="shared" si="17"/>
        <v>0</v>
      </c>
      <c r="M257" s="23">
        <f t="shared" si="18"/>
        <v>0</v>
      </c>
      <c r="N257" s="21">
        <f t="shared" si="19"/>
        <v>0</v>
      </c>
      <c r="O257" s="23">
        <f t="shared" si="20"/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4"/>
    </row>
    <row r="258" spans="1:26" ht="19.5" customHeight="1" x14ac:dyDescent="0.3">
      <c r="A258" s="47">
        <v>249</v>
      </c>
      <c r="B258" s="74">
        <f>'Sessional + End Term Assessment'!B294</f>
        <v>0</v>
      </c>
      <c r="C258" s="74">
        <f>'Sessional + End Term Assessment'!C294</f>
        <v>0</v>
      </c>
      <c r="D258" s="21">
        <f>'MID Term 1'!D255+'MID Term 2'!D255</f>
        <v>0</v>
      </c>
      <c r="E258" s="21">
        <f>'MID Term 1'!H255+'MID Term 2'!E255</f>
        <v>0</v>
      </c>
      <c r="F258" s="21">
        <f>'MID Term 1'!L255+'MID Term 2'!F255</f>
        <v>0</v>
      </c>
      <c r="G258" s="21">
        <f>'MID Term 1'!P255+'MID Term 2'!J255</f>
        <v>0</v>
      </c>
      <c r="H258" s="21">
        <f>'MID Term 1'!Q255+'MID Term 2'!N255</f>
        <v>0</v>
      </c>
      <c r="I258" s="23">
        <f t="shared" si="14"/>
        <v>0</v>
      </c>
      <c r="J258" s="23">
        <f t="shared" si="15"/>
        <v>0</v>
      </c>
      <c r="K258" s="23">
        <f t="shared" si="16"/>
        <v>0</v>
      </c>
      <c r="L258" s="23">
        <f t="shared" si="17"/>
        <v>0</v>
      </c>
      <c r="M258" s="23">
        <f t="shared" si="18"/>
        <v>0</v>
      </c>
      <c r="N258" s="21">
        <f t="shared" si="19"/>
        <v>0</v>
      </c>
      <c r="O258" s="23">
        <f t="shared" si="20"/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4"/>
    </row>
    <row r="259" spans="1:26" ht="19.5" customHeight="1" x14ac:dyDescent="0.3">
      <c r="A259" s="47">
        <v>250</v>
      </c>
      <c r="B259" s="74">
        <f>'Sessional + End Term Assessment'!B295</f>
        <v>0</v>
      </c>
      <c r="C259" s="74">
        <f>'Sessional + End Term Assessment'!C295</f>
        <v>0</v>
      </c>
      <c r="D259" s="21">
        <f>'MID Term 1'!D256+'MID Term 2'!D256</f>
        <v>0</v>
      </c>
      <c r="E259" s="21">
        <f>'MID Term 1'!H256+'MID Term 2'!E256</f>
        <v>0</v>
      </c>
      <c r="F259" s="21">
        <f>'MID Term 1'!L256+'MID Term 2'!F256</f>
        <v>0</v>
      </c>
      <c r="G259" s="21">
        <f>'MID Term 1'!P256+'MID Term 2'!J256</f>
        <v>0</v>
      </c>
      <c r="H259" s="21">
        <f>'MID Term 1'!Q256+'MID Term 2'!N256</f>
        <v>0</v>
      </c>
      <c r="I259" s="23">
        <f t="shared" si="14"/>
        <v>0</v>
      </c>
      <c r="J259" s="23">
        <f t="shared" si="15"/>
        <v>0</v>
      </c>
      <c r="K259" s="23">
        <f t="shared" si="16"/>
        <v>0</v>
      </c>
      <c r="L259" s="23">
        <f t="shared" si="17"/>
        <v>0</v>
      </c>
      <c r="M259" s="23">
        <f t="shared" si="18"/>
        <v>0</v>
      </c>
      <c r="N259" s="21">
        <f t="shared" si="19"/>
        <v>0</v>
      </c>
      <c r="O259" s="23">
        <f t="shared" si="20"/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4"/>
    </row>
    <row r="260" spans="1:26" ht="19.5" customHeight="1" x14ac:dyDescent="0.3">
      <c r="A260" s="15"/>
      <c r="B260" s="15"/>
      <c r="C260" s="15" t="s">
        <v>80</v>
      </c>
      <c r="D260" s="55">
        <v>250</v>
      </c>
      <c r="E260" s="55">
        <v>250</v>
      </c>
      <c r="F260" s="55">
        <v>250</v>
      </c>
      <c r="G260" s="55">
        <v>250</v>
      </c>
      <c r="H260" s="55">
        <v>250</v>
      </c>
      <c r="I260" s="55">
        <f>SUM(I10:I259)</f>
        <v>0</v>
      </c>
      <c r="J260" s="55">
        <f t="shared" ref="J260:M260" si="21">SUM(J10:J259)</f>
        <v>0</v>
      </c>
      <c r="K260" s="55">
        <f t="shared" si="21"/>
        <v>0</v>
      </c>
      <c r="L260" s="55">
        <f t="shared" si="21"/>
        <v>0</v>
      </c>
      <c r="M260" s="55">
        <f t="shared" si="21"/>
        <v>0</v>
      </c>
      <c r="N260" s="55"/>
      <c r="O260" s="55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6" ht="19.5" customHeight="1" x14ac:dyDescent="0.3">
      <c r="A261" s="93" t="s">
        <v>81</v>
      </c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102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6" ht="19.5" customHeight="1" x14ac:dyDescent="0.3">
      <c r="A262" s="96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103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6" ht="19.5" customHeight="1" x14ac:dyDescent="0.3">
      <c r="A263" s="96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103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6" ht="19.5" customHeight="1" x14ac:dyDescent="0.3">
      <c r="A264" s="99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4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6" ht="15.75" customHeight="1" x14ac:dyDescent="0.3">
      <c r="A265" s="92" t="s">
        <v>36</v>
      </c>
      <c r="B265" s="88"/>
      <c r="C265" s="89"/>
      <c r="D265" s="32" t="s">
        <v>37</v>
      </c>
      <c r="E265" s="32" t="s">
        <v>38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6" ht="19.5" customHeight="1" x14ac:dyDescent="0.3">
      <c r="A266" s="92" t="s">
        <v>82</v>
      </c>
      <c r="B266" s="88"/>
      <c r="C266" s="89"/>
      <c r="D266" s="33">
        <f>ROUND((I260/D260*100),0)</f>
        <v>0</v>
      </c>
      <c r="E266" s="32">
        <f t="shared" ref="E266:E270" si="22">IF(D266&gt;100,"ERROR",IF(D266&gt;=61,3,IF(D266&gt;=46,2,IF(D266&gt;=16,1,IF(D266&gt;15,0,0)))))</f>
        <v>0</v>
      </c>
      <c r="F266" s="33">
        <f t="shared" ref="F266:F270" si="23">E266*0.2</f>
        <v>0</v>
      </c>
      <c r="G266" s="33"/>
      <c r="H266" s="33"/>
      <c r="I266" s="33"/>
      <c r="J266" s="33"/>
      <c r="K266" s="33"/>
      <c r="L266" s="33"/>
      <c r="M266" s="33"/>
      <c r="N266" s="33"/>
      <c r="O266" s="33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6" ht="19.5" customHeight="1" x14ac:dyDescent="0.3">
      <c r="A267" s="92" t="s">
        <v>83</v>
      </c>
      <c r="B267" s="88"/>
      <c r="C267" s="89"/>
      <c r="D267" s="33">
        <f>ROUND((J260/E260*100),0)</f>
        <v>0</v>
      </c>
      <c r="E267" s="32">
        <f t="shared" si="22"/>
        <v>0</v>
      </c>
      <c r="F267" s="33">
        <f t="shared" si="23"/>
        <v>0</v>
      </c>
      <c r="G267" s="33"/>
      <c r="H267" s="105" t="s">
        <v>84</v>
      </c>
      <c r="I267" s="106"/>
      <c r="J267" s="56">
        <f>SUM(F266:F270)</f>
        <v>0</v>
      </c>
      <c r="K267" s="33"/>
      <c r="L267" s="33"/>
      <c r="M267" s="33"/>
      <c r="N267" s="33"/>
      <c r="O267" s="33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9.5" customHeight="1" x14ac:dyDescent="0.3">
      <c r="A268" s="92" t="s">
        <v>85</v>
      </c>
      <c r="B268" s="88"/>
      <c r="C268" s="89"/>
      <c r="D268" s="33">
        <f>ROUND((K260/F260*100),0)</f>
        <v>0</v>
      </c>
      <c r="E268" s="32">
        <f t="shared" si="22"/>
        <v>0</v>
      </c>
      <c r="F268" s="33">
        <f t="shared" si="23"/>
        <v>0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6" ht="19.5" customHeight="1" x14ac:dyDescent="0.3">
      <c r="A269" s="92" t="s">
        <v>86</v>
      </c>
      <c r="B269" s="88"/>
      <c r="C269" s="89"/>
      <c r="D269" s="33">
        <f>ROUND((L260/G260*100),0)</f>
        <v>0</v>
      </c>
      <c r="E269" s="32">
        <f t="shared" si="22"/>
        <v>0</v>
      </c>
      <c r="F269" s="33">
        <f t="shared" si="23"/>
        <v>0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6" ht="19.5" customHeight="1" x14ac:dyDescent="0.3">
      <c r="A270" s="92" t="s">
        <v>87</v>
      </c>
      <c r="B270" s="88"/>
      <c r="C270" s="89"/>
      <c r="D270" s="33">
        <f>ROUND((M260/H260*100),0)</f>
        <v>0</v>
      </c>
      <c r="E270" s="32">
        <f t="shared" si="22"/>
        <v>0</v>
      </c>
      <c r="F270" s="33">
        <f t="shared" si="23"/>
        <v>0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6" ht="19.5" customHeight="1" x14ac:dyDescent="0.3">
      <c r="A271" s="93" t="s">
        <v>88</v>
      </c>
      <c r="B271" s="94"/>
      <c r="C271" s="94"/>
      <c r="D271" s="94"/>
      <c r="E271" s="94"/>
      <c r="F271" s="94"/>
      <c r="G271" s="94"/>
      <c r="H271" s="95"/>
      <c r="I271" s="93" t="s">
        <v>89</v>
      </c>
      <c r="J271" s="94"/>
      <c r="K271" s="94"/>
      <c r="L271" s="94"/>
      <c r="M271" s="94"/>
      <c r="N271" s="94"/>
      <c r="O271" s="102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6" ht="19.5" customHeight="1" x14ac:dyDescent="0.3">
      <c r="A272" s="96"/>
      <c r="B272" s="97"/>
      <c r="C272" s="97"/>
      <c r="D272" s="97"/>
      <c r="E272" s="97"/>
      <c r="F272" s="97"/>
      <c r="G272" s="97"/>
      <c r="H272" s="98"/>
      <c r="I272" s="96"/>
      <c r="J272" s="97"/>
      <c r="K272" s="97"/>
      <c r="L272" s="97"/>
      <c r="M272" s="97"/>
      <c r="N272" s="97"/>
      <c r="O272" s="103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 x14ac:dyDescent="0.3">
      <c r="A273" s="96"/>
      <c r="B273" s="97"/>
      <c r="C273" s="97"/>
      <c r="D273" s="97"/>
      <c r="E273" s="97"/>
      <c r="F273" s="97"/>
      <c r="G273" s="97"/>
      <c r="H273" s="98"/>
      <c r="I273" s="96"/>
      <c r="J273" s="97"/>
      <c r="K273" s="97"/>
      <c r="L273" s="97"/>
      <c r="M273" s="97"/>
      <c r="N273" s="97"/>
      <c r="O273" s="103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.5" customHeight="1" x14ac:dyDescent="0.3">
      <c r="A274" s="99"/>
      <c r="B274" s="100"/>
      <c r="C274" s="100"/>
      <c r="D274" s="100"/>
      <c r="E274" s="100"/>
      <c r="F274" s="100"/>
      <c r="G274" s="100"/>
      <c r="H274" s="101"/>
      <c r="I274" s="99"/>
      <c r="J274" s="100"/>
      <c r="K274" s="100"/>
      <c r="L274" s="100"/>
      <c r="M274" s="100"/>
      <c r="N274" s="100"/>
      <c r="O274" s="104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C275" s="50"/>
    </row>
    <row r="276" spans="1:25" ht="15.75" customHeight="1" x14ac:dyDescent="0.25"/>
    <row r="277" spans="1:25" ht="15.75" customHeight="1" x14ac:dyDescent="0.25"/>
    <row r="278" spans="1:25" ht="15.75" customHeight="1" x14ac:dyDescent="0.25"/>
    <row r="279" spans="1:25" ht="15.75" customHeight="1" x14ac:dyDescent="0.25"/>
    <row r="280" spans="1:25" ht="15.75" customHeight="1" x14ac:dyDescent="0.25"/>
    <row r="281" spans="1:25" ht="15.75" customHeight="1" x14ac:dyDescent="0.25"/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</sheetData>
  <mergeCells count="37">
    <mergeCell ref="A270:C270"/>
    <mergeCell ref="A271:H274"/>
    <mergeCell ref="I271:O274"/>
    <mergeCell ref="A261:O264"/>
    <mergeCell ref="A265:C265"/>
    <mergeCell ref="A266:C266"/>
    <mergeCell ref="A267:C267"/>
    <mergeCell ref="H267:I267"/>
    <mergeCell ref="A268:C268"/>
    <mergeCell ref="A269:C269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L8:L9"/>
    <mergeCell ref="M8:M9"/>
    <mergeCell ref="E5:E6"/>
    <mergeCell ref="F5:F6"/>
    <mergeCell ref="I5:M5"/>
    <mergeCell ref="N5:N7"/>
    <mergeCell ref="I6:I7"/>
    <mergeCell ref="J6:J7"/>
    <mergeCell ref="K6:K7"/>
    <mergeCell ref="L6:L7"/>
    <mergeCell ref="M6:M7"/>
  </mergeCells>
  <phoneticPr fontId="32" type="noConversion"/>
  <conditionalFormatting sqref="N10:O260 D10:H260">
    <cfRule type="containsText" dxfId="1" priority="2" operator="containsText" text="AB">
      <formula>NOT(ISERROR(SEARCH(("AB"),(D10))))</formula>
    </cfRule>
  </conditionalFormatting>
  <conditionalFormatting sqref="I10:M260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90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Sessional'!E266*'CO-PO Mapping'!B6/3</f>
        <v>0</v>
      </c>
      <c r="C6" s="23">
        <f>'Attainment Sheet Sessional'!E266*'CO-PO Mapping'!C6/3</f>
        <v>0</v>
      </c>
      <c r="D6" s="23">
        <f>'Attainment Sheet Sessional'!$E266*'CO-PO Mapping'!D6/3</f>
        <v>0</v>
      </c>
      <c r="E6" s="23">
        <f>'Attainment Sheet Sessional'!$E266*'CO-PO Mapping'!E6/3</f>
        <v>0</v>
      </c>
      <c r="F6" s="23">
        <f>'Attainment Sheet Sessional'!$E266*'CO-PO Mapping'!F6/3</f>
        <v>0</v>
      </c>
      <c r="G6" s="23">
        <f>'Attainment Sheet Sessional'!$E266*'CO-PO Mapping'!G6/3</f>
        <v>0</v>
      </c>
      <c r="H6" s="23">
        <f>'Attainment Sheet Sessional'!$E266*'CO-PO Mapping'!H6/3</f>
        <v>0</v>
      </c>
      <c r="I6" s="23">
        <f>'Attainment Sheet Sessional'!$E266*'CO-PO Mapping'!I6/3</f>
        <v>0</v>
      </c>
      <c r="J6" s="23">
        <f>'Attainment Sheet Sessional'!$E266*'CO-PO Mapping'!J6/3</f>
        <v>0</v>
      </c>
      <c r="K6" s="23">
        <f>'Attainment Sheet Sessional'!$E266*'CO-PO Mapping'!K6/3</f>
        <v>0</v>
      </c>
      <c r="L6" s="23">
        <f>'Attainment Sheet Sessional'!$E266*'CO-PO Mapping'!L6/3</f>
        <v>0</v>
      </c>
      <c r="M6" s="23">
        <f>'Attainment Sheet Sessional'!$E266*'CO-PO Mapping'!M6/3</f>
        <v>0</v>
      </c>
      <c r="N6" s="23">
        <f>'Attainment Sheet Sessional'!$E266*'CO-PO Mapping'!N6/3</f>
        <v>0</v>
      </c>
      <c r="O6" s="23">
        <f>'Attainment Sheet Sessional'!$E266*'CO-PO Mapping'!O6/3</f>
        <v>0</v>
      </c>
      <c r="P6" s="23">
        <f>'Attainment Sheet Sessional'!$E266*'CO-PO Mapping'!P6/3</f>
        <v>0</v>
      </c>
    </row>
    <row r="7" spans="1:26" ht="19.5" customHeight="1" x14ac:dyDescent="0.25">
      <c r="A7" s="12" t="s">
        <v>19</v>
      </c>
      <c r="B7" s="23">
        <f>'Attainment Sheet Sessional'!E267*'CO-PO Mapping'!B7/3</f>
        <v>0</v>
      </c>
      <c r="C7" s="23">
        <f>'Attainment Sheet Sessional'!E267*'CO-PO Mapping'!C7/3</f>
        <v>0</v>
      </c>
      <c r="D7" s="23">
        <f>'Attainment Sheet Sessional'!$E267*'CO-PO Mapping'!D7/3</f>
        <v>0</v>
      </c>
      <c r="E7" s="23">
        <f>'Attainment Sheet Sessional'!$E267*'CO-PO Mapping'!E7/3</f>
        <v>0</v>
      </c>
      <c r="F7" s="23">
        <f>'Attainment Sheet Sessional'!$E267*'CO-PO Mapping'!F7/3</f>
        <v>0</v>
      </c>
      <c r="G7" s="23">
        <f>'Attainment Sheet Sessional'!$E267*'CO-PO Mapping'!G7/3</f>
        <v>0</v>
      </c>
      <c r="H7" s="23">
        <f>'Attainment Sheet Sessional'!$E267*'CO-PO Mapping'!H7/3</f>
        <v>0</v>
      </c>
      <c r="I7" s="23">
        <f>'Attainment Sheet Sessional'!$E267*'CO-PO Mapping'!I7/3</f>
        <v>0</v>
      </c>
      <c r="J7" s="23">
        <f>'Attainment Sheet Sessional'!$E267*'CO-PO Mapping'!J7/3</f>
        <v>0</v>
      </c>
      <c r="K7" s="23">
        <f>'Attainment Sheet Sessional'!$E267*'CO-PO Mapping'!K7/3</f>
        <v>0</v>
      </c>
      <c r="L7" s="23">
        <f>'Attainment Sheet Sessional'!$E267*'CO-PO Mapping'!L7/3</f>
        <v>0</v>
      </c>
      <c r="M7" s="23">
        <f>'Attainment Sheet Sessional'!$E267*'CO-PO Mapping'!M7/3</f>
        <v>0</v>
      </c>
      <c r="N7" s="23">
        <f>'Attainment Sheet Sessional'!$E267*'CO-PO Mapping'!N7/3</f>
        <v>0</v>
      </c>
      <c r="O7" s="23">
        <f>'Attainment Sheet Sessional'!$E267*'CO-PO Mapping'!O7/3</f>
        <v>0</v>
      </c>
      <c r="P7" s="23">
        <f>'Attainment Sheet Sessional'!$E267*'CO-PO Mapping'!P7/3</f>
        <v>0</v>
      </c>
    </row>
    <row r="8" spans="1:26" ht="19.5" customHeight="1" x14ac:dyDescent="0.25">
      <c r="A8" s="12" t="s">
        <v>20</v>
      </c>
      <c r="B8" s="23">
        <f>'Attainment Sheet Sessional'!E268*'CO-PO Mapping'!B8/3</f>
        <v>0</v>
      </c>
      <c r="C8" s="23">
        <f>'Attainment Sheet Sessional'!E268*'CO-PO Mapping'!C8/3</f>
        <v>0</v>
      </c>
      <c r="D8" s="23">
        <f>'Attainment Sheet Sessional'!$E268*'CO-PO Mapping'!D8/3</f>
        <v>0</v>
      </c>
      <c r="E8" s="23">
        <f>'Attainment Sheet Sessional'!$E268*'CO-PO Mapping'!E8/3</f>
        <v>0</v>
      </c>
      <c r="F8" s="23">
        <f>'Attainment Sheet Sessional'!$E268*'CO-PO Mapping'!F8/3</f>
        <v>0</v>
      </c>
      <c r="G8" s="23">
        <f>'Attainment Sheet Sessional'!$E268*'CO-PO Mapping'!G8/3</f>
        <v>0</v>
      </c>
      <c r="H8" s="23">
        <f>'Attainment Sheet Sessional'!$E268*'CO-PO Mapping'!H8/3</f>
        <v>0</v>
      </c>
      <c r="I8" s="23">
        <f>'Attainment Sheet Sessional'!$E268*'CO-PO Mapping'!I8/3</f>
        <v>0</v>
      </c>
      <c r="J8" s="23">
        <f>'Attainment Sheet Sessional'!$E268*'CO-PO Mapping'!J8/3</f>
        <v>0</v>
      </c>
      <c r="K8" s="23">
        <f>'Attainment Sheet Sessional'!$E268*'CO-PO Mapping'!K8/3</f>
        <v>0</v>
      </c>
      <c r="L8" s="23">
        <f>'Attainment Sheet Sessional'!$E268*'CO-PO Mapping'!L8/3</f>
        <v>0</v>
      </c>
      <c r="M8" s="23">
        <f>'Attainment Sheet Sessional'!$E268*'CO-PO Mapping'!M8/3</f>
        <v>0</v>
      </c>
      <c r="N8" s="23">
        <f>'Attainment Sheet Sessional'!$E268*'CO-PO Mapping'!N8/3</f>
        <v>0</v>
      </c>
      <c r="O8" s="23">
        <f>'Attainment Sheet Sessional'!$E268*'CO-PO Mapping'!O8/3</f>
        <v>0</v>
      </c>
      <c r="P8" s="23">
        <f>'Attainment Sheet Sessional'!$E268*'CO-PO Mapping'!P8/3</f>
        <v>0</v>
      </c>
    </row>
    <row r="9" spans="1:26" ht="19.5" customHeight="1" x14ac:dyDescent="0.25">
      <c r="A9" s="12" t="s">
        <v>21</v>
      </c>
      <c r="B9" s="23">
        <f>'Attainment Sheet Sessional'!E269*'CO-PO Mapping'!B9/3</f>
        <v>0</v>
      </c>
      <c r="C9" s="23">
        <f>'Attainment Sheet Sessional'!E269*'CO-PO Mapping'!C9/3</f>
        <v>0</v>
      </c>
      <c r="D9" s="23">
        <f>'Attainment Sheet Sessional'!$E269*'CO-PO Mapping'!D9/3</f>
        <v>0</v>
      </c>
      <c r="E9" s="23">
        <f>'Attainment Sheet Sessional'!$E269*'CO-PO Mapping'!E9/3</f>
        <v>0</v>
      </c>
      <c r="F9" s="23">
        <f>'Attainment Sheet Sessional'!$E269*'CO-PO Mapping'!F9/3</f>
        <v>0</v>
      </c>
      <c r="G9" s="23">
        <f>'Attainment Sheet Sessional'!$E269*'CO-PO Mapping'!G9/3</f>
        <v>0</v>
      </c>
      <c r="H9" s="23">
        <f>'Attainment Sheet Sessional'!$E269*'CO-PO Mapping'!H9/3</f>
        <v>0</v>
      </c>
      <c r="I9" s="23">
        <f>'Attainment Sheet Sessional'!$E269*'CO-PO Mapping'!I9/3</f>
        <v>0</v>
      </c>
      <c r="J9" s="23">
        <f>'Attainment Sheet Sessional'!$E269*'CO-PO Mapping'!J9/3</f>
        <v>0</v>
      </c>
      <c r="K9" s="23">
        <f>'Attainment Sheet Sessional'!$E269*'CO-PO Mapping'!K9/3</f>
        <v>0</v>
      </c>
      <c r="L9" s="23">
        <f>'Attainment Sheet Sessional'!$E269*'CO-PO Mapping'!L9/3</f>
        <v>0</v>
      </c>
      <c r="M9" s="23">
        <f>'Attainment Sheet Sessional'!$E269*'CO-PO Mapping'!M9/3</f>
        <v>0</v>
      </c>
      <c r="N9" s="23">
        <f>'Attainment Sheet Sessional'!$E269*'CO-PO Mapping'!N9/3</f>
        <v>0</v>
      </c>
      <c r="O9" s="23">
        <f>'Attainment Sheet Sessional'!$E269*'CO-PO Mapping'!O9/3</f>
        <v>0</v>
      </c>
      <c r="P9" s="23">
        <f>'Attainment Sheet Sessional'!$E269*'CO-PO Mapping'!P9/3</f>
        <v>0</v>
      </c>
    </row>
    <row r="10" spans="1:26" ht="19.5" customHeight="1" x14ac:dyDescent="0.25">
      <c r="A10" s="12" t="s">
        <v>22</v>
      </c>
      <c r="B10" s="23">
        <f>'Attainment Sheet Sessional'!E270*'CO-PO Mapping'!B10/3</f>
        <v>0</v>
      </c>
      <c r="C10" s="23">
        <f>'Attainment Sheet Sessional'!E270*'CO-PO Mapping'!C10/3</f>
        <v>0</v>
      </c>
      <c r="D10" s="23">
        <f>'Attainment Sheet Sessional'!$E270*'CO-PO Mapping'!D10/3</f>
        <v>0</v>
      </c>
      <c r="E10" s="23">
        <f>'Attainment Sheet Sessional'!$E270*'CO-PO Mapping'!E10/3</f>
        <v>0</v>
      </c>
      <c r="F10" s="23">
        <f>'Attainment Sheet Sessional'!$E270*'CO-PO Mapping'!F10/3</f>
        <v>0</v>
      </c>
      <c r="G10" s="23">
        <f>'Attainment Sheet Sessional'!$E270*'CO-PO Mapping'!G10/3</f>
        <v>0</v>
      </c>
      <c r="H10" s="23">
        <f>'Attainment Sheet Sessional'!$E270*'CO-PO Mapping'!H10/3</f>
        <v>0</v>
      </c>
      <c r="I10" s="23">
        <f>'Attainment Sheet Sessional'!$E270*'CO-PO Mapping'!I10/3</f>
        <v>0</v>
      </c>
      <c r="J10" s="23">
        <f>'Attainment Sheet Sessional'!$E270*'CO-PO Mapping'!J10/3</f>
        <v>0</v>
      </c>
      <c r="K10" s="23">
        <f>'Attainment Sheet Sessional'!$E270*'CO-PO Mapping'!K10/3</f>
        <v>0</v>
      </c>
      <c r="L10" s="23">
        <f>'Attainment Sheet Sessional'!$E270*'CO-PO Mapping'!L10/3</f>
        <v>0</v>
      </c>
      <c r="M10" s="23">
        <f>'Attainment Sheet Sessional'!$E270*'CO-PO Mapping'!M10/3</f>
        <v>0</v>
      </c>
      <c r="N10" s="23">
        <f>'Attainment Sheet Sessional'!$E270*'CO-PO Mapping'!N10/3</f>
        <v>0</v>
      </c>
      <c r="O10" s="23">
        <f>'Attainment Sheet Sessional'!$E270*'CO-PO Mapping'!O10/3</f>
        <v>0</v>
      </c>
      <c r="P10" s="23">
        <f>'Attainment Sheet Sessional'!$E270*'CO-PO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92" t="s">
        <v>39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9"/>
      <c r="N12" s="92"/>
      <c r="O12" s="88"/>
      <c r="P12" s="89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91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92" t="s">
        <v>39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9"/>
      <c r="N8" s="92"/>
      <c r="O8" s="88"/>
      <c r="P8" s="8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2026-08-07T05:18:57Z</dcterms:modified>
</cp:coreProperties>
</file>